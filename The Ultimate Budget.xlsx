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Overview" sheetId="3" state="visible" r:id="rId3"/>
    <sheet name="Settings" sheetId="4" state="visible" r:id="rId4"/>
    <sheet name="Transactions" sheetId="5" state="visible" r:id="rId5"/>
    <sheet name="Recurring" sheetId="6" state="visible" r:id="rId6"/>
    <sheet name="Annual Summary" sheetId="7" state="visible" r:id="rId7"/>
    <sheet name="Jan" sheetId="8" state="visible" r:id="rId8"/>
    <sheet name="Feb" sheetId="9" state="visible" r:id="rId9"/>
    <sheet name="Mar" sheetId="10" state="visible" r:id="rId10"/>
    <sheet name="Apr" sheetId="11" state="visible" r:id="rId11"/>
    <sheet name="May" sheetId="12" state="visible" r:id="rId12"/>
    <sheet name="Jun" sheetId="13" state="visible" r:id="rId13"/>
    <sheet name="Jul" sheetId="14" state="visible" r:id="rId14"/>
    <sheet name="Aug" sheetId="15" state="visible" r:id="rId15"/>
    <sheet name="Sep" sheetId="16" state="visible" r:id="rId16"/>
    <sheet name="Oct" sheetId="17" state="visible" r:id="rId17"/>
    <sheet name="Nov" sheetId="18" state="visible" r:id="rId18"/>
    <sheet name="Dec" sheetId="19" state="visible" r:id="rId19"/>
    <sheet name="Bill Calendar" sheetId="20" state="visible" r:id="rId20"/>
    <sheet name="Debt Tracker" sheetId="21" state="visible" r:id="rId21"/>
    <sheet name="Savings Goals" sheetId="22" state="visible" r:id="rId22"/>
    <sheet name="Sinking Funds" sheetId="23" state="visible" r:id="rId23"/>
    <sheet name="Net Worth" sheetId="24" state="visible" r:id="rId24"/>
    <sheet name="Subscriptions" sheetId="25" state="visible" r:id="rId25"/>
    <sheet name="Income Tracker" sheetId="26" state="visible" r:id="rId26"/>
    <sheet name="Spending Analysis" sheetId="27" state="visible" r:id="rId27"/>
    <sheet name="No-Spend Tracker" sheetId="28" state="visible" r:id="rId28"/>
    <sheet name="Budget vs Actual" sheetId="29" state="visible" r:id="rId29"/>
    <sheet name="Changelog" sheetId="30" state="visible" r:id="rId30"/>
  </sheets>
  <definedNames>
    <definedName name="CatList">Settings!$A$30:$A$59</definedName>
    <definedName name="IncomeCatList">Settings!$A$30:$A$37</definedName>
    <definedName name="ExpenseCatList">Settings!$A$38:$A$59</definedName>
    <definedName name="AcctList">Settings!$A$62:$A$69</definedName>
    <definedName name="CurList">Settings!$A$7:$A$26</definedName>
    <definedName name="BudgetYear">Settings!$B$2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"/>
    <numFmt numFmtId="167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33352E"/>
      <sz val="10"/>
    </font>
    <font>
      <name val="Arial"/>
      <color rgb="0033352E"/>
      <sz val="10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404A36"/>
      <sz val="10"/>
    </font>
    <font>
      <name val="Arial"/>
      <b val="1"/>
      <color rgb="00404A36"/>
      <sz val="16"/>
    </font>
    <font>
      <name val="Arial"/>
      <b val="1"/>
      <color rgb="00404A36"/>
      <sz val="12"/>
    </font>
    <font>
      <name val="Arial"/>
      <b val="1"/>
      <color rgb="00FFFFFF"/>
      <sz val="13"/>
    </font>
    <font>
      <name val="Arial"/>
      <color rgb="0033352E"/>
      <sz val="11"/>
    </font>
    <font>
      <name val="Arial"/>
      <color rgb="00CCCCCC"/>
      <sz val="8"/>
    </font>
    <font>
      <name val="Arial"/>
      <b val="1"/>
      <color rgb="0033352E"/>
      <sz val="13"/>
    </font>
    <font>
      <name val="Arial"/>
      <i val="1"/>
      <color rgb="0033352E"/>
      <sz val="10"/>
    </font>
    <font>
      <name val="Arial"/>
      <b val="1"/>
      <color rgb="00404A36"/>
      <sz val="14"/>
    </font>
    <font>
      <name val="Arial"/>
      <b val="1"/>
      <color rgb="00FFFFFF"/>
      <sz val="24"/>
    </font>
    <font>
      <name val="Arial"/>
      <b val="1"/>
      <color rgb="0033352E"/>
      <sz val="12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404A36"/>
      </patternFill>
    </fill>
    <fill>
      <patternFill patternType="solid">
        <fgColor rgb="00F2EDE3"/>
      </patternFill>
    </fill>
    <fill>
      <patternFill patternType="solid">
        <fgColor rgb="00E6EADC"/>
      </patternFill>
    </fill>
    <fill>
      <patternFill patternType="solid">
        <fgColor rgb="00FBF8F1"/>
      </patternFill>
    </fill>
    <fill>
      <patternFill patternType="solid">
        <fgColor rgb="00FFFFFF"/>
      </patternFill>
    </fill>
    <fill>
      <patternFill patternType="solid">
        <fgColor rgb="008B9A7A"/>
      </patternFill>
    </fill>
    <fill>
      <patternFill patternType="solid">
        <fgColor rgb="00C7A862"/>
      </patternFill>
    </fill>
    <fill>
      <patternFill patternType="solid">
        <fgColor rgb="00F5E0DA"/>
      </patternFill>
    </fill>
    <fill>
      <patternFill patternType="solid">
        <fgColor rgb="00C0907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8" fillId="8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8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0" fillId="4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2" borderId="0" pivotButton="0" quotePrefix="0" xfId="0"/>
    <xf numFmtId="4" fontId="16" fillId="5" borderId="0" pivotButton="0" quotePrefix="0" xfId="0"/>
    <xf numFmtId="167" fontId="16" fillId="5" borderId="0" pivotButton="0" quotePrefix="0" xfId="0"/>
    <xf numFmtId="0" fontId="10" fillId="5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4" fillId="0" borderId="0" pivotButton="0" quotePrefix="0" xfId="0"/>
    <xf numFmtId="0" fontId="3" fillId="5" borderId="0" pivotButton="0" quotePrefix="0" xfId="0"/>
    <xf numFmtId="0" fontId="3" fillId="4" borderId="0" pivotButton="0" quotePrefix="0" xfId="0"/>
    <xf numFmtId="0" fontId="5" fillId="2" borderId="0" applyAlignment="1" pivotButton="0" quotePrefix="0" xfId="0">
      <alignment horizontal="center" vertical="center"/>
    </xf>
    <xf numFmtId="165" fontId="0" fillId="3" borderId="0" pivotButton="0" quotePrefix="0" xfId="0"/>
    <xf numFmtId="4" fontId="0" fillId="3" borderId="0" pivotButton="0" quotePrefix="0" xfId="0"/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7" borderId="0" pivotButton="0" quotePrefix="0" xfId="0"/>
    <xf numFmtId="0" fontId="2" fillId="8" borderId="0" pivotButton="0" quotePrefix="0" xfId="0"/>
    <xf numFmtId="4" fontId="0" fillId="5" borderId="0" pivotButton="0" quotePrefix="0" xfId="0"/>
    <xf numFmtId="4" fontId="0" fillId="4" borderId="0" pivotButton="0" quotePrefix="0" xfId="0"/>
    <xf numFmtId="0" fontId="11" fillId="2" borderId="0" applyAlignment="1" pivotButton="0" quotePrefix="0" xfId="0">
      <alignment horizontal="center" vertical="center"/>
    </xf>
    <xf numFmtId="4" fontId="5" fillId="7" borderId="0" pivotButton="0" quotePrefix="0" xfId="0"/>
    <xf numFmtId="0" fontId="0" fillId="7" borderId="0" pivotButton="0" quotePrefix="0" xfId="0"/>
    <xf numFmtId="9" fontId="0" fillId="5" borderId="0" pivotButton="0" quotePrefix="0" xfId="0"/>
    <xf numFmtId="0" fontId="5" fillId="10" borderId="0" pivotButton="0" quotePrefix="0" xfId="0"/>
    <xf numFmtId="4" fontId="5" fillId="10" borderId="0" pivotButton="0" quotePrefix="0" xfId="0"/>
    <xf numFmtId="0" fontId="0" fillId="10" borderId="0" pivotButton="0" quotePrefix="0" xfId="0"/>
    <xf numFmtId="0" fontId="12" fillId="5" borderId="0" applyAlignment="1" pivotButton="0" quotePrefix="0" xfId="0">
      <alignment horizontal="center" vertical="center"/>
    </xf>
    <xf numFmtId="0" fontId="13" fillId="0" borderId="0" pivotButton="0" quotePrefix="0" xfId="0"/>
    <xf numFmtId="4" fontId="3" fillId="5" borderId="0" pivotButton="0" quotePrefix="0" xfId="0"/>
    <xf numFmtId="0" fontId="5" fillId="7" borderId="0" applyAlignment="1" pivotButton="0" quotePrefix="0" xfId="0">
      <alignment horizontal="center" vertical="center" wrapText="1"/>
    </xf>
    <xf numFmtId="2" fontId="0" fillId="3" borderId="0" pivotButton="0" quotePrefix="0" xfId="0"/>
    <xf numFmtId="166" fontId="0" fillId="4" borderId="0" pivotButton="0" quotePrefix="0" xfId="0"/>
    <xf numFmtId="9" fontId="0" fillId="3" borderId="0" pivotButton="0" quotePrefix="0" xfId="0"/>
    <xf numFmtId="4" fontId="3" fillId="3" borderId="0" pivotButton="0" quotePrefix="0" xfId="0"/>
    <xf numFmtId="2" fontId="3" fillId="3" borderId="0" pivotButton="0" quotePrefix="0" xfId="0"/>
    <xf numFmtId="0" fontId="14" fillId="8" borderId="0" pivotButton="0" quotePrefix="0" xfId="0"/>
    <xf numFmtId="4" fontId="14" fillId="8" borderId="0" pivotButton="0" quotePrefix="0" xfId="0"/>
    <xf numFmtId="4" fontId="2" fillId="8" borderId="0" pivotButton="0" quotePrefix="0" xfId="0"/>
    <xf numFmtId="167" fontId="0" fillId="5" borderId="0" pivotButton="0" quotePrefix="0" xfId="0"/>
    <xf numFmtId="0" fontId="12" fillId="11" borderId="0" applyAlignment="1" pivotButton="0" quotePrefix="0" xfId="0">
      <alignment horizontal="center" vertical="center"/>
    </xf>
    <xf numFmtId="0" fontId="2" fillId="11" borderId="0" pivotButton="0" quotePrefix="0" xfId="0"/>
    <xf numFmtId="0" fontId="15" fillId="4" borderId="0" pivotButton="0" quotePrefix="0" xfId="0"/>
    <xf numFmtId="4" fontId="0" fillId="8" borderId="0" pivotButton="0" quotePrefix="0" xfId="0"/>
  </cellXfs>
  <cellStyles count="1">
    <cellStyle name="Normal" xfId="0" builtinId="0" hidden="0"/>
  </cellStyles>
  <dxfs count="5">
    <dxf>
      <font>
        <color rgb="00006100"/>
      </font>
      <fill>
        <patternFill patternType="solid">
          <bgColor rgb="00C6EFCE"/>
        </patternFill>
      </fill>
    </dxf>
    <dxf>
      <fill>
        <patternFill patternType="solid">
          <bgColor rgb="00F5E0DA"/>
        </patternFill>
      </fill>
    </dxf>
    <dxf>
      <font>
        <color rgb="00FFFFFF"/>
      </font>
      <fill>
        <patternFill patternType="solid">
          <bgColor rgb="00FF0000"/>
        </patternFill>
      </fill>
    </dxf>
    <dxf>
      <font>
        <b val="1"/>
        <color rgb="00FFFFFF"/>
      </font>
      <fill>
        <patternFill patternType="solid">
          <bgColor rgb="00C0907E"/>
        </patternFill>
      </fill>
    </dxf>
    <dxf>
      <font>
        <color rgb="00FFFFFF"/>
      </font>
      <fill>
        <patternFill patternType="solid">
          <bgColor rgb="00C0907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v>Income</v>
          </tx>
          <spPr>
            <a:solidFill>
              <a:srgbClr val="8B9A7A"/>
            </a:solidFill>
            <a:ln>
              <a:solidFill>
                <a:srgbClr val="8B9A7A"/>
              </a:solidFill>
              <a:prstDash val="solid"/>
            </a:ln>
          </spPr>
          <cat>
            <numRef>
              <f>'Annual Summary'!$B$2:$M$2</f>
            </numRef>
          </cat>
          <val>
            <numRef>
              <f>'Annual Summary'!$B$3:$M$3</f>
            </numRef>
          </val>
        </ser>
        <ser>
          <idx val="1"/>
          <order val="1"/>
          <tx>
            <v>Expenses</v>
          </tx>
          <spPr>
            <a:solidFill>
              <a:srgbClr val="C0907E"/>
            </a:solidFill>
            <a:ln>
              <a:solidFill>
                <a:srgbClr val="C0907E"/>
              </a:solidFill>
              <a:prstDash val="solid"/>
            </a:ln>
          </spPr>
          <cat>
            <numRef>
              <f>'Annual Summary'!$B$2:$M$2</f>
            </numRef>
          </cat>
          <val>
            <numRef>
              <f>'Annual Summary'!$B$4:$M$4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Savings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v>Net Savings</v>
          </tx>
          <spPr>
            <a:solidFill>
              <a:srgbClr val="8B9A7A"/>
            </a:solidFill>
            <a:ln>
              <a:solidFill>
                <a:srgbClr val="8B9A7A"/>
              </a:solidFill>
              <a:prstDash val="solid"/>
            </a:ln>
          </spPr>
          <cat>
            <numRef>
              <f>'Annual Summary'!$B$2:$M$2</f>
            </numRef>
          </cat>
          <val>
            <numRef>
              <f>'Annual Summary'!$B$5:$M$5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(Top Expense Categories)</a:t>
            </a:r>
          </a:p>
        </rich>
      </tx>
    </title>
    <plotArea>
      <barChart>
        <barDir val="col"/>
        <grouping val="clustered"/>
        <ser>
          <idx val="0"/>
          <order val="0"/>
          <tx>
            <v>Actual</v>
          </tx>
          <spPr>
            <a:solidFill>
              <a:srgbClr val="404A36"/>
            </a:solidFill>
            <a:ln>
              <a:solidFill>
                <a:srgbClr val="404A36"/>
              </a:solidFill>
              <a:prstDash val="solid"/>
            </a:ln>
          </spPr>
          <cat>
            <numRef>
              <f>'Annual Summary'!$A$16:$A$23</f>
            </numRef>
          </cat>
          <val>
            <numRef>
              <f>'Annual Summary'!$N$16:$N$23</f>
            </numRef>
          </val>
        </ser>
        <ser>
          <idx val="1"/>
          <order val="1"/>
          <tx>
            <v>Budget</v>
          </tx>
          <spPr>
            <a:solidFill>
              <a:srgbClr val="C7A862"/>
            </a:solidFill>
            <a:ln>
              <a:solidFill>
                <a:srgbClr val="C7A862"/>
              </a:solidFill>
              <a:prstDash val="solid"/>
            </a:ln>
          </spPr>
          <cat>
            <numRef>
              <f>'Annual Summary'!$A$16:$A$23</f>
            </numRef>
          </cat>
          <val>
            <numRef>
              <f>'Annual Summary'!$O$16:$O$23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'Annual Summary'!$A$16:$A$23</f>
            </numRef>
          </cat>
          <val>
            <numRef>
              <f>'Annual Summary'!$N$16:$N$23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Bills Distribution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'Recurring'!$A$3:$A$12</f>
            </numRef>
          </cat>
          <val>
            <numRef>
              <f>'Recurring'!$C$3:$C$12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9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33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33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56</row>
      <rowOff>0</rowOff>
    </from>
    <ext cx="504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404A36"/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</cols>
  <sheetData>
    <row r="2" ht="60" customHeight="1">
      <c r="B2" s="1" t="inlineStr">
        <is>
          <t>🌿  The Ultimate Budget</t>
        </is>
      </c>
      <c r="C2" s="2" t="n"/>
    </row>
    <row r="3" ht="30" customHeight="1">
      <c r="B3" s="3" t="inlineStr">
        <is>
          <t>⭐  #1 BESTSELLER  ⭐</t>
        </is>
      </c>
    </row>
    <row r="5" ht="16" customHeight="1">
      <c r="B5" s="4" t="inlineStr">
        <is>
          <t>WELCOME!</t>
        </is>
      </c>
    </row>
    <row r="6" ht="16" customHeight="1">
      <c r="B6" s="5" t="inlineStr">
        <is>
          <t>Thank you for downloading The Ultimate Budget — your all-in-one personal finance system.</t>
        </is>
      </c>
    </row>
    <row r="7" ht="16" customHeight="1">
      <c r="B7" s="5" t="inlineStr"/>
    </row>
    <row r="8" ht="16" customHeight="1">
      <c r="B8" s="5" t="inlineStr">
        <is>
          <t>✅  Works in Microsoft Excel 2016+ (Windows &amp; Mac)</t>
        </is>
      </c>
    </row>
    <row r="9" ht="16" customHeight="1">
      <c r="B9" s="5" t="inlineStr">
        <is>
          <t>✅  Compatible with Google Sheets</t>
        </is>
      </c>
    </row>
    <row r="10" ht="16" customHeight="1">
      <c r="B10" s="5" t="inlineStr">
        <is>
          <t>✅  No Copy &amp; Paste Required — enter transactions once, everything updates automatically</t>
        </is>
      </c>
    </row>
    <row r="11" ht="16" customHeight="1">
      <c r="B11" s="5" t="inlineStr">
        <is>
          <t>✅  Instant Download — start using immediately</t>
        </is>
      </c>
    </row>
    <row r="12" ht="16" customHeight="1">
      <c r="B12" s="5" t="inlineStr"/>
    </row>
    <row r="13" ht="16" customHeight="1">
      <c r="B13" s="6" t="inlineStr">
        <is>
          <t>HOW TO USE THIS WORKBOOK</t>
        </is>
      </c>
    </row>
    <row r="14" ht="16" customHeight="1">
      <c r="B14" s="5" t="inlineStr">
        <is>
          <t>1. Go to the SETTINGS tab and set your Budget Year and Currency.</t>
        </is>
      </c>
    </row>
    <row r="15" ht="16" customHeight="1">
      <c r="B15" s="5" t="inlineStr">
        <is>
          <t>2. Enter your income &amp; expense budgets in the Category table (Settings rows 30-59).</t>
        </is>
      </c>
    </row>
    <row r="16" ht="16" customHeight="1">
      <c r="B16" s="5" t="inlineStr">
        <is>
          <t>3. Go to TRANSACTIONS and enter each transaction as it happens.</t>
        </is>
      </c>
    </row>
    <row r="17" ht="16" customHeight="1">
      <c r="B17" s="5" t="inlineStr">
        <is>
          <t>4. Your DASHBOARD, MONTHLY tabs, and all reports update automatically!</t>
        </is>
      </c>
    </row>
    <row r="18" ht="16" customHeight="1">
      <c r="B18" s="5" t="inlineStr">
        <is>
          <t>5. Set up RECURRING bills so they appear on your BILL CALENDAR.</t>
        </is>
      </c>
    </row>
    <row r="19" ht="16" customHeight="1">
      <c r="B19" s="5" t="inlineStr">
        <is>
          <t>6. Track debts in DEBT TRACKER, savings in SAVINGS GOALS.</t>
        </is>
      </c>
    </row>
    <row r="20" ht="16" customHeight="1">
      <c r="B20" s="5" t="inlineStr"/>
    </row>
    <row r="21" ht="16" customHeight="1">
      <c r="B21" s="6" t="inlineStr">
        <is>
          <t>📺  TUTORIAL</t>
        </is>
      </c>
    </row>
    <row r="22" ht="16" customHeight="1">
      <c r="B22" s="5" t="inlineStr">
        <is>
          <t>Watch our step-by-step tutorial: [YouTube Link Placeholder]</t>
        </is>
      </c>
    </row>
    <row r="23" ht="16" customHeight="1">
      <c r="B23" s="5" t="inlineStr">
        <is>
          <t>Full documentation: [Website Link Placeholder]</t>
        </is>
      </c>
    </row>
    <row r="24" ht="16" customHeight="1">
      <c r="B24" s="5" t="inlineStr"/>
    </row>
    <row r="25" ht="16" customHeight="1">
      <c r="B25" s="7" t="inlineStr">
        <is>
          <t>COLOR LEGEND</t>
        </is>
      </c>
    </row>
    <row r="26" ht="16" customHeight="1">
      <c r="B26" s="8" t="inlineStr">
        <is>
          <t>🟫  Cream cells = YOUR INPUT (type here)</t>
        </is>
      </c>
    </row>
    <row r="27" ht="16" customHeight="1">
      <c r="B27" s="9" t="inlineStr">
        <is>
          <t>🌿  Green cells = Auto-calculated (do not edit)</t>
        </is>
      </c>
    </row>
    <row r="28" ht="16" customHeight="1">
      <c r="B28" s="5" t="inlineStr">
        <is>
          <t>🍃  Forest header = Section headers</t>
        </is>
      </c>
    </row>
    <row r="29" ht="16" customHeight="1">
      <c r="B29" s="10" t="inlineStr">
        <is>
          <t>🌸  Rose = Warnings / Expenses</t>
        </is>
      </c>
    </row>
    <row r="30" ht="16" customHeight="1">
      <c r="B30" s="5" t="inlineStr"/>
    </row>
    <row r="31" ht="16" customHeight="1">
      <c r="B31" s="6" t="inlineStr">
        <is>
          <t>28 TABS INCLUDED</t>
        </is>
      </c>
    </row>
    <row r="32" ht="16" customHeight="1">
      <c r="B32" s="5" t="inlineStr">
        <is>
          <t>Start Here · Dashboard · Overview · Settings · Transactions · Recurring · Annual Summary</t>
        </is>
      </c>
    </row>
    <row r="33" ht="16" customHeight="1">
      <c r="B33" s="5" t="inlineStr">
        <is>
          <t>Jan–Dec (12 monthly tabs) · Bill Calendar · Debt Tracker · Savings Goals · Sinking Funds</t>
        </is>
      </c>
    </row>
    <row r="34" ht="16" customHeight="1">
      <c r="B34" s="5" t="inlineStr">
        <is>
          <t>Net Worth · Subscriptions · Income Tracker · Spending Analysis · No-Spend Tracker</t>
        </is>
      </c>
    </row>
    <row r="35" ht="16" customHeight="1">
      <c r="B35" s="5" t="inlineStr">
        <is>
          <t>Budget vs Actual · Changelog</t>
        </is>
      </c>
    </row>
  </sheetData>
  <mergeCells count="32">
    <mergeCell ref="B16:C16"/>
    <mergeCell ref="B7:C7"/>
    <mergeCell ref="B25:C25"/>
    <mergeCell ref="B22:C22"/>
    <mergeCell ref="B31:C31"/>
    <mergeCell ref="B18:C18"/>
    <mergeCell ref="B27:C27"/>
    <mergeCell ref="B12:C12"/>
    <mergeCell ref="B21:C21"/>
    <mergeCell ref="B2:C2"/>
    <mergeCell ref="B11:C11"/>
    <mergeCell ref="B23:C23"/>
    <mergeCell ref="B14:C14"/>
    <mergeCell ref="B17:C17"/>
    <mergeCell ref="B8:C8"/>
    <mergeCell ref="B13:C13"/>
    <mergeCell ref="B29:C29"/>
    <mergeCell ref="B19:C19"/>
    <mergeCell ref="B34:C34"/>
    <mergeCell ref="B10:C10"/>
    <mergeCell ref="B28:C28"/>
    <mergeCell ref="B9:C9"/>
    <mergeCell ref="B6:C6"/>
    <mergeCell ref="B24:C24"/>
    <mergeCell ref="B30:C30"/>
    <mergeCell ref="B15:C15"/>
    <mergeCell ref="B33:C33"/>
    <mergeCell ref="B5:C5"/>
    <mergeCell ref="B20:C20"/>
    <mergeCell ref="B32:C32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A36"/>
    <outlinePr summaryBelow="1" summaryRight="1"/>
    <pageSetUpPr/>
  </sheetPr>
  <dimension ref="B2:Q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8" customHeight="1"/>
    <row r="2" ht="40" customHeight="1">
      <c r="B2" s="11" t="inlineStr">
        <is>
          <t>🌿  The Ultimate Budget  — 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8" customHeight="1">
      <c r="B3" s="12">
        <f>Settings!B2</f>
        <v/>
      </c>
    </row>
    <row r="4" ht="8" customHeight="1"/>
    <row r="5" ht="18" customHeight="1">
      <c r="B5" s="13" t="inlineStr">
        <is>
          <t>Total Income</t>
        </is>
      </c>
      <c r="C5" s="14" t="n"/>
      <c r="D5" s="14" t="n"/>
      <c r="E5" s="14" t="n"/>
      <c r="F5" s="15" t="inlineStr">
        <is>
          <t>Total Expenses</t>
        </is>
      </c>
      <c r="G5" s="16" t="n"/>
      <c r="H5" s="16" t="n"/>
      <c r="I5" s="16" t="n"/>
      <c r="J5" s="17" t="inlineStr">
        <is>
          <t>Net Savings</t>
        </is>
      </c>
      <c r="K5" s="18" t="n"/>
      <c r="L5" s="18" t="n"/>
      <c r="M5" s="18" t="n"/>
      <c r="N5" s="19" t="inlineStr">
        <is>
          <t>Savings Rate</t>
        </is>
      </c>
      <c r="O5" s="20" t="n"/>
      <c r="P5" s="20" t="n"/>
      <c r="Q5" s="20" t="n"/>
    </row>
    <row r="6" ht="28" customHeight="1">
      <c r="B6" s="21">
        <f>"Income: "&amp;Settings!C4&amp;TEXT('Annual Summary'!N3,"#,##0")</f>
        <v/>
      </c>
      <c r="C6" s="14" t="n"/>
      <c r="D6" s="14" t="n"/>
      <c r="E6" s="14" t="n"/>
      <c r="F6" s="22">
        <f>"Expenses: "&amp;Settings!C4&amp;TEXT('Annual Summary'!N4,"#,##0")</f>
        <v/>
      </c>
      <c r="G6" s="16" t="n"/>
      <c r="H6" s="16" t="n"/>
      <c r="I6" s="16" t="n"/>
      <c r="J6" s="23">
        <f>"Net: "&amp;Settings!C4&amp;TEXT('Annual Summary'!N5,"#,##0")</f>
        <v/>
      </c>
      <c r="K6" s="18" t="n"/>
      <c r="L6" s="18" t="n"/>
      <c r="M6" s="18" t="n"/>
      <c r="N6" s="24">
        <f>IF('Annual Summary'!N3=0,"Rate: 0%","Rate: "&amp;TEXT(IF('Annual Summary'!N3=0,0,'Annual Summary'!N5/'Annual Summary'!N3),"0.0%"))</f>
        <v/>
      </c>
      <c r="O6" s="20" t="n"/>
      <c r="P6" s="20" t="n"/>
      <c r="Q6" s="20" t="n"/>
    </row>
    <row r="7" ht="18" customHeight="1">
      <c r="B7" s="25" t="inlineStr"/>
      <c r="C7" s="14" t="n"/>
      <c r="D7" s="14" t="n"/>
      <c r="E7" s="14" t="n"/>
      <c r="F7" s="26" t="inlineStr"/>
      <c r="G7" s="16" t="n"/>
      <c r="H7" s="16" t="n"/>
      <c r="I7" s="16" t="n"/>
      <c r="J7" s="27" t="inlineStr"/>
      <c r="K7" s="18" t="n"/>
      <c r="L7" s="18" t="n"/>
      <c r="M7" s="18" t="n"/>
      <c r="N7" s="28" t="inlineStr"/>
      <c r="O7" s="20" t="n"/>
      <c r="P7" s="20" t="n"/>
      <c r="Q7" s="20" t="n"/>
    </row>
    <row r="8" ht="8" customHeight="1"/>
  </sheetData>
  <mergeCells count="13">
    <mergeCell ref="N5:Q5"/>
    <mergeCell ref="F7:I7"/>
    <mergeCell ref="B6:E6"/>
    <mergeCell ref="F5:I5"/>
    <mergeCell ref="B7:E7"/>
    <mergeCell ref="J6:M6"/>
    <mergeCell ref="B5:E5"/>
    <mergeCell ref="N6:Q6"/>
    <mergeCell ref="B2:Q2"/>
    <mergeCell ref="J7:M7"/>
    <mergeCell ref="J5:M5"/>
    <mergeCell ref="N7:Q7"/>
    <mergeCell ref="F6:I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04A36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9" t="inlineStr">
        <is>
          <t>Overview — Quick Summary</t>
        </is>
      </c>
      <c r="B1" s="2" t="n"/>
    </row>
    <row r="3">
      <c r="A3" s="30" t="inlineStr">
        <is>
          <t>Total Income (YTD)</t>
        </is>
      </c>
    </row>
    <row r="4">
      <c r="A4" s="31">
        <f>'Annual Summary'!N3</f>
        <v/>
      </c>
    </row>
    <row r="5">
      <c r="A5" s="30" t="inlineStr">
        <is>
          <t>Total Expenses (YTD)</t>
        </is>
      </c>
    </row>
    <row r="6">
      <c r="A6" s="31">
        <f>'Annual Summary'!N4</f>
        <v/>
      </c>
    </row>
    <row r="7">
      <c r="A7" s="30" t="inlineStr">
        <is>
          <t>Net Savings (YTD)</t>
        </is>
      </c>
    </row>
    <row r="8">
      <c r="A8" s="31">
        <f>'Annual Summary'!N5</f>
        <v/>
      </c>
    </row>
    <row r="9">
      <c r="A9" s="30" t="inlineStr">
        <is>
          <t>Savings Rate</t>
        </is>
      </c>
    </row>
    <row r="10">
      <c r="A10" s="32">
        <f>IF('Annual Summary'!N3=0,0,'Annual Summary'!N5/'Annual Summary'!N3)</f>
        <v/>
      </c>
    </row>
    <row r="11">
      <c r="A11" s="30" t="inlineStr">
        <is>
          <t>Monthly Avg Income</t>
        </is>
      </c>
    </row>
    <row r="12">
      <c r="A12" s="31">
        <f>IF('Annual Summary'!N3=0,0,'Annual Summary'!N3/12)</f>
        <v/>
      </c>
    </row>
    <row r="13">
      <c r="A13" s="30" t="inlineStr">
        <is>
          <t>Monthly Avg Expenses</t>
        </is>
      </c>
    </row>
    <row r="14">
      <c r="A14" s="31">
        <f>IF('Annual Summary'!N4=0,0,'Annual Summary'!N4/12)</f>
        <v/>
      </c>
    </row>
    <row r="17">
      <c r="A17" s="30" t="inlineStr">
        <is>
          <t>Top Spending Category</t>
        </is>
      </c>
    </row>
    <row r="18">
      <c r="A18" s="33">
        <f>IFERROR(INDEX(Settings!$A$38:$A$59,MATCH(MAX('Annual Summary'!N16:N37),'Annual Summary'!N16:N37,0)),"N/A")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9A7A"/>
    <outlinePr summaryBelow="1" summaryRight="1"/>
    <pageSetUpPr/>
  </sheetPr>
  <dimension ref="A1:C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</cols>
  <sheetData>
    <row r="1">
      <c r="A1" s="29" t="inlineStr">
        <is>
          <t>⚙  Settings</t>
        </is>
      </c>
      <c r="B1" s="2" t="n"/>
      <c r="C1" s="2" t="n"/>
    </row>
    <row r="2">
      <c r="A2" s="34" t="inlineStr">
        <is>
          <t>Budget Year</t>
        </is>
      </c>
      <c r="B2" s="35" t="n">
        <v>2026</v>
      </c>
    </row>
    <row r="4">
      <c r="A4" s="34" t="inlineStr">
        <is>
          <t>Currency</t>
        </is>
      </c>
      <c r="B4" s="35" t="inlineStr">
        <is>
          <t>USD</t>
        </is>
      </c>
      <c r="C4" s="36">
        <f>IFERROR(VLOOKUP(B4,A6:B25,2,FALSE),"$")</f>
        <v/>
      </c>
    </row>
    <row r="5">
      <c r="A5" s="37" t="inlineStr">
        <is>
          <t>↑ code</t>
        </is>
      </c>
      <c r="C5" s="37" t="inlineStr">
        <is>
          <t>← symbol</t>
        </is>
      </c>
    </row>
    <row r="6">
      <c r="A6" s="34" t="inlineStr">
        <is>
          <t>Code</t>
        </is>
      </c>
      <c r="B6" s="34" t="inlineStr">
        <is>
          <t>Symbol</t>
        </is>
      </c>
    </row>
    <row r="7">
      <c r="A7" s="38" t="inlineStr">
        <is>
          <t>USD</t>
        </is>
      </c>
      <c r="B7" s="38" t="inlineStr">
        <is>
          <t>$</t>
        </is>
      </c>
    </row>
    <row r="8">
      <c r="A8" s="38" t="inlineStr">
        <is>
          <t>EUR</t>
        </is>
      </c>
      <c r="B8" s="38" t="inlineStr">
        <is>
          <t>€</t>
        </is>
      </c>
    </row>
    <row r="9">
      <c r="A9" s="38" t="inlineStr">
        <is>
          <t>GBP</t>
        </is>
      </c>
      <c r="B9" s="38" t="inlineStr">
        <is>
          <t>£</t>
        </is>
      </c>
    </row>
    <row r="10">
      <c r="A10" s="38" t="inlineStr">
        <is>
          <t>JPY</t>
        </is>
      </c>
      <c r="B10" s="38" t="inlineStr">
        <is>
          <t>¥</t>
        </is>
      </c>
    </row>
    <row r="11">
      <c r="A11" s="38" t="inlineStr">
        <is>
          <t>CAD</t>
        </is>
      </c>
      <c r="B11" s="38" t="inlineStr">
        <is>
          <t>$</t>
        </is>
      </c>
    </row>
    <row r="12">
      <c r="A12" s="38" t="inlineStr">
        <is>
          <t>AUD</t>
        </is>
      </c>
      <c r="B12" s="38" t="inlineStr">
        <is>
          <t>$</t>
        </is>
      </c>
    </row>
    <row r="13">
      <c r="A13" s="38" t="inlineStr">
        <is>
          <t>INR</t>
        </is>
      </c>
      <c r="B13" s="38" t="inlineStr">
        <is>
          <t>₹</t>
        </is>
      </c>
    </row>
    <row r="14">
      <c r="A14" s="38" t="inlineStr">
        <is>
          <t>CHF</t>
        </is>
      </c>
      <c r="B14" s="38" t="inlineStr">
        <is>
          <t>Fr</t>
        </is>
      </c>
    </row>
    <row r="15">
      <c r="A15" s="38" t="inlineStr">
        <is>
          <t>SEK</t>
        </is>
      </c>
      <c r="B15" s="38" t="inlineStr">
        <is>
          <t>kr</t>
        </is>
      </c>
    </row>
    <row r="16">
      <c r="A16" s="38" t="inlineStr">
        <is>
          <t>NOK</t>
        </is>
      </c>
      <c r="B16" s="38" t="inlineStr">
        <is>
          <t>kr</t>
        </is>
      </c>
    </row>
    <row r="17">
      <c r="A17" s="38" t="inlineStr">
        <is>
          <t>DKK</t>
        </is>
      </c>
      <c r="B17" s="38" t="inlineStr">
        <is>
          <t>kr</t>
        </is>
      </c>
    </row>
    <row r="18">
      <c r="A18" s="38" t="inlineStr">
        <is>
          <t>BRL</t>
        </is>
      </c>
      <c r="B18" s="38" t="inlineStr">
        <is>
          <t>R$</t>
        </is>
      </c>
    </row>
    <row r="19">
      <c r="A19" s="38" t="inlineStr">
        <is>
          <t>ZAR</t>
        </is>
      </c>
      <c r="B19" s="38" t="inlineStr">
        <is>
          <t>R</t>
        </is>
      </c>
    </row>
    <row r="20">
      <c r="A20" s="38" t="inlineStr">
        <is>
          <t>MXN</t>
        </is>
      </c>
      <c r="B20" s="38" t="inlineStr">
        <is>
          <t>$</t>
        </is>
      </c>
    </row>
    <row r="21">
      <c r="A21" s="38" t="inlineStr">
        <is>
          <t>NZD</t>
        </is>
      </c>
      <c r="B21" s="38" t="inlineStr">
        <is>
          <t>$</t>
        </is>
      </c>
    </row>
    <row r="22">
      <c r="A22" s="38" t="inlineStr">
        <is>
          <t>SGD</t>
        </is>
      </c>
      <c r="B22" s="38" t="inlineStr">
        <is>
          <t>$</t>
        </is>
      </c>
    </row>
    <row r="23">
      <c r="A23" s="38" t="inlineStr">
        <is>
          <t>CNY</t>
        </is>
      </c>
      <c r="B23" s="38" t="inlineStr">
        <is>
          <t>¥</t>
        </is>
      </c>
    </row>
    <row r="24">
      <c r="A24" s="38" t="inlineStr">
        <is>
          <t>PLN</t>
        </is>
      </c>
      <c r="B24" s="38" t="inlineStr">
        <is>
          <t>zł</t>
        </is>
      </c>
    </row>
    <row r="25">
      <c r="A25" s="38" t="inlineStr">
        <is>
          <t>AED</t>
        </is>
      </c>
      <c r="B25" s="38" t="inlineStr">
        <is>
          <t>د.إ</t>
        </is>
      </c>
    </row>
    <row r="26">
      <c r="A26" s="38" t="inlineStr">
        <is>
          <t>TRY</t>
        </is>
      </c>
      <c r="B26" s="38" t="inlineStr">
        <is>
          <t>₺</t>
        </is>
      </c>
    </row>
    <row r="29">
      <c r="A29" s="30" t="inlineStr">
        <is>
          <t>Category</t>
        </is>
      </c>
      <c r="B29" s="30" t="inlineStr">
        <is>
          <t>Type</t>
        </is>
      </c>
      <c r="C29" s="30" t="inlineStr">
        <is>
          <t>Monthly Budget</t>
        </is>
      </c>
    </row>
    <row r="30">
      <c r="A30" s="35" t="inlineStr">
        <is>
          <t>Salary</t>
        </is>
      </c>
      <c r="B30" s="39" t="inlineStr">
        <is>
          <t>Income</t>
        </is>
      </c>
      <c r="C30" s="35" t="n">
        <v>0</v>
      </c>
    </row>
    <row r="31">
      <c r="A31" s="35" t="inlineStr">
        <is>
          <t>Partner Income</t>
        </is>
      </c>
      <c r="B31" s="39" t="inlineStr">
        <is>
          <t>Income</t>
        </is>
      </c>
      <c r="C31" s="35" t="n">
        <v>0</v>
      </c>
    </row>
    <row r="32">
      <c r="A32" s="35" t="inlineStr">
        <is>
          <t>Freelance</t>
        </is>
      </c>
      <c r="B32" s="39" t="inlineStr">
        <is>
          <t>Income</t>
        </is>
      </c>
      <c r="C32" s="35" t="n">
        <v>0</v>
      </c>
    </row>
    <row r="33">
      <c r="A33" s="35" t="inlineStr">
        <is>
          <t>Business</t>
        </is>
      </c>
      <c r="B33" s="39" t="inlineStr">
        <is>
          <t>Income</t>
        </is>
      </c>
      <c r="C33" s="35" t="n">
        <v>0</v>
      </c>
    </row>
    <row r="34">
      <c r="A34" s="35" t="inlineStr">
        <is>
          <t>Investments</t>
        </is>
      </c>
      <c r="B34" s="39" t="inlineStr">
        <is>
          <t>Income</t>
        </is>
      </c>
      <c r="C34" s="35" t="n">
        <v>0</v>
      </c>
    </row>
    <row r="35">
      <c r="A35" s="35" t="inlineStr">
        <is>
          <t>Rental Income</t>
        </is>
      </c>
      <c r="B35" s="39" t="inlineStr">
        <is>
          <t>Income</t>
        </is>
      </c>
      <c r="C35" s="35" t="n">
        <v>0</v>
      </c>
    </row>
    <row r="36">
      <c r="A36" s="35" t="inlineStr">
        <is>
          <t>Refunds</t>
        </is>
      </c>
      <c r="B36" s="39" t="inlineStr">
        <is>
          <t>Income</t>
        </is>
      </c>
      <c r="C36" s="35" t="n">
        <v>0</v>
      </c>
    </row>
    <row r="37">
      <c r="A37" s="35" t="inlineStr">
        <is>
          <t>Other Income</t>
        </is>
      </c>
      <c r="B37" s="39" t="inlineStr">
        <is>
          <t>Income</t>
        </is>
      </c>
      <c r="C37" s="35" t="n">
        <v>0</v>
      </c>
    </row>
    <row r="38">
      <c r="A38" s="35" t="inlineStr">
        <is>
          <t>Rent/Mortgage</t>
        </is>
      </c>
      <c r="B38" s="39" t="inlineStr">
        <is>
          <t>Expense</t>
        </is>
      </c>
      <c r="C38" s="35" t="n">
        <v>1500</v>
      </c>
    </row>
    <row r="39">
      <c r="A39" s="35" t="inlineStr">
        <is>
          <t>Utilities</t>
        </is>
      </c>
      <c r="B39" s="39" t="inlineStr">
        <is>
          <t>Expense</t>
        </is>
      </c>
      <c r="C39" s="35" t="n">
        <v>150</v>
      </c>
    </row>
    <row r="40">
      <c r="A40" s="35" t="inlineStr">
        <is>
          <t>Groceries</t>
        </is>
      </c>
      <c r="B40" s="39" t="inlineStr">
        <is>
          <t>Expense</t>
        </is>
      </c>
      <c r="C40" s="35" t="n">
        <v>400</v>
      </c>
    </row>
    <row r="41">
      <c r="A41" s="35" t="inlineStr">
        <is>
          <t>Dining Out</t>
        </is>
      </c>
      <c r="B41" s="39" t="inlineStr">
        <is>
          <t>Expense</t>
        </is>
      </c>
      <c r="C41" s="35" t="n">
        <v>200</v>
      </c>
    </row>
    <row r="42">
      <c r="A42" s="35" t="inlineStr">
        <is>
          <t>Transport</t>
        </is>
      </c>
      <c r="B42" s="39" t="inlineStr">
        <is>
          <t>Expense</t>
        </is>
      </c>
      <c r="C42" s="35" t="n">
        <v>150</v>
      </c>
    </row>
    <row r="43">
      <c r="A43" s="35" t="inlineStr">
        <is>
          <t>Fuel</t>
        </is>
      </c>
      <c r="B43" s="39" t="inlineStr">
        <is>
          <t>Expense</t>
        </is>
      </c>
      <c r="C43" s="35" t="n">
        <v>100</v>
      </c>
    </row>
    <row r="44">
      <c r="A44" s="35" t="inlineStr">
        <is>
          <t>Car/Auto</t>
        </is>
      </c>
      <c r="B44" s="39" t="inlineStr">
        <is>
          <t>Expense</t>
        </is>
      </c>
      <c r="C44" s="35" t="n">
        <v>100</v>
      </c>
    </row>
    <row r="45">
      <c r="A45" s="35" t="inlineStr">
        <is>
          <t>Insurance</t>
        </is>
      </c>
      <c r="B45" s="39" t="inlineStr">
        <is>
          <t>Expense</t>
        </is>
      </c>
      <c r="C45" s="35" t="n">
        <v>200</v>
      </c>
    </row>
    <row r="46">
      <c r="A46" s="35" t="inlineStr">
        <is>
          <t>Health</t>
        </is>
      </c>
      <c r="B46" s="39" t="inlineStr">
        <is>
          <t>Expense</t>
        </is>
      </c>
      <c r="C46" s="35" t="n">
        <v>100</v>
      </c>
    </row>
    <row r="47">
      <c r="A47" s="35" t="inlineStr">
        <is>
          <t>Phone</t>
        </is>
      </c>
      <c r="B47" s="39" t="inlineStr">
        <is>
          <t>Expense</t>
        </is>
      </c>
      <c r="C47" s="35" t="n">
        <v>80</v>
      </c>
    </row>
    <row r="48">
      <c r="A48" s="35" t="inlineStr">
        <is>
          <t>Internet</t>
        </is>
      </c>
      <c r="B48" s="39" t="inlineStr">
        <is>
          <t>Expense</t>
        </is>
      </c>
      <c r="C48" s="35" t="n">
        <v>60</v>
      </c>
    </row>
    <row r="49">
      <c r="A49" s="35" t="inlineStr">
        <is>
          <t>Subscriptions</t>
        </is>
      </c>
      <c r="B49" s="39" t="inlineStr">
        <is>
          <t>Expense</t>
        </is>
      </c>
      <c r="C49" s="35" t="n">
        <v>50</v>
      </c>
    </row>
    <row r="50">
      <c r="A50" s="35" t="inlineStr">
        <is>
          <t>Entertainment</t>
        </is>
      </c>
      <c r="B50" s="39" t="inlineStr">
        <is>
          <t>Expense</t>
        </is>
      </c>
      <c r="C50" s="35" t="n">
        <v>100</v>
      </c>
    </row>
    <row r="51">
      <c r="A51" s="35" t="inlineStr">
        <is>
          <t>Shopping</t>
        </is>
      </c>
      <c r="B51" s="39" t="inlineStr">
        <is>
          <t>Expense</t>
        </is>
      </c>
      <c r="C51" s="35" t="n">
        <v>200</v>
      </c>
    </row>
    <row r="52">
      <c r="A52" s="35" t="inlineStr">
        <is>
          <t>Clothing</t>
        </is>
      </c>
      <c r="B52" s="39" t="inlineStr">
        <is>
          <t>Expense</t>
        </is>
      </c>
      <c r="C52" s="35" t="n">
        <v>100</v>
      </c>
    </row>
    <row r="53">
      <c r="A53" s="35" t="inlineStr">
        <is>
          <t>Personal Care</t>
        </is>
      </c>
      <c r="B53" s="39" t="inlineStr">
        <is>
          <t>Expense</t>
        </is>
      </c>
      <c r="C53" s="35" t="n">
        <v>50</v>
      </c>
    </row>
    <row r="54">
      <c r="A54" s="35" t="inlineStr">
        <is>
          <t>Gym/Fitness</t>
        </is>
      </c>
      <c r="B54" s="39" t="inlineStr">
        <is>
          <t>Expense</t>
        </is>
      </c>
      <c r="C54" s="35" t="n">
        <v>50</v>
      </c>
    </row>
    <row r="55">
      <c r="A55" s="35" t="inlineStr">
        <is>
          <t>Pets</t>
        </is>
      </c>
      <c r="B55" s="39" t="inlineStr">
        <is>
          <t>Expense</t>
        </is>
      </c>
      <c r="C55" s="35" t="n">
        <v>50</v>
      </c>
    </row>
    <row r="56">
      <c r="A56" s="35" t="inlineStr">
        <is>
          <t>Kids</t>
        </is>
      </c>
      <c r="B56" s="39" t="inlineStr">
        <is>
          <t>Expense</t>
        </is>
      </c>
      <c r="C56" s="35" t="n">
        <v>200</v>
      </c>
    </row>
    <row r="57">
      <c r="A57" s="35" t="inlineStr">
        <is>
          <t>Gifts/Donations</t>
        </is>
      </c>
      <c r="B57" s="39" t="inlineStr">
        <is>
          <t>Expense</t>
        </is>
      </c>
      <c r="C57" s="35" t="n">
        <v>100</v>
      </c>
    </row>
    <row r="58">
      <c r="A58" s="35" t="inlineStr">
        <is>
          <t>Travel</t>
        </is>
      </c>
      <c r="B58" s="39" t="inlineStr">
        <is>
          <t>Expense</t>
        </is>
      </c>
      <c r="C58" s="35" t="n">
        <v>200</v>
      </c>
    </row>
    <row r="59">
      <c r="A59" s="35" t="inlineStr">
        <is>
          <t>Miscellaneous</t>
        </is>
      </c>
      <c r="B59" s="39" t="inlineStr">
        <is>
          <t>Expense</t>
        </is>
      </c>
      <c r="C59" s="35" t="n">
        <v>100</v>
      </c>
    </row>
    <row r="61">
      <c r="A61" s="30" t="inlineStr">
        <is>
          <t>Accounts</t>
        </is>
      </c>
    </row>
    <row r="62">
      <c r="A62" s="35" t="inlineStr">
        <is>
          <t>Checking</t>
        </is>
      </c>
    </row>
    <row r="63">
      <c r="A63" s="35" t="inlineStr">
        <is>
          <t>Savings</t>
        </is>
      </c>
    </row>
    <row r="64">
      <c r="A64" s="35" t="inlineStr">
        <is>
          <t>Cash</t>
        </is>
      </c>
    </row>
    <row r="65">
      <c r="A65" s="35" t="inlineStr">
        <is>
          <t>Credit Card</t>
        </is>
      </c>
    </row>
    <row r="66">
      <c r="A66" s="35" t="inlineStr">
        <is>
          <t>Debit Card</t>
        </is>
      </c>
    </row>
    <row r="67">
      <c r="A67" s="35" t="inlineStr">
        <is>
          <t>PayPal</t>
        </is>
      </c>
    </row>
    <row r="68">
      <c r="A68" s="35" t="inlineStr">
        <is>
          <t>Investment</t>
        </is>
      </c>
    </row>
    <row r="69">
      <c r="A69" s="35" t="inlineStr">
        <is>
          <t>Other</t>
        </is>
      </c>
    </row>
  </sheetData>
  <mergeCells count="1">
    <mergeCell ref="A1:C1"/>
  </mergeCells>
  <dataValidations count="1">
    <dataValidation sqref="B4" showDropDown="0" showInputMessage="0" showErrorMessage="0" allowBlank="1" type="list">
      <formula1>CurList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9A7A"/>
    <outlinePr summaryBelow="1" summaryRight="1"/>
    <pageSetUpPr/>
  </sheetPr>
  <dimension ref="A1:I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4" customWidth="1" min="4" max="4"/>
    <col width="28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40" t="inlineStr">
        <is>
          <t>Date</t>
        </is>
      </c>
      <c r="B1" s="40" t="inlineStr">
        <is>
          <t>Type</t>
        </is>
      </c>
      <c r="C1" s="40" t="inlineStr">
        <is>
          <t>Category</t>
        </is>
      </c>
      <c r="D1" s="40" t="inlineStr">
        <is>
          <t>Account</t>
        </is>
      </c>
      <c r="E1" s="40" t="inlineStr">
        <is>
          <t>Description</t>
        </is>
      </c>
      <c r="F1" s="40" t="inlineStr">
        <is>
          <t>Amount</t>
        </is>
      </c>
      <c r="G1" s="40" t="inlineStr">
        <is>
          <t>Month</t>
        </is>
      </c>
      <c r="H1" s="40" t="inlineStr">
        <is>
          <t>Year</t>
        </is>
      </c>
      <c r="I1" s="40" t="inlineStr">
        <is>
          <t>Day</t>
        </is>
      </c>
    </row>
    <row r="2">
      <c r="A2" s="41" t="n">
        <v>46027</v>
      </c>
      <c r="B2" s="20" t="inlineStr">
        <is>
          <t>Income</t>
        </is>
      </c>
      <c r="C2" s="20" t="inlineStr">
        <is>
          <t>Salary</t>
        </is>
      </c>
      <c r="D2" s="20" t="inlineStr">
        <is>
          <t>Checking</t>
        </is>
      </c>
      <c r="E2" s="20" t="inlineStr">
        <is>
          <t>January Salary</t>
        </is>
      </c>
      <c r="F2" s="42" t="n">
        <v>5000</v>
      </c>
      <c r="G2">
        <f>IF(A2="","",MONTH(A2))</f>
        <v/>
      </c>
      <c r="H2">
        <f>IF(A2="","",YEAR(A2))</f>
        <v/>
      </c>
      <c r="I2">
        <f>IF(A2="","",DAY(A2))</f>
        <v/>
      </c>
    </row>
    <row r="3">
      <c r="A3" s="41" t="n">
        <v>46032</v>
      </c>
      <c r="B3" s="20" t="inlineStr">
        <is>
          <t>Expense</t>
        </is>
      </c>
      <c r="C3" s="20" t="inlineStr">
        <is>
          <t>Rent/Mortgage</t>
        </is>
      </c>
      <c r="D3" s="20" t="inlineStr">
        <is>
          <t>Checking</t>
        </is>
      </c>
      <c r="E3" s="20" t="inlineStr">
        <is>
          <t>January Rent</t>
        </is>
      </c>
      <c r="F3" s="42" t="n">
        <v>1500</v>
      </c>
      <c r="G3">
        <f>IF(A3="","",MONTH(A3))</f>
        <v/>
      </c>
      <c r="H3">
        <f>IF(A3="","",YEAR(A3))</f>
        <v/>
      </c>
      <c r="I3">
        <f>IF(A3="","",DAY(A3))</f>
        <v/>
      </c>
    </row>
    <row r="4">
      <c r="A4" s="41" t="n">
        <v>46034</v>
      </c>
      <c r="B4" s="20" t="inlineStr">
        <is>
          <t>Expense</t>
        </is>
      </c>
      <c r="C4" s="20" t="inlineStr">
        <is>
          <t>Groceries</t>
        </is>
      </c>
      <c r="D4" s="20" t="inlineStr">
        <is>
          <t>Checking</t>
        </is>
      </c>
      <c r="E4" s="20" t="inlineStr">
        <is>
          <t>Grocery Run</t>
        </is>
      </c>
      <c r="F4" s="42" t="n">
        <v>120</v>
      </c>
      <c r="G4">
        <f>IF(A4="","",MONTH(A4))</f>
        <v/>
      </c>
      <c r="H4">
        <f>IF(A4="","",YEAR(A4))</f>
        <v/>
      </c>
      <c r="I4">
        <f>IF(A4="","",DAY(A4))</f>
        <v/>
      </c>
    </row>
    <row r="5">
      <c r="A5" s="41" t="n">
        <v>46037</v>
      </c>
      <c r="B5" s="20" t="inlineStr">
        <is>
          <t>Expense</t>
        </is>
      </c>
      <c r="C5" s="20" t="inlineStr">
        <is>
          <t>Utilities</t>
        </is>
      </c>
      <c r="D5" s="20" t="inlineStr">
        <is>
          <t>Checking</t>
        </is>
      </c>
      <c r="E5" s="20" t="inlineStr">
        <is>
          <t>Electric Bill</t>
        </is>
      </c>
      <c r="F5" s="42" t="n">
        <v>80</v>
      </c>
      <c r="G5">
        <f>IF(A5="","",MONTH(A5))</f>
        <v/>
      </c>
      <c r="H5">
        <f>IF(A5="","",YEAR(A5))</f>
        <v/>
      </c>
      <c r="I5">
        <f>IF(A5="","",DAY(A5))</f>
        <v/>
      </c>
    </row>
    <row r="6">
      <c r="A6" s="41" t="n">
        <v>46042</v>
      </c>
      <c r="B6" s="20" t="inlineStr">
        <is>
          <t>Expense</t>
        </is>
      </c>
      <c r="C6" s="20" t="inlineStr">
        <is>
          <t>Dining Out</t>
        </is>
      </c>
      <c r="D6" s="20" t="inlineStr">
        <is>
          <t>Credit Card</t>
        </is>
      </c>
      <c r="E6" s="20" t="inlineStr">
        <is>
          <t>Restaurant</t>
        </is>
      </c>
      <c r="F6" s="42" t="n">
        <v>45</v>
      </c>
      <c r="G6">
        <f>IF(A6="","",MONTH(A6))</f>
        <v/>
      </c>
      <c r="H6">
        <f>IF(A6="","",YEAR(A6))</f>
        <v/>
      </c>
      <c r="I6">
        <f>IF(A6="","",DAY(A6))</f>
        <v/>
      </c>
    </row>
    <row r="7">
      <c r="A7" s="41" t="n">
        <v>46058</v>
      </c>
      <c r="B7" s="20" t="inlineStr">
        <is>
          <t>Income</t>
        </is>
      </c>
      <c r="C7" s="20" t="inlineStr">
        <is>
          <t>Salary</t>
        </is>
      </c>
      <c r="D7" s="20" t="inlineStr">
        <is>
          <t>Checking</t>
        </is>
      </c>
      <c r="E7" s="20" t="inlineStr">
        <is>
          <t>February Salary</t>
        </is>
      </c>
      <c r="F7" s="42" t="n">
        <v>5000</v>
      </c>
      <c r="G7">
        <f>IF(A7="","",MONTH(A7))</f>
        <v/>
      </c>
      <c r="H7">
        <f>IF(A7="","",YEAR(A7))</f>
        <v/>
      </c>
      <c r="I7">
        <f>IF(A7="","",DAY(A7))</f>
        <v/>
      </c>
    </row>
    <row r="8">
      <c r="A8" s="41" t="n">
        <v>46061</v>
      </c>
      <c r="B8" s="20" t="inlineStr">
        <is>
          <t>Expense</t>
        </is>
      </c>
      <c r="C8" s="20" t="inlineStr">
        <is>
          <t>Rent/Mortgage</t>
        </is>
      </c>
      <c r="D8" s="20" t="inlineStr">
        <is>
          <t>Checking</t>
        </is>
      </c>
      <c r="E8" s="20" t="inlineStr">
        <is>
          <t>February Rent</t>
        </is>
      </c>
      <c r="F8" s="42" t="n">
        <v>1500</v>
      </c>
      <c r="G8">
        <f>IF(A8="","",MONTH(A8))</f>
        <v/>
      </c>
      <c r="H8">
        <f>IF(A8="","",YEAR(A8))</f>
        <v/>
      </c>
      <c r="I8">
        <f>IF(A8="","",DAY(A8))</f>
        <v/>
      </c>
    </row>
    <row r="9">
      <c r="A9" s="41" t="n">
        <v>46067</v>
      </c>
      <c r="B9" s="20" t="inlineStr">
        <is>
          <t>Expense</t>
        </is>
      </c>
      <c r="C9" s="20" t="inlineStr">
        <is>
          <t>Groceries</t>
        </is>
      </c>
      <c r="D9" s="20" t="inlineStr">
        <is>
          <t>Checking</t>
        </is>
      </c>
      <c r="E9" s="20" t="inlineStr">
        <is>
          <t>Grocery Run</t>
        </is>
      </c>
      <c r="F9" s="42" t="n">
        <v>135</v>
      </c>
      <c r="G9">
        <f>IF(A9="","",MONTH(A9))</f>
        <v/>
      </c>
      <c r="H9">
        <f>IF(A9="","",YEAR(A9))</f>
        <v/>
      </c>
      <c r="I9">
        <f>IF(A9="","",DAY(A9))</f>
        <v/>
      </c>
    </row>
    <row r="10">
      <c r="A10" s="41" t="n">
        <v>46071</v>
      </c>
      <c r="B10" s="20" t="inlineStr">
        <is>
          <t>Expense</t>
        </is>
      </c>
      <c r="C10" s="20" t="inlineStr">
        <is>
          <t>Entertainment</t>
        </is>
      </c>
      <c r="D10" s="20" t="inlineStr">
        <is>
          <t>Credit Card</t>
        </is>
      </c>
      <c r="E10" s="20" t="inlineStr">
        <is>
          <t>Netflix+Cinema</t>
        </is>
      </c>
      <c r="F10" s="42" t="n">
        <v>60</v>
      </c>
      <c r="G10">
        <f>IF(A10="","",MONTH(A10))</f>
        <v/>
      </c>
      <c r="H10">
        <f>IF(A10="","",YEAR(A10))</f>
        <v/>
      </c>
      <c r="I10">
        <f>IF(A10="","",DAY(A10))</f>
        <v/>
      </c>
    </row>
    <row r="11">
      <c r="A11" s="41" t="n">
        <v>46086</v>
      </c>
      <c r="B11" s="20" t="inlineStr">
        <is>
          <t>Income</t>
        </is>
      </c>
      <c r="C11" s="20" t="inlineStr">
        <is>
          <t>Salary</t>
        </is>
      </c>
      <c r="D11" s="20" t="inlineStr">
        <is>
          <t>Checking</t>
        </is>
      </c>
      <c r="E11" s="20" t="inlineStr">
        <is>
          <t>March Salary</t>
        </is>
      </c>
      <c r="F11" s="42" t="n">
        <v>5000</v>
      </c>
      <c r="G11">
        <f>IF(A11="","",MONTH(A11))</f>
        <v/>
      </c>
      <c r="H11">
        <f>IF(A11="","",YEAR(A11))</f>
        <v/>
      </c>
      <c r="I11">
        <f>IF(A11="","",DAY(A11))</f>
        <v/>
      </c>
    </row>
    <row r="12">
      <c r="A12" s="41" t="n">
        <v>46088</v>
      </c>
      <c r="B12" s="20" t="inlineStr">
        <is>
          <t>Expense</t>
        </is>
      </c>
      <c r="C12" s="20" t="inlineStr">
        <is>
          <t>Rent/Mortgage</t>
        </is>
      </c>
      <c r="D12" s="20" t="inlineStr">
        <is>
          <t>Checking</t>
        </is>
      </c>
      <c r="E12" s="20" t="inlineStr">
        <is>
          <t>March Rent</t>
        </is>
      </c>
      <c r="F12" s="42" t="n">
        <v>1500</v>
      </c>
      <c r="G12">
        <f>IF(A12="","",MONTH(A12))</f>
        <v/>
      </c>
      <c r="H12">
        <f>IF(A12="","",YEAR(A12))</f>
        <v/>
      </c>
      <c r="I12">
        <f>IF(A12="","",DAY(A12))</f>
        <v/>
      </c>
    </row>
    <row r="13">
      <c r="A13" s="41" t="n">
        <v>46096</v>
      </c>
      <c r="B13" s="20" t="inlineStr">
        <is>
          <t>Expense</t>
        </is>
      </c>
      <c r="C13" s="20" t="inlineStr">
        <is>
          <t>Groceries</t>
        </is>
      </c>
      <c r="D13" s="20" t="inlineStr">
        <is>
          <t>Checking</t>
        </is>
      </c>
      <c r="E13" s="20" t="inlineStr">
        <is>
          <t>Grocery Run</t>
        </is>
      </c>
      <c r="F13" s="42" t="n">
        <v>110</v>
      </c>
      <c r="G13">
        <f>IF(A13="","",MONTH(A13))</f>
        <v/>
      </c>
      <c r="H13">
        <f>IF(A13="","",YEAR(A13))</f>
        <v/>
      </c>
      <c r="I13">
        <f>IF(A13="","",DAY(A13))</f>
        <v/>
      </c>
    </row>
    <row r="14">
      <c r="A14" s="18" t="n"/>
      <c r="B14" s="18" t="n"/>
      <c r="C14" s="18" t="n"/>
      <c r="D14" s="18" t="n"/>
      <c r="E14" s="18" t="n"/>
      <c r="F14" s="18" t="n"/>
      <c r="G14">
        <f>IF(A14="","",MONTH(A14))</f>
        <v/>
      </c>
      <c r="H14">
        <f>IF(A14="","",YEAR(A14))</f>
        <v/>
      </c>
      <c r="I14">
        <f>IF(A14="","",DAY(A14))</f>
        <v/>
      </c>
    </row>
    <row r="15">
      <c r="A15" s="43" t="n"/>
      <c r="B15" s="43" t="n"/>
      <c r="C15" s="43" t="n"/>
      <c r="D15" s="43" t="n"/>
      <c r="E15" s="43" t="n"/>
      <c r="F15" s="43" t="n"/>
      <c r="G15">
        <f>IF(A15="","",MONTH(A15))</f>
        <v/>
      </c>
      <c r="H15">
        <f>IF(A15="","",YEAR(A15))</f>
        <v/>
      </c>
      <c r="I15">
        <f>IF(A15="","",DAY(A15))</f>
        <v/>
      </c>
    </row>
    <row r="16">
      <c r="A16" s="18" t="n"/>
      <c r="B16" s="18" t="n"/>
      <c r="C16" s="18" t="n"/>
      <c r="D16" s="18" t="n"/>
      <c r="E16" s="18" t="n"/>
      <c r="F16" s="18" t="n"/>
      <c r="G16">
        <f>IF(A16="","",MONTH(A16))</f>
        <v/>
      </c>
      <c r="H16">
        <f>IF(A16="","",YEAR(A16))</f>
        <v/>
      </c>
      <c r="I16">
        <f>IF(A16="","",DAY(A16))</f>
        <v/>
      </c>
    </row>
    <row r="17">
      <c r="A17" s="43" t="n"/>
      <c r="B17" s="43" t="n"/>
      <c r="C17" s="43" t="n"/>
      <c r="D17" s="43" t="n"/>
      <c r="E17" s="43" t="n"/>
      <c r="F17" s="43" t="n"/>
      <c r="G17">
        <f>IF(A17="","",MONTH(A17))</f>
        <v/>
      </c>
      <c r="H17">
        <f>IF(A17="","",YEAR(A17))</f>
        <v/>
      </c>
      <c r="I17">
        <f>IF(A17="","",DAY(A17))</f>
        <v/>
      </c>
    </row>
    <row r="18">
      <c r="A18" s="18" t="n"/>
      <c r="B18" s="18" t="n"/>
      <c r="C18" s="18" t="n"/>
      <c r="D18" s="18" t="n"/>
      <c r="E18" s="18" t="n"/>
      <c r="F18" s="18" t="n"/>
      <c r="G18">
        <f>IF(A18="","",MONTH(A18))</f>
        <v/>
      </c>
      <c r="H18">
        <f>IF(A18="","",YEAR(A18))</f>
        <v/>
      </c>
      <c r="I18">
        <f>IF(A18="","",DAY(A18))</f>
        <v/>
      </c>
    </row>
    <row r="19">
      <c r="A19" s="43" t="n"/>
      <c r="B19" s="43" t="n"/>
      <c r="C19" s="43" t="n"/>
      <c r="D19" s="43" t="n"/>
      <c r="E19" s="43" t="n"/>
      <c r="F19" s="43" t="n"/>
      <c r="G19">
        <f>IF(A19="","",MONTH(A19))</f>
        <v/>
      </c>
      <c r="H19">
        <f>IF(A19="","",YEAR(A19))</f>
        <v/>
      </c>
      <c r="I19">
        <f>IF(A19="","",DAY(A19))</f>
        <v/>
      </c>
    </row>
    <row r="20">
      <c r="A20" s="18" t="n"/>
      <c r="B20" s="18" t="n"/>
      <c r="C20" s="18" t="n"/>
      <c r="D20" s="18" t="n"/>
      <c r="E20" s="18" t="n"/>
      <c r="F20" s="18" t="n"/>
      <c r="G20">
        <f>IF(A20="","",MONTH(A20))</f>
        <v/>
      </c>
      <c r="H20">
        <f>IF(A20="","",YEAR(A20))</f>
        <v/>
      </c>
      <c r="I20">
        <f>IF(A20="","",DAY(A20))</f>
        <v/>
      </c>
    </row>
    <row r="21">
      <c r="A21" s="43" t="n"/>
      <c r="B21" s="43" t="n"/>
      <c r="C21" s="43" t="n"/>
      <c r="D21" s="43" t="n"/>
      <c r="E21" s="43" t="n"/>
      <c r="F21" s="43" t="n"/>
      <c r="G21">
        <f>IF(A21="","",MONTH(A21))</f>
        <v/>
      </c>
      <c r="H21">
        <f>IF(A21="","",YEAR(A21))</f>
        <v/>
      </c>
      <c r="I21">
        <f>IF(A21="","",DAY(A21))</f>
        <v/>
      </c>
    </row>
    <row r="22">
      <c r="A22" s="18" t="n"/>
      <c r="B22" s="18" t="n"/>
      <c r="C22" s="18" t="n"/>
      <c r="D22" s="18" t="n"/>
      <c r="E22" s="18" t="n"/>
      <c r="F22" s="18" t="n"/>
      <c r="G22">
        <f>IF(A22="","",MONTH(A22))</f>
        <v/>
      </c>
      <c r="H22">
        <f>IF(A22="","",YEAR(A22))</f>
        <v/>
      </c>
      <c r="I22">
        <f>IF(A22="","",DAY(A22))</f>
        <v/>
      </c>
    </row>
    <row r="23">
      <c r="A23" s="43" t="n"/>
      <c r="B23" s="43" t="n"/>
      <c r="C23" s="43" t="n"/>
      <c r="D23" s="43" t="n"/>
      <c r="E23" s="43" t="n"/>
      <c r="F23" s="43" t="n"/>
      <c r="G23">
        <f>IF(A23="","",MONTH(A23))</f>
        <v/>
      </c>
      <c r="H23">
        <f>IF(A23="","",YEAR(A23))</f>
        <v/>
      </c>
      <c r="I23">
        <f>IF(A23="","",DAY(A23))</f>
        <v/>
      </c>
    </row>
    <row r="24">
      <c r="A24" s="18" t="n"/>
      <c r="B24" s="18" t="n"/>
      <c r="C24" s="18" t="n"/>
      <c r="D24" s="18" t="n"/>
      <c r="E24" s="18" t="n"/>
      <c r="F24" s="18" t="n"/>
      <c r="G24">
        <f>IF(A24="","",MONTH(A24))</f>
        <v/>
      </c>
      <c r="H24">
        <f>IF(A24="","",YEAR(A24))</f>
        <v/>
      </c>
      <c r="I24">
        <f>IF(A24="","",DAY(A24))</f>
        <v/>
      </c>
    </row>
    <row r="25">
      <c r="A25" s="43" t="n"/>
      <c r="B25" s="43" t="n"/>
      <c r="C25" s="43" t="n"/>
      <c r="D25" s="43" t="n"/>
      <c r="E25" s="43" t="n"/>
      <c r="F25" s="43" t="n"/>
      <c r="G25">
        <f>IF(A25="","",MONTH(A25))</f>
        <v/>
      </c>
      <c r="H25">
        <f>IF(A25="","",YEAR(A25))</f>
        <v/>
      </c>
      <c r="I25">
        <f>IF(A25="","",DAY(A25))</f>
        <v/>
      </c>
    </row>
    <row r="26">
      <c r="A26" s="18" t="n"/>
      <c r="B26" s="18" t="n"/>
      <c r="C26" s="18" t="n"/>
      <c r="D26" s="18" t="n"/>
      <c r="E26" s="18" t="n"/>
      <c r="F26" s="18" t="n"/>
      <c r="G26">
        <f>IF(A26="","",MONTH(A26))</f>
        <v/>
      </c>
      <c r="H26">
        <f>IF(A26="","",YEAR(A26))</f>
        <v/>
      </c>
      <c r="I26">
        <f>IF(A26="","",DAY(A26))</f>
        <v/>
      </c>
    </row>
    <row r="27">
      <c r="A27" s="43" t="n"/>
      <c r="B27" s="43" t="n"/>
      <c r="C27" s="43" t="n"/>
      <c r="D27" s="43" t="n"/>
      <c r="E27" s="43" t="n"/>
      <c r="F27" s="43" t="n"/>
      <c r="G27">
        <f>IF(A27="","",MONTH(A27))</f>
        <v/>
      </c>
      <c r="H27">
        <f>IF(A27="","",YEAR(A27))</f>
        <v/>
      </c>
      <c r="I27">
        <f>IF(A27="","",DAY(A27))</f>
        <v/>
      </c>
    </row>
    <row r="28">
      <c r="A28" s="18" t="n"/>
      <c r="B28" s="18" t="n"/>
      <c r="C28" s="18" t="n"/>
      <c r="D28" s="18" t="n"/>
      <c r="E28" s="18" t="n"/>
      <c r="F28" s="18" t="n"/>
      <c r="G28">
        <f>IF(A28="","",MONTH(A28))</f>
        <v/>
      </c>
      <c r="H28">
        <f>IF(A28="","",YEAR(A28))</f>
        <v/>
      </c>
      <c r="I28">
        <f>IF(A28="","",DAY(A28))</f>
        <v/>
      </c>
    </row>
    <row r="29">
      <c r="A29" s="43" t="n"/>
      <c r="B29" s="43" t="n"/>
      <c r="C29" s="43" t="n"/>
      <c r="D29" s="43" t="n"/>
      <c r="E29" s="43" t="n"/>
      <c r="F29" s="43" t="n"/>
      <c r="G29">
        <f>IF(A29="","",MONTH(A29))</f>
        <v/>
      </c>
      <c r="H29">
        <f>IF(A29="","",YEAR(A29))</f>
        <v/>
      </c>
      <c r="I29">
        <f>IF(A29="","",DAY(A29))</f>
        <v/>
      </c>
    </row>
    <row r="30">
      <c r="A30" s="18" t="n"/>
      <c r="B30" s="18" t="n"/>
      <c r="C30" s="18" t="n"/>
      <c r="D30" s="18" t="n"/>
      <c r="E30" s="18" t="n"/>
      <c r="F30" s="18" t="n"/>
      <c r="G30">
        <f>IF(A30="","",MONTH(A30))</f>
        <v/>
      </c>
      <c r="H30">
        <f>IF(A30="","",YEAR(A30))</f>
        <v/>
      </c>
      <c r="I30">
        <f>IF(A30="","",DAY(A30))</f>
        <v/>
      </c>
    </row>
    <row r="31">
      <c r="A31" s="43" t="n"/>
      <c r="B31" s="43" t="n"/>
      <c r="C31" s="43" t="n"/>
      <c r="D31" s="43" t="n"/>
      <c r="E31" s="43" t="n"/>
      <c r="F31" s="43" t="n"/>
      <c r="G31">
        <f>IF(A31="","",MONTH(A31))</f>
        <v/>
      </c>
      <c r="H31">
        <f>IF(A31="","",YEAR(A31))</f>
        <v/>
      </c>
      <c r="I31">
        <f>IF(A31="","",DAY(A31))</f>
        <v/>
      </c>
    </row>
    <row r="32">
      <c r="A32" s="18" t="n"/>
      <c r="B32" s="18" t="n"/>
      <c r="C32" s="18" t="n"/>
      <c r="D32" s="18" t="n"/>
      <c r="E32" s="18" t="n"/>
      <c r="F32" s="18" t="n"/>
      <c r="G32">
        <f>IF(A32="","",MONTH(A32))</f>
        <v/>
      </c>
      <c r="H32">
        <f>IF(A32="","",YEAR(A32))</f>
        <v/>
      </c>
      <c r="I32">
        <f>IF(A32="","",DAY(A32))</f>
        <v/>
      </c>
    </row>
    <row r="33">
      <c r="A33" s="43" t="n"/>
      <c r="B33" s="43" t="n"/>
      <c r="C33" s="43" t="n"/>
      <c r="D33" s="43" t="n"/>
      <c r="E33" s="43" t="n"/>
      <c r="F33" s="43" t="n"/>
      <c r="G33">
        <f>IF(A33="","",MONTH(A33))</f>
        <v/>
      </c>
      <c r="H33">
        <f>IF(A33="","",YEAR(A33))</f>
        <v/>
      </c>
      <c r="I33">
        <f>IF(A33="","",DAY(A33))</f>
        <v/>
      </c>
    </row>
    <row r="34">
      <c r="A34" s="18" t="n"/>
      <c r="B34" s="18" t="n"/>
      <c r="C34" s="18" t="n"/>
      <c r="D34" s="18" t="n"/>
      <c r="E34" s="18" t="n"/>
      <c r="F34" s="18" t="n"/>
      <c r="G34">
        <f>IF(A34="","",MONTH(A34))</f>
        <v/>
      </c>
      <c r="H34">
        <f>IF(A34="","",YEAR(A34))</f>
        <v/>
      </c>
      <c r="I34">
        <f>IF(A34="","",DAY(A34))</f>
        <v/>
      </c>
    </row>
    <row r="35">
      <c r="A35" s="43" t="n"/>
      <c r="B35" s="43" t="n"/>
      <c r="C35" s="43" t="n"/>
      <c r="D35" s="43" t="n"/>
      <c r="E35" s="43" t="n"/>
      <c r="F35" s="43" t="n"/>
      <c r="G35">
        <f>IF(A35="","",MONTH(A35))</f>
        <v/>
      </c>
      <c r="H35">
        <f>IF(A35="","",YEAR(A35))</f>
        <v/>
      </c>
      <c r="I35">
        <f>IF(A35="","",DAY(A35))</f>
        <v/>
      </c>
    </row>
    <row r="36">
      <c r="A36" s="18" t="n"/>
      <c r="B36" s="18" t="n"/>
      <c r="C36" s="18" t="n"/>
      <c r="D36" s="18" t="n"/>
      <c r="E36" s="18" t="n"/>
      <c r="F36" s="18" t="n"/>
      <c r="G36">
        <f>IF(A36="","",MONTH(A36))</f>
        <v/>
      </c>
      <c r="H36">
        <f>IF(A36="","",YEAR(A36))</f>
        <v/>
      </c>
      <c r="I36">
        <f>IF(A36="","",DAY(A36))</f>
        <v/>
      </c>
    </row>
    <row r="37">
      <c r="A37" s="43" t="n"/>
      <c r="B37" s="43" t="n"/>
      <c r="C37" s="43" t="n"/>
      <c r="D37" s="43" t="n"/>
      <c r="E37" s="43" t="n"/>
      <c r="F37" s="43" t="n"/>
      <c r="G37">
        <f>IF(A37="","",MONTH(A37))</f>
        <v/>
      </c>
      <c r="H37">
        <f>IF(A37="","",YEAR(A37))</f>
        <v/>
      </c>
      <c r="I37">
        <f>IF(A37="","",DAY(A37))</f>
        <v/>
      </c>
    </row>
    <row r="38">
      <c r="A38" s="18" t="n"/>
      <c r="B38" s="18" t="n"/>
      <c r="C38" s="18" t="n"/>
      <c r="D38" s="18" t="n"/>
      <c r="E38" s="18" t="n"/>
      <c r="F38" s="18" t="n"/>
      <c r="G38">
        <f>IF(A38="","",MONTH(A38))</f>
        <v/>
      </c>
      <c r="H38">
        <f>IF(A38="","",YEAR(A38))</f>
        <v/>
      </c>
      <c r="I38">
        <f>IF(A38="","",DAY(A38))</f>
        <v/>
      </c>
    </row>
    <row r="39">
      <c r="A39" s="43" t="n"/>
      <c r="B39" s="43" t="n"/>
      <c r="C39" s="43" t="n"/>
      <c r="D39" s="43" t="n"/>
      <c r="E39" s="43" t="n"/>
      <c r="F39" s="43" t="n"/>
      <c r="G39">
        <f>IF(A39="","",MONTH(A39))</f>
        <v/>
      </c>
      <c r="H39">
        <f>IF(A39="","",YEAR(A39))</f>
        <v/>
      </c>
      <c r="I39">
        <f>IF(A39="","",DAY(A39))</f>
        <v/>
      </c>
    </row>
    <row r="40">
      <c r="A40" s="18" t="n"/>
      <c r="B40" s="18" t="n"/>
      <c r="C40" s="18" t="n"/>
      <c r="D40" s="18" t="n"/>
      <c r="E40" s="18" t="n"/>
      <c r="F40" s="18" t="n"/>
      <c r="G40">
        <f>IF(A40="","",MONTH(A40))</f>
        <v/>
      </c>
      <c r="H40">
        <f>IF(A40="","",YEAR(A40))</f>
        <v/>
      </c>
      <c r="I40">
        <f>IF(A40="","",DAY(A40))</f>
        <v/>
      </c>
    </row>
    <row r="41">
      <c r="A41" s="43" t="n"/>
      <c r="B41" s="43" t="n"/>
      <c r="C41" s="43" t="n"/>
      <c r="D41" s="43" t="n"/>
      <c r="E41" s="43" t="n"/>
      <c r="F41" s="43" t="n"/>
      <c r="G41">
        <f>IF(A41="","",MONTH(A41))</f>
        <v/>
      </c>
      <c r="H41">
        <f>IF(A41="","",YEAR(A41))</f>
        <v/>
      </c>
      <c r="I41">
        <f>IF(A41="","",DAY(A41))</f>
        <v/>
      </c>
    </row>
    <row r="42">
      <c r="A42" s="18" t="n"/>
      <c r="B42" s="18" t="n"/>
      <c r="C42" s="18" t="n"/>
      <c r="D42" s="18" t="n"/>
      <c r="E42" s="18" t="n"/>
      <c r="F42" s="18" t="n"/>
      <c r="G42">
        <f>IF(A42="","",MONTH(A42))</f>
        <v/>
      </c>
      <c r="H42">
        <f>IF(A42="","",YEAR(A42))</f>
        <v/>
      </c>
      <c r="I42">
        <f>IF(A42="","",DAY(A42))</f>
        <v/>
      </c>
    </row>
    <row r="43">
      <c r="A43" s="43" t="n"/>
      <c r="B43" s="43" t="n"/>
      <c r="C43" s="43" t="n"/>
      <c r="D43" s="43" t="n"/>
      <c r="E43" s="43" t="n"/>
      <c r="F43" s="43" t="n"/>
      <c r="G43">
        <f>IF(A43="","",MONTH(A43))</f>
        <v/>
      </c>
      <c r="H43">
        <f>IF(A43="","",YEAR(A43))</f>
        <v/>
      </c>
      <c r="I43">
        <f>IF(A43="","",DAY(A43))</f>
        <v/>
      </c>
    </row>
    <row r="44">
      <c r="A44" s="18" t="n"/>
      <c r="B44" s="18" t="n"/>
      <c r="C44" s="18" t="n"/>
      <c r="D44" s="18" t="n"/>
      <c r="E44" s="18" t="n"/>
      <c r="F44" s="18" t="n"/>
      <c r="G44">
        <f>IF(A44="","",MONTH(A44))</f>
        <v/>
      </c>
      <c r="H44">
        <f>IF(A44="","",YEAR(A44))</f>
        <v/>
      </c>
      <c r="I44">
        <f>IF(A44="","",DAY(A44))</f>
        <v/>
      </c>
    </row>
    <row r="45">
      <c r="A45" s="43" t="n"/>
      <c r="B45" s="43" t="n"/>
      <c r="C45" s="43" t="n"/>
      <c r="D45" s="43" t="n"/>
      <c r="E45" s="43" t="n"/>
      <c r="F45" s="43" t="n"/>
      <c r="G45">
        <f>IF(A45="","",MONTH(A45))</f>
        <v/>
      </c>
      <c r="H45">
        <f>IF(A45="","",YEAR(A45))</f>
        <v/>
      </c>
      <c r="I45">
        <f>IF(A45="","",DAY(A45))</f>
        <v/>
      </c>
    </row>
    <row r="46">
      <c r="A46" s="18" t="n"/>
      <c r="B46" s="18" t="n"/>
      <c r="C46" s="18" t="n"/>
      <c r="D46" s="18" t="n"/>
      <c r="E46" s="18" t="n"/>
      <c r="F46" s="18" t="n"/>
      <c r="G46">
        <f>IF(A46="","",MONTH(A46))</f>
        <v/>
      </c>
      <c r="H46">
        <f>IF(A46="","",YEAR(A46))</f>
        <v/>
      </c>
      <c r="I46">
        <f>IF(A46="","",DAY(A46))</f>
        <v/>
      </c>
    </row>
    <row r="47">
      <c r="A47" s="43" t="n"/>
      <c r="B47" s="43" t="n"/>
      <c r="C47" s="43" t="n"/>
      <c r="D47" s="43" t="n"/>
      <c r="E47" s="43" t="n"/>
      <c r="F47" s="43" t="n"/>
      <c r="G47">
        <f>IF(A47="","",MONTH(A47))</f>
        <v/>
      </c>
      <c r="H47">
        <f>IF(A47="","",YEAR(A47))</f>
        <v/>
      </c>
      <c r="I47">
        <f>IF(A47="","",DAY(A47))</f>
        <v/>
      </c>
    </row>
    <row r="48">
      <c r="A48" s="18" t="n"/>
      <c r="B48" s="18" t="n"/>
      <c r="C48" s="18" t="n"/>
      <c r="D48" s="18" t="n"/>
      <c r="E48" s="18" t="n"/>
      <c r="F48" s="18" t="n"/>
      <c r="G48">
        <f>IF(A48="","",MONTH(A48))</f>
        <v/>
      </c>
      <c r="H48">
        <f>IF(A48="","",YEAR(A48))</f>
        <v/>
      </c>
      <c r="I48">
        <f>IF(A48="","",DAY(A48))</f>
        <v/>
      </c>
    </row>
    <row r="49">
      <c r="A49" s="43" t="n"/>
      <c r="B49" s="43" t="n"/>
      <c r="C49" s="43" t="n"/>
      <c r="D49" s="43" t="n"/>
      <c r="E49" s="43" t="n"/>
      <c r="F49" s="43" t="n"/>
      <c r="G49">
        <f>IF(A49="","",MONTH(A49))</f>
        <v/>
      </c>
      <c r="H49">
        <f>IF(A49="","",YEAR(A49))</f>
        <v/>
      </c>
      <c r="I49">
        <f>IF(A49="","",DAY(A49))</f>
        <v/>
      </c>
    </row>
    <row r="50">
      <c r="A50" s="18" t="n"/>
      <c r="B50" s="18" t="n"/>
      <c r="C50" s="18" t="n"/>
      <c r="D50" s="18" t="n"/>
      <c r="E50" s="18" t="n"/>
      <c r="F50" s="18" t="n"/>
      <c r="G50">
        <f>IF(A50="","",MONTH(A50))</f>
        <v/>
      </c>
      <c r="H50">
        <f>IF(A50="","",YEAR(A50))</f>
        <v/>
      </c>
      <c r="I50">
        <f>IF(A50="","",DAY(A50))</f>
        <v/>
      </c>
    </row>
    <row r="51">
      <c r="A51" s="43" t="n"/>
      <c r="B51" s="43" t="n"/>
      <c r="C51" s="43" t="n"/>
      <c r="D51" s="43" t="n"/>
      <c r="E51" s="43" t="n"/>
      <c r="F51" s="43" t="n"/>
      <c r="G51">
        <f>IF(A51="","",MONTH(A51))</f>
        <v/>
      </c>
      <c r="H51">
        <f>IF(A51="","",YEAR(A51))</f>
        <v/>
      </c>
      <c r="I51">
        <f>IF(A51="","",DAY(A51))</f>
        <v/>
      </c>
    </row>
    <row r="52">
      <c r="A52" s="18" t="n"/>
      <c r="B52" s="18" t="n"/>
      <c r="C52" s="18" t="n"/>
      <c r="D52" s="18" t="n"/>
      <c r="E52" s="18" t="n"/>
      <c r="F52" s="18" t="n"/>
      <c r="G52">
        <f>IF(A52="","",MONTH(A52))</f>
        <v/>
      </c>
      <c r="H52">
        <f>IF(A52="","",YEAR(A52))</f>
        <v/>
      </c>
      <c r="I52">
        <f>IF(A52="","",DAY(A52))</f>
        <v/>
      </c>
    </row>
    <row r="53">
      <c r="A53" s="43" t="n"/>
      <c r="B53" s="43" t="n"/>
      <c r="C53" s="43" t="n"/>
      <c r="D53" s="43" t="n"/>
      <c r="E53" s="43" t="n"/>
      <c r="F53" s="43" t="n"/>
      <c r="G53">
        <f>IF(A53="","",MONTH(A53))</f>
        <v/>
      </c>
      <c r="H53">
        <f>IF(A53="","",YEAR(A53))</f>
        <v/>
      </c>
      <c r="I53">
        <f>IF(A53="","",DAY(A53))</f>
        <v/>
      </c>
    </row>
    <row r="54">
      <c r="A54" s="18" t="n"/>
      <c r="B54" s="18" t="n"/>
      <c r="C54" s="18" t="n"/>
      <c r="D54" s="18" t="n"/>
      <c r="E54" s="18" t="n"/>
      <c r="F54" s="18" t="n"/>
      <c r="G54">
        <f>IF(A54="","",MONTH(A54))</f>
        <v/>
      </c>
      <c r="H54">
        <f>IF(A54="","",YEAR(A54))</f>
        <v/>
      </c>
      <c r="I54">
        <f>IF(A54="","",DAY(A54))</f>
        <v/>
      </c>
    </row>
    <row r="55">
      <c r="A55" s="43" t="n"/>
      <c r="B55" s="43" t="n"/>
      <c r="C55" s="43" t="n"/>
      <c r="D55" s="43" t="n"/>
      <c r="E55" s="43" t="n"/>
      <c r="F55" s="43" t="n"/>
      <c r="G55">
        <f>IF(A55="","",MONTH(A55))</f>
        <v/>
      </c>
      <c r="H55">
        <f>IF(A55="","",YEAR(A55))</f>
        <v/>
      </c>
      <c r="I55">
        <f>IF(A55="","",DAY(A55))</f>
        <v/>
      </c>
    </row>
    <row r="56">
      <c r="A56" s="18" t="n"/>
      <c r="B56" s="18" t="n"/>
      <c r="C56" s="18" t="n"/>
      <c r="D56" s="18" t="n"/>
      <c r="E56" s="18" t="n"/>
      <c r="F56" s="18" t="n"/>
      <c r="G56">
        <f>IF(A56="","",MONTH(A56))</f>
        <v/>
      </c>
      <c r="H56">
        <f>IF(A56="","",YEAR(A56))</f>
        <v/>
      </c>
      <c r="I56">
        <f>IF(A56="","",DAY(A56))</f>
        <v/>
      </c>
    </row>
    <row r="57">
      <c r="A57" s="43" t="n"/>
      <c r="B57" s="43" t="n"/>
      <c r="C57" s="43" t="n"/>
      <c r="D57" s="43" t="n"/>
      <c r="E57" s="43" t="n"/>
      <c r="F57" s="43" t="n"/>
      <c r="G57">
        <f>IF(A57="","",MONTH(A57))</f>
        <v/>
      </c>
      <c r="H57">
        <f>IF(A57="","",YEAR(A57))</f>
        <v/>
      </c>
      <c r="I57">
        <f>IF(A57="","",DAY(A57))</f>
        <v/>
      </c>
    </row>
    <row r="58">
      <c r="A58" s="18" t="n"/>
      <c r="B58" s="18" t="n"/>
      <c r="C58" s="18" t="n"/>
      <c r="D58" s="18" t="n"/>
      <c r="E58" s="18" t="n"/>
      <c r="F58" s="18" t="n"/>
      <c r="G58">
        <f>IF(A58="","",MONTH(A58))</f>
        <v/>
      </c>
      <c r="H58">
        <f>IF(A58="","",YEAR(A58))</f>
        <v/>
      </c>
      <c r="I58">
        <f>IF(A58="","",DAY(A58))</f>
        <v/>
      </c>
    </row>
    <row r="59">
      <c r="A59" s="43" t="n"/>
      <c r="B59" s="43" t="n"/>
      <c r="C59" s="43" t="n"/>
      <c r="D59" s="43" t="n"/>
      <c r="E59" s="43" t="n"/>
      <c r="F59" s="43" t="n"/>
      <c r="G59">
        <f>IF(A59="","",MONTH(A59))</f>
        <v/>
      </c>
      <c r="H59">
        <f>IF(A59="","",YEAR(A59))</f>
        <v/>
      </c>
      <c r="I59">
        <f>IF(A59="","",DAY(A59))</f>
        <v/>
      </c>
    </row>
    <row r="60">
      <c r="A60" s="18" t="n"/>
      <c r="B60" s="18" t="n"/>
      <c r="C60" s="18" t="n"/>
      <c r="D60" s="18" t="n"/>
      <c r="E60" s="18" t="n"/>
      <c r="F60" s="18" t="n"/>
      <c r="G60">
        <f>IF(A60="","",MONTH(A60))</f>
        <v/>
      </c>
      <c r="H60">
        <f>IF(A60="","",YEAR(A60))</f>
        <v/>
      </c>
      <c r="I60">
        <f>IF(A60="","",DAY(A60))</f>
        <v/>
      </c>
    </row>
    <row r="61">
      <c r="A61" s="43" t="n"/>
      <c r="B61" s="43" t="n"/>
      <c r="C61" s="43" t="n"/>
      <c r="D61" s="43" t="n"/>
      <c r="E61" s="43" t="n"/>
      <c r="F61" s="43" t="n"/>
      <c r="G61">
        <f>IF(A61="","",MONTH(A61))</f>
        <v/>
      </c>
      <c r="H61">
        <f>IF(A61="","",YEAR(A61))</f>
        <v/>
      </c>
      <c r="I61">
        <f>IF(A61="","",DAY(A61))</f>
        <v/>
      </c>
    </row>
    <row r="62">
      <c r="A62" s="18" t="n"/>
      <c r="B62" s="18" t="n"/>
      <c r="C62" s="18" t="n"/>
      <c r="D62" s="18" t="n"/>
      <c r="E62" s="18" t="n"/>
      <c r="F62" s="18" t="n"/>
      <c r="G62">
        <f>IF(A62="","",MONTH(A62))</f>
        <v/>
      </c>
      <c r="H62">
        <f>IF(A62="","",YEAR(A62))</f>
        <v/>
      </c>
      <c r="I62">
        <f>IF(A62="","",DAY(A62))</f>
        <v/>
      </c>
    </row>
    <row r="63">
      <c r="A63" s="43" t="n"/>
      <c r="B63" s="43" t="n"/>
      <c r="C63" s="43" t="n"/>
      <c r="D63" s="43" t="n"/>
      <c r="E63" s="43" t="n"/>
      <c r="F63" s="43" t="n"/>
      <c r="G63">
        <f>IF(A63="","",MONTH(A63))</f>
        <v/>
      </c>
      <c r="H63">
        <f>IF(A63="","",YEAR(A63))</f>
        <v/>
      </c>
      <c r="I63">
        <f>IF(A63="","",DAY(A63))</f>
        <v/>
      </c>
    </row>
    <row r="64">
      <c r="A64" s="18" t="n"/>
      <c r="B64" s="18" t="n"/>
      <c r="C64" s="18" t="n"/>
      <c r="D64" s="18" t="n"/>
      <c r="E64" s="18" t="n"/>
      <c r="F64" s="18" t="n"/>
      <c r="G64">
        <f>IF(A64="","",MONTH(A64))</f>
        <v/>
      </c>
      <c r="H64">
        <f>IF(A64="","",YEAR(A64))</f>
        <v/>
      </c>
      <c r="I64">
        <f>IF(A64="","",DAY(A64))</f>
        <v/>
      </c>
    </row>
    <row r="65">
      <c r="A65" s="43" t="n"/>
      <c r="B65" s="43" t="n"/>
      <c r="C65" s="43" t="n"/>
      <c r="D65" s="43" t="n"/>
      <c r="E65" s="43" t="n"/>
      <c r="F65" s="43" t="n"/>
      <c r="G65">
        <f>IF(A65="","",MONTH(A65))</f>
        <v/>
      </c>
      <c r="H65">
        <f>IF(A65="","",YEAR(A65))</f>
        <v/>
      </c>
      <c r="I65">
        <f>IF(A65="","",DAY(A65))</f>
        <v/>
      </c>
    </row>
    <row r="66">
      <c r="A66" s="18" t="n"/>
      <c r="B66" s="18" t="n"/>
      <c r="C66" s="18" t="n"/>
      <c r="D66" s="18" t="n"/>
      <c r="E66" s="18" t="n"/>
      <c r="F66" s="18" t="n"/>
      <c r="G66">
        <f>IF(A66="","",MONTH(A66))</f>
        <v/>
      </c>
      <c r="H66">
        <f>IF(A66="","",YEAR(A66))</f>
        <v/>
      </c>
      <c r="I66">
        <f>IF(A66="","",DAY(A66))</f>
        <v/>
      </c>
    </row>
    <row r="67">
      <c r="A67" s="43" t="n"/>
      <c r="B67" s="43" t="n"/>
      <c r="C67" s="43" t="n"/>
      <c r="D67" s="43" t="n"/>
      <c r="E67" s="43" t="n"/>
      <c r="F67" s="43" t="n"/>
      <c r="G67">
        <f>IF(A67="","",MONTH(A67))</f>
        <v/>
      </c>
      <c r="H67">
        <f>IF(A67="","",YEAR(A67))</f>
        <v/>
      </c>
      <c r="I67">
        <f>IF(A67="","",DAY(A67))</f>
        <v/>
      </c>
    </row>
    <row r="68">
      <c r="A68" s="18" t="n"/>
      <c r="B68" s="18" t="n"/>
      <c r="C68" s="18" t="n"/>
      <c r="D68" s="18" t="n"/>
      <c r="E68" s="18" t="n"/>
      <c r="F68" s="18" t="n"/>
      <c r="G68">
        <f>IF(A68="","",MONTH(A68))</f>
        <v/>
      </c>
      <c r="H68">
        <f>IF(A68="","",YEAR(A68))</f>
        <v/>
      </c>
      <c r="I68">
        <f>IF(A68="","",DAY(A68))</f>
        <v/>
      </c>
    </row>
    <row r="69">
      <c r="A69" s="43" t="n"/>
      <c r="B69" s="43" t="n"/>
      <c r="C69" s="43" t="n"/>
      <c r="D69" s="43" t="n"/>
      <c r="E69" s="43" t="n"/>
      <c r="F69" s="43" t="n"/>
      <c r="G69">
        <f>IF(A69="","",MONTH(A69))</f>
        <v/>
      </c>
      <c r="H69">
        <f>IF(A69="","",YEAR(A69))</f>
        <v/>
      </c>
      <c r="I69">
        <f>IF(A69="","",DAY(A69))</f>
        <v/>
      </c>
    </row>
    <row r="70">
      <c r="A70" s="18" t="n"/>
      <c r="B70" s="18" t="n"/>
      <c r="C70" s="18" t="n"/>
      <c r="D70" s="18" t="n"/>
      <c r="E70" s="18" t="n"/>
      <c r="F70" s="18" t="n"/>
      <c r="G70">
        <f>IF(A70="","",MONTH(A70))</f>
        <v/>
      </c>
      <c r="H70">
        <f>IF(A70="","",YEAR(A70))</f>
        <v/>
      </c>
      <c r="I70">
        <f>IF(A70="","",DAY(A70))</f>
        <v/>
      </c>
    </row>
    <row r="71">
      <c r="A71" s="43" t="n"/>
      <c r="B71" s="43" t="n"/>
      <c r="C71" s="43" t="n"/>
      <c r="D71" s="43" t="n"/>
      <c r="E71" s="43" t="n"/>
      <c r="F71" s="43" t="n"/>
      <c r="G71">
        <f>IF(A71="","",MONTH(A71))</f>
        <v/>
      </c>
      <c r="H71">
        <f>IF(A71="","",YEAR(A71))</f>
        <v/>
      </c>
      <c r="I71">
        <f>IF(A71="","",DAY(A71))</f>
        <v/>
      </c>
    </row>
    <row r="72">
      <c r="A72" s="18" t="n"/>
      <c r="B72" s="18" t="n"/>
      <c r="C72" s="18" t="n"/>
      <c r="D72" s="18" t="n"/>
      <c r="E72" s="18" t="n"/>
      <c r="F72" s="18" t="n"/>
      <c r="G72">
        <f>IF(A72="","",MONTH(A72))</f>
        <v/>
      </c>
      <c r="H72">
        <f>IF(A72="","",YEAR(A72))</f>
        <v/>
      </c>
      <c r="I72">
        <f>IF(A72="","",DAY(A72))</f>
        <v/>
      </c>
    </row>
    <row r="73">
      <c r="A73" s="43" t="n"/>
      <c r="B73" s="43" t="n"/>
      <c r="C73" s="43" t="n"/>
      <c r="D73" s="43" t="n"/>
      <c r="E73" s="43" t="n"/>
      <c r="F73" s="43" t="n"/>
      <c r="G73">
        <f>IF(A73="","",MONTH(A73))</f>
        <v/>
      </c>
      <c r="H73">
        <f>IF(A73="","",YEAR(A73))</f>
        <v/>
      </c>
      <c r="I73">
        <f>IF(A73="","",DAY(A73))</f>
        <v/>
      </c>
    </row>
    <row r="74">
      <c r="A74" s="18" t="n"/>
      <c r="B74" s="18" t="n"/>
      <c r="C74" s="18" t="n"/>
      <c r="D74" s="18" t="n"/>
      <c r="E74" s="18" t="n"/>
      <c r="F74" s="18" t="n"/>
      <c r="G74">
        <f>IF(A74="","",MONTH(A74))</f>
        <v/>
      </c>
      <c r="H74">
        <f>IF(A74="","",YEAR(A74))</f>
        <v/>
      </c>
      <c r="I74">
        <f>IF(A74="","",DAY(A74))</f>
        <v/>
      </c>
    </row>
    <row r="75">
      <c r="A75" s="43" t="n"/>
      <c r="B75" s="43" t="n"/>
      <c r="C75" s="43" t="n"/>
      <c r="D75" s="43" t="n"/>
      <c r="E75" s="43" t="n"/>
      <c r="F75" s="43" t="n"/>
      <c r="G75">
        <f>IF(A75="","",MONTH(A75))</f>
        <v/>
      </c>
      <c r="H75">
        <f>IF(A75="","",YEAR(A75))</f>
        <v/>
      </c>
      <c r="I75">
        <f>IF(A75="","",DAY(A75))</f>
        <v/>
      </c>
    </row>
    <row r="76">
      <c r="A76" s="18" t="n"/>
      <c r="B76" s="18" t="n"/>
      <c r="C76" s="18" t="n"/>
      <c r="D76" s="18" t="n"/>
      <c r="E76" s="18" t="n"/>
      <c r="F76" s="18" t="n"/>
      <c r="G76">
        <f>IF(A76="","",MONTH(A76))</f>
        <v/>
      </c>
      <c r="H76">
        <f>IF(A76="","",YEAR(A76))</f>
        <v/>
      </c>
      <c r="I76">
        <f>IF(A76="","",DAY(A76))</f>
        <v/>
      </c>
    </row>
    <row r="77">
      <c r="A77" s="43" t="n"/>
      <c r="B77" s="43" t="n"/>
      <c r="C77" s="43" t="n"/>
      <c r="D77" s="43" t="n"/>
      <c r="E77" s="43" t="n"/>
      <c r="F77" s="43" t="n"/>
      <c r="G77">
        <f>IF(A77="","",MONTH(A77))</f>
        <v/>
      </c>
      <c r="H77">
        <f>IF(A77="","",YEAR(A77))</f>
        <v/>
      </c>
      <c r="I77">
        <f>IF(A77="","",DAY(A77))</f>
        <v/>
      </c>
    </row>
    <row r="78">
      <c r="A78" s="18" t="n"/>
      <c r="B78" s="18" t="n"/>
      <c r="C78" s="18" t="n"/>
      <c r="D78" s="18" t="n"/>
      <c r="E78" s="18" t="n"/>
      <c r="F78" s="18" t="n"/>
      <c r="G78">
        <f>IF(A78="","",MONTH(A78))</f>
        <v/>
      </c>
      <c r="H78">
        <f>IF(A78="","",YEAR(A78))</f>
        <v/>
      </c>
      <c r="I78">
        <f>IF(A78="","",DAY(A78))</f>
        <v/>
      </c>
    </row>
    <row r="79">
      <c r="A79" s="43" t="n"/>
      <c r="B79" s="43" t="n"/>
      <c r="C79" s="43" t="n"/>
      <c r="D79" s="43" t="n"/>
      <c r="E79" s="43" t="n"/>
      <c r="F79" s="43" t="n"/>
      <c r="G79">
        <f>IF(A79="","",MONTH(A79))</f>
        <v/>
      </c>
      <c r="H79">
        <f>IF(A79="","",YEAR(A79))</f>
        <v/>
      </c>
      <c r="I79">
        <f>IF(A79="","",DAY(A79))</f>
        <v/>
      </c>
    </row>
    <row r="80">
      <c r="A80" s="18" t="n"/>
      <c r="B80" s="18" t="n"/>
      <c r="C80" s="18" t="n"/>
      <c r="D80" s="18" t="n"/>
      <c r="E80" s="18" t="n"/>
      <c r="F80" s="18" t="n"/>
      <c r="G80">
        <f>IF(A80="","",MONTH(A80))</f>
        <v/>
      </c>
      <c r="H80">
        <f>IF(A80="","",YEAR(A80))</f>
        <v/>
      </c>
      <c r="I80">
        <f>IF(A80="","",DAY(A80))</f>
        <v/>
      </c>
    </row>
    <row r="81">
      <c r="A81" s="43" t="n"/>
      <c r="B81" s="43" t="n"/>
      <c r="C81" s="43" t="n"/>
      <c r="D81" s="43" t="n"/>
      <c r="E81" s="43" t="n"/>
      <c r="F81" s="43" t="n"/>
      <c r="G81">
        <f>IF(A81="","",MONTH(A81))</f>
        <v/>
      </c>
      <c r="H81">
        <f>IF(A81="","",YEAR(A81))</f>
        <v/>
      </c>
      <c r="I81">
        <f>IF(A81="","",DAY(A81))</f>
        <v/>
      </c>
    </row>
    <row r="82">
      <c r="A82" s="18" t="n"/>
      <c r="B82" s="18" t="n"/>
      <c r="C82" s="18" t="n"/>
      <c r="D82" s="18" t="n"/>
      <c r="E82" s="18" t="n"/>
      <c r="F82" s="18" t="n"/>
      <c r="G82">
        <f>IF(A82="","",MONTH(A82))</f>
        <v/>
      </c>
      <c r="H82">
        <f>IF(A82="","",YEAR(A82))</f>
        <v/>
      </c>
      <c r="I82">
        <f>IF(A82="","",DAY(A82))</f>
        <v/>
      </c>
    </row>
    <row r="83">
      <c r="A83" s="43" t="n"/>
      <c r="B83" s="43" t="n"/>
      <c r="C83" s="43" t="n"/>
      <c r="D83" s="43" t="n"/>
      <c r="E83" s="43" t="n"/>
      <c r="F83" s="43" t="n"/>
      <c r="G83">
        <f>IF(A83="","",MONTH(A83))</f>
        <v/>
      </c>
      <c r="H83">
        <f>IF(A83="","",YEAR(A83))</f>
        <v/>
      </c>
      <c r="I83">
        <f>IF(A83="","",DAY(A83))</f>
        <v/>
      </c>
    </row>
    <row r="84">
      <c r="A84" s="18" t="n"/>
      <c r="B84" s="18" t="n"/>
      <c r="C84" s="18" t="n"/>
      <c r="D84" s="18" t="n"/>
      <c r="E84" s="18" t="n"/>
      <c r="F84" s="18" t="n"/>
      <c r="G84">
        <f>IF(A84="","",MONTH(A84))</f>
        <v/>
      </c>
      <c r="H84">
        <f>IF(A84="","",YEAR(A84))</f>
        <v/>
      </c>
      <c r="I84">
        <f>IF(A84="","",DAY(A84))</f>
        <v/>
      </c>
    </row>
    <row r="85">
      <c r="A85" s="43" t="n"/>
      <c r="B85" s="43" t="n"/>
      <c r="C85" s="43" t="n"/>
      <c r="D85" s="43" t="n"/>
      <c r="E85" s="43" t="n"/>
      <c r="F85" s="43" t="n"/>
      <c r="G85">
        <f>IF(A85="","",MONTH(A85))</f>
        <v/>
      </c>
      <c r="H85">
        <f>IF(A85="","",YEAR(A85))</f>
        <v/>
      </c>
      <c r="I85">
        <f>IF(A85="","",DAY(A85))</f>
        <v/>
      </c>
    </row>
    <row r="86">
      <c r="A86" s="18" t="n"/>
      <c r="B86" s="18" t="n"/>
      <c r="C86" s="18" t="n"/>
      <c r="D86" s="18" t="n"/>
      <c r="E86" s="18" t="n"/>
      <c r="F86" s="18" t="n"/>
      <c r="G86">
        <f>IF(A86="","",MONTH(A86))</f>
        <v/>
      </c>
      <c r="H86">
        <f>IF(A86="","",YEAR(A86))</f>
        <v/>
      </c>
      <c r="I86">
        <f>IF(A86="","",DAY(A86))</f>
        <v/>
      </c>
    </row>
    <row r="87">
      <c r="A87" s="43" t="n"/>
      <c r="B87" s="43" t="n"/>
      <c r="C87" s="43" t="n"/>
      <c r="D87" s="43" t="n"/>
      <c r="E87" s="43" t="n"/>
      <c r="F87" s="43" t="n"/>
      <c r="G87">
        <f>IF(A87="","",MONTH(A87))</f>
        <v/>
      </c>
      <c r="H87">
        <f>IF(A87="","",YEAR(A87))</f>
        <v/>
      </c>
      <c r="I87">
        <f>IF(A87="","",DAY(A87))</f>
        <v/>
      </c>
    </row>
    <row r="88">
      <c r="A88" s="18" t="n"/>
      <c r="B88" s="18" t="n"/>
      <c r="C88" s="18" t="n"/>
      <c r="D88" s="18" t="n"/>
      <c r="E88" s="18" t="n"/>
      <c r="F88" s="18" t="n"/>
      <c r="G88">
        <f>IF(A88="","",MONTH(A88))</f>
        <v/>
      </c>
      <c r="H88">
        <f>IF(A88="","",YEAR(A88))</f>
        <v/>
      </c>
      <c r="I88">
        <f>IF(A88="","",DAY(A88))</f>
        <v/>
      </c>
    </row>
    <row r="89">
      <c r="A89" s="43" t="n"/>
      <c r="B89" s="43" t="n"/>
      <c r="C89" s="43" t="n"/>
      <c r="D89" s="43" t="n"/>
      <c r="E89" s="43" t="n"/>
      <c r="F89" s="43" t="n"/>
      <c r="G89">
        <f>IF(A89="","",MONTH(A89))</f>
        <v/>
      </c>
      <c r="H89">
        <f>IF(A89="","",YEAR(A89))</f>
        <v/>
      </c>
      <c r="I89">
        <f>IF(A89="","",DAY(A89))</f>
        <v/>
      </c>
    </row>
    <row r="90">
      <c r="A90" s="18" t="n"/>
      <c r="B90" s="18" t="n"/>
      <c r="C90" s="18" t="n"/>
      <c r="D90" s="18" t="n"/>
      <c r="E90" s="18" t="n"/>
      <c r="F90" s="18" t="n"/>
      <c r="G90">
        <f>IF(A90="","",MONTH(A90))</f>
        <v/>
      </c>
      <c r="H90">
        <f>IF(A90="","",YEAR(A90))</f>
        <v/>
      </c>
      <c r="I90">
        <f>IF(A90="","",DAY(A90))</f>
        <v/>
      </c>
    </row>
    <row r="91">
      <c r="A91" s="43" t="n"/>
      <c r="B91" s="43" t="n"/>
      <c r="C91" s="43" t="n"/>
      <c r="D91" s="43" t="n"/>
      <c r="E91" s="43" t="n"/>
      <c r="F91" s="43" t="n"/>
      <c r="G91">
        <f>IF(A91="","",MONTH(A91))</f>
        <v/>
      </c>
      <c r="H91">
        <f>IF(A91="","",YEAR(A91))</f>
        <v/>
      </c>
      <c r="I91">
        <f>IF(A91="","",DAY(A91))</f>
        <v/>
      </c>
    </row>
    <row r="92">
      <c r="A92" s="18" t="n"/>
      <c r="B92" s="18" t="n"/>
      <c r="C92" s="18" t="n"/>
      <c r="D92" s="18" t="n"/>
      <c r="E92" s="18" t="n"/>
      <c r="F92" s="18" t="n"/>
      <c r="G92">
        <f>IF(A92="","",MONTH(A92))</f>
        <v/>
      </c>
      <c r="H92">
        <f>IF(A92="","",YEAR(A92))</f>
        <v/>
      </c>
      <c r="I92">
        <f>IF(A92="","",DAY(A92))</f>
        <v/>
      </c>
    </row>
    <row r="93">
      <c r="A93" s="43" t="n"/>
      <c r="B93" s="43" t="n"/>
      <c r="C93" s="43" t="n"/>
      <c r="D93" s="43" t="n"/>
      <c r="E93" s="43" t="n"/>
      <c r="F93" s="43" t="n"/>
      <c r="G93">
        <f>IF(A93="","",MONTH(A93))</f>
        <v/>
      </c>
      <c r="H93">
        <f>IF(A93="","",YEAR(A93))</f>
        <v/>
      </c>
      <c r="I93">
        <f>IF(A93="","",DAY(A93))</f>
        <v/>
      </c>
    </row>
    <row r="94">
      <c r="A94" s="18" t="n"/>
      <c r="B94" s="18" t="n"/>
      <c r="C94" s="18" t="n"/>
      <c r="D94" s="18" t="n"/>
      <c r="E94" s="18" t="n"/>
      <c r="F94" s="18" t="n"/>
      <c r="G94">
        <f>IF(A94="","",MONTH(A94))</f>
        <v/>
      </c>
      <c r="H94">
        <f>IF(A94="","",YEAR(A94))</f>
        <v/>
      </c>
      <c r="I94">
        <f>IF(A94="","",DAY(A94))</f>
        <v/>
      </c>
    </row>
    <row r="95">
      <c r="A95" s="43" t="n"/>
      <c r="B95" s="43" t="n"/>
      <c r="C95" s="43" t="n"/>
      <c r="D95" s="43" t="n"/>
      <c r="E95" s="43" t="n"/>
      <c r="F95" s="43" t="n"/>
      <c r="G95">
        <f>IF(A95="","",MONTH(A95))</f>
        <v/>
      </c>
      <c r="H95">
        <f>IF(A95="","",YEAR(A95))</f>
        <v/>
      </c>
      <c r="I95">
        <f>IF(A95="","",DAY(A95))</f>
        <v/>
      </c>
    </row>
    <row r="96">
      <c r="A96" s="18" t="n"/>
      <c r="B96" s="18" t="n"/>
      <c r="C96" s="18" t="n"/>
      <c r="D96" s="18" t="n"/>
      <c r="E96" s="18" t="n"/>
      <c r="F96" s="18" t="n"/>
      <c r="G96">
        <f>IF(A96="","",MONTH(A96))</f>
        <v/>
      </c>
      <c r="H96">
        <f>IF(A96="","",YEAR(A96))</f>
        <v/>
      </c>
      <c r="I96">
        <f>IF(A96="","",DAY(A96))</f>
        <v/>
      </c>
    </row>
    <row r="97">
      <c r="A97" s="43" t="n"/>
      <c r="B97" s="43" t="n"/>
      <c r="C97" s="43" t="n"/>
      <c r="D97" s="43" t="n"/>
      <c r="E97" s="43" t="n"/>
      <c r="F97" s="43" t="n"/>
      <c r="G97">
        <f>IF(A97="","",MONTH(A97))</f>
        <v/>
      </c>
      <c r="H97">
        <f>IF(A97="","",YEAR(A97))</f>
        <v/>
      </c>
      <c r="I97">
        <f>IF(A97="","",DAY(A97))</f>
        <v/>
      </c>
    </row>
    <row r="98">
      <c r="A98" s="18" t="n"/>
      <c r="B98" s="18" t="n"/>
      <c r="C98" s="18" t="n"/>
      <c r="D98" s="18" t="n"/>
      <c r="E98" s="18" t="n"/>
      <c r="F98" s="18" t="n"/>
      <c r="G98">
        <f>IF(A98="","",MONTH(A98))</f>
        <v/>
      </c>
      <c r="H98">
        <f>IF(A98="","",YEAR(A98))</f>
        <v/>
      </c>
      <c r="I98">
        <f>IF(A98="","",DAY(A98))</f>
        <v/>
      </c>
    </row>
    <row r="99">
      <c r="A99" s="43" t="n"/>
      <c r="B99" s="43" t="n"/>
      <c r="C99" s="43" t="n"/>
      <c r="D99" s="43" t="n"/>
      <c r="E99" s="43" t="n"/>
      <c r="F99" s="43" t="n"/>
      <c r="G99">
        <f>IF(A99="","",MONTH(A99))</f>
        <v/>
      </c>
      <c r="H99">
        <f>IF(A99="","",YEAR(A99))</f>
        <v/>
      </c>
      <c r="I99">
        <f>IF(A99="","",DAY(A99))</f>
        <v/>
      </c>
    </row>
    <row r="100">
      <c r="A100" s="18" t="n"/>
      <c r="B100" s="18" t="n"/>
      <c r="C100" s="18" t="n"/>
      <c r="D100" s="18" t="n"/>
      <c r="E100" s="18" t="n"/>
      <c r="F100" s="18" t="n"/>
      <c r="G100">
        <f>IF(A100="","",MONTH(A100))</f>
        <v/>
      </c>
      <c r="H100">
        <f>IF(A100="","",YEAR(A100))</f>
        <v/>
      </c>
      <c r="I100">
        <f>IF(A100="","",DAY(A100))</f>
        <v/>
      </c>
    </row>
    <row r="101">
      <c r="A101" s="43" t="n"/>
      <c r="B101" s="43" t="n"/>
      <c r="C101" s="43" t="n"/>
      <c r="D101" s="43" t="n"/>
      <c r="E101" s="43" t="n"/>
      <c r="F101" s="43" t="n"/>
      <c r="G101">
        <f>IF(A101="","",MONTH(A101))</f>
        <v/>
      </c>
      <c r="H101">
        <f>IF(A101="","",YEAR(A101))</f>
        <v/>
      </c>
      <c r="I101">
        <f>IF(A101="","",DAY(A101))</f>
        <v/>
      </c>
    </row>
    <row r="102">
      <c r="A102" s="18" t="n"/>
      <c r="B102" s="18" t="n"/>
      <c r="C102" s="18" t="n"/>
      <c r="D102" s="18" t="n"/>
      <c r="E102" s="18" t="n"/>
      <c r="F102" s="18" t="n"/>
      <c r="G102">
        <f>IF(A102="","",MONTH(A102))</f>
        <v/>
      </c>
      <c r="H102">
        <f>IF(A102="","",YEAR(A102))</f>
        <v/>
      </c>
      <c r="I102">
        <f>IF(A102="","",DAY(A102))</f>
        <v/>
      </c>
    </row>
    <row r="103">
      <c r="A103" s="43" t="n"/>
      <c r="B103" s="43" t="n"/>
      <c r="C103" s="43" t="n"/>
      <c r="D103" s="43" t="n"/>
      <c r="E103" s="43" t="n"/>
      <c r="F103" s="43" t="n"/>
      <c r="G103">
        <f>IF(A103="","",MONTH(A103))</f>
        <v/>
      </c>
      <c r="H103">
        <f>IF(A103="","",YEAR(A103))</f>
        <v/>
      </c>
      <c r="I103">
        <f>IF(A103="","",DAY(A103))</f>
        <v/>
      </c>
    </row>
    <row r="104">
      <c r="A104" s="18" t="n"/>
      <c r="B104" s="18" t="n"/>
      <c r="C104" s="18" t="n"/>
      <c r="D104" s="18" t="n"/>
      <c r="E104" s="18" t="n"/>
      <c r="F104" s="18" t="n"/>
      <c r="G104">
        <f>IF(A104="","",MONTH(A104))</f>
        <v/>
      </c>
      <c r="H104">
        <f>IF(A104="","",YEAR(A104))</f>
        <v/>
      </c>
      <c r="I104">
        <f>IF(A104="","",DAY(A104))</f>
        <v/>
      </c>
    </row>
    <row r="105">
      <c r="A105" s="43" t="n"/>
      <c r="B105" s="43" t="n"/>
      <c r="C105" s="43" t="n"/>
      <c r="D105" s="43" t="n"/>
      <c r="E105" s="43" t="n"/>
      <c r="F105" s="43" t="n"/>
      <c r="G105">
        <f>IF(A105="","",MONTH(A105))</f>
        <v/>
      </c>
      <c r="H105">
        <f>IF(A105="","",YEAR(A105))</f>
        <v/>
      </c>
      <c r="I105">
        <f>IF(A105="","",DAY(A105))</f>
        <v/>
      </c>
    </row>
    <row r="106">
      <c r="A106" s="18" t="n"/>
      <c r="B106" s="18" t="n"/>
      <c r="C106" s="18" t="n"/>
      <c r="D106" s="18" t="n"/>
      <c r="E106" s="18" t="n"/>
      <c r="F106" s="18" t="n"/>
      <c r="G106">
        <f>IF(A106="","",MONTH(A106))</f>
        <v/>
      </c>
      <c r="H106">
        <f>IF(A106="","",YEAR(A106))</f>
        <v/>
      </c>
      <c r="I106">
        <f>IF(A106="","",DAY(A106))</f>
        <v/>
      </c>
    </row>
    <row r="107">
      <c r="A107" s="43" t="n"/>
      <c r="B107" s="43" t="n"/>
      <c r="C107" s="43" t="n"/>
      <c r="D107" s="43" t="n"/>
      <c r="E107" s="43" t="n"/>
      <c r="F107" s="43" t="n"/>
      <c r="G107">
        <f>IF(A107="","",MONTH(A107))</f>
        <v/>
      </c>
      <c r="H107">
        <f>IF(A107="","",YEAR(A107))</f>
        <v/>
      </c>
      <c r="I107">
        <f>IF(A107="","",DAY(A107))</f>
        <v/>
      </c>
    </row>
    <row r="108">
      <c r="A108" s="18" t="n"/>
      <c r="B108" s="18" t="n"/>
      <c r="C108" s="18" t="n"/>
      <c r="D108" s="18" t="n"/>
      <c r="E108" s="18" t="n"/>
      <c r="F108" s="18" t="n"/>
      <c r="G108">
        <f>IF(A108="","",MONTH(A108))</f>
        <v/>
      </c>
      <c r="H108">
        <f>IF(A108="","",YEAR(A108))</f>
        <v/>
      </c>
      <c r="I108">
        <f>IF(A108="","",DAY(A108))</f>
        <v/>
      </c>
    </row>
    <row r="109">
      <c r="A109" s="43" t="n"/>
      <c r="B109" s="43" t="n"/>
      <c r="C109" s="43" t="n"/>
      <c r="D109" s="43" t="n"/>
      <c r="E109" s="43" t="n"/>
      <c r="F109" s="43" t="n"/>
      <c r="G109">
        <f>IF(A109="","",MONTH(A109))</f>
        <v/>
      </c>
      <c r="H109">
        <f>IF(A109="","",YEAR(A109))</f>
        <v/>
      </c>
      <c r="I109">
        <f>IF(A109="","",DAY(A109))</f>
        <v/>
      </c>
    </row>
    <row r="110">
      <c r="A110" s="18" t="n"/>
      <c r="B110" s="18" t="n"/>
      <c r="C110" s="18" t="n"/>
      <c r="D110" s="18" t="n"/>
      <c r="E110" s="18" t="n"/>
      <c r="F110" s="18" t="n"/>
      <c r="G110">
        <f>IF(A110="","",MONTH(A110))</f>
        <v/>
      </c>
      <c r="H110">
        <f>IF(A110="","",YEAR(A110))</f>
        <v/>
      </c>
      <c r="I110">
        <f>IF(A110="","",DAY(A110))</f>
        <v/>
      </c>
    </row>
    <row r="111">
      <c r="A111" s="43" t="n"/>
      <c r="B111" s="43" t="n"/>
      <c r="C111" s="43" t="n"/>
      <c r="D111" s="43" t="n"/>
      <c r="E111" s="43" t="n"/>
      <c r="F111" s="43" t="n"/>
      <c r="G111">
        <f>IF(A111="","",MONTH(A111))</f>
        <v/>
      </c>
      <c r="H111">
        <f>IF(A111="","",YEAR(A111))</f>
        <v/>
      </c>
      <c r="I111">
        <f>IF(A111="","",DAY(A111))</f>
        <v/>
      </c>
    </row>
    <row r="112">
      <c r="A112" s="18" t="n"/>
      <c r="B112" s="18" t="n"/>
      <c r="C112" s="18" t="n"/>
      <c r="D112" s="18" t="n"/>
      <c r="E112" s="18" t="n"/>
      <c r="F112" s="18" t="n"/>
      <c r="G112">
        <f>IF(A112="","",MONTH(A112))</f>
        <v/>
      </c>
      <c r="H112">
        <f>IF(A112="","",YEAR(A112))</f>
        <v/>
      </c>
      <c r="I112">
        <f>IF(A112="","",DAY(A112))</f>
        <v/>
      </c>
    </row>
    <row r="113">
      <c r="A113" s="43" t="n"/>
      <c r="B113" s="43" t="n"/>
      <c r="C113" s="43" t="n"/>
      <c r="D113" s="43" t="n"/>
      <c r="E113" s="43" t="n"/>
      <c r="F113" s="43" t="n"/>
      <c r="G113">
        <f>IF(A113="","",MONTH(A113))</f>
        <v/>
      </c>
      <c r="H113">
        <f>IF(A113="","",YEAR(A113))</f>
        <v/>
      </c>
      <c r="I113">
        <f>IF(A113="","",DAY(A113))</f>
        <v/>
      </c>
    </row>
    <row r="114">
      <c r="A114" s="18" t="n"/>
      <c r="B114" s="18" t="n"/>
      <c r="C114" s="18" t="n"/>
      <c r="D114" s="18" t="n"/>
      <c r="E114" s="18" t="n"/>
      <c r="F114" s="18" t="n"/>
      <c r="G114">
        <f>IF(A114="","",MONTH(A114))</f>
        <v/>
      </c>
      <c r="H114">
        <f>IF(A114="","",YEAR(A114))</f>
        <v/>
      </c>
      <c r="I114">
        <f>IF(A114="","",DAY(A114))</f>
        <v/>
      </c>
    </row>
    <row r="115">
      <c r="A115" s="43" t="n"/>
      <c r="B115" s="43" t="n"/>
      <c r="C115" s="43" t="n"/>
      <c r="D115" s="43" t="n"/>
      <c r="E115" s="43" t="n"/>
      <c r="F115" s="43" t="n"/>
      <c r="G115">
        <f>IF(A115="","",MONTH(A115))</f>
        <v/>
      </c>
      <c r="H115">
        <f>IF(A115="","",YEAR(A115))</f>
        <v/>
      </c>
      <c r="I115">
        <f>IF(A115="","",DAY(A115))</f>
        <v/>
      </c>
    </row>
    <row r="116">
      <c r="A116" s="18" t="n"/>
      <c r="B116" s="18" t="n"/>
      <c r="C116" s="18" t="n"/>
      <c r="D116" s="18" t="n"/>
      <c r="E116" s="18" t="n"/>
      <c r="F116" s="18" t="n"/>
      <c r="G116">
        <f>IF(A116="","",MONTH(A116))</f>
        <v/>
      </c>
      <c r="H116">
        <f>IF(A116="","",YEAR(A116))</f>
        <v/>
      </c>
      <c r="I116">
        <f>IF(A116="","",DAY(A116))</f>
        <v/>
      </c>
    </row>
    <row r="117">
      <c r="A117" s="43" t="n"/>
      <c r="B117" s="43" t="n"/>
      <c r="C117" s="43" t="n"/>
      <c r="D117" s="43" t="n"/>
      <c r="E117" s="43" t="n"/>
      <c r="F117" s="43" t="n"/>
      <c r="G117">
        <f>IF(A117="","",MONTH(A117))</f>
        <v/>
      </c>
      <c r="H117">
        <f>IF(A117="","",YEAR(A117))</f>
        <v/>
      </c>
      <c r="I117">
        <f>IF(A117="","",DAY(A117))</f>
        <v/>
      </c>
    </row>
    <row r="118">
      <c r="A118" s="18" t="n"/>
      <c r="B118" s="18" t="n"/>
      <c r="C118" s="18" t="n"/>
      <c r="D118" s="18" t="n"/>
      <c r="E118" s="18" t="n"/>
      <c r="F118" s="18" t="n"/>
      <c r="G118">
        <f>IF(A118="","",MONTH(A118))</f>
        <v/>
      </c>
      <c r="H118">
        <f>IF(A118="","",YEAR(A118))</f>
        <v/>
      </c>
      <c r="I118">
        <f>IF(A118="","",DAY(A118))</f>
        <v/>
      </c>
    </row>
    <row r="119">
      <c r="A119" s="43" t="n"/>
      <c r="B119" s="43" t="n"/>
      <c r="C119" s="43" t="n"/>
      <c r="D119" s="43" t="n"/>
      <c r="E119" s="43" t="n"/>
      <c r="F119" s="43" t="n"/>
      <c r="G119">
        <f>IF(A119="","",MONTH(A119))</f>
        <v/>
      </c>
      <c r="H119">
        <f>IF(A119="","",YEAR(A119))</f>
        <v/>
      </c>
      <c r="I119">
        <f>IF(A119="","",DAY(A119))</f>
        <v/>
      </c>
    </row>
    <row r="120">
      <c r="A120" s="18" t="n"/>
      <c r="B120" s="18" t="n"/>
      <c r="C120" s="18" t="n"/>
      <c r="D120" s="18" t="n"/>
      <c r="E120" s="18" t="n"/>
      <c r="F120" s="18" t="n"/>
      <c r="G120">
        <f>IF(A120="","",MONTH(A120))</f>
        <v/>
      </c>
      <c r="H120">
        <f>IF(A120="","",YEAR(A120))</f>
        <v/>
      </c>
      <c r="I120">
        <f>IF(A120="","",DAY(A120))</f>
        <v/>
      </c>
    </row>
    <row r="121">
      <c r="A121" s="43" t="n"/>
      <c r="B121" s="43" t="n"/>
      <c r="C121" s="43" t="n"/>
      <c r="D121" s="43" t="n"/>
      <c r="E121" s="43" t="n"/>
      <c r="F121" s="43" t="n"/>
      <c r="G121">
        <f>IF(A121="","",MONTH(A121))</f>
        <v/>
      </c>
      <c r="H121">
        <f>IF(A121="","",YEAR(A121))</f>
        <v/>
      </c>
      <c r="I121">
        <f>IF(A121="","",DAY(A121))</f>
        <v/>
      </c>
    </row>
    <row r="122">
      <c r="A122" s="18" t="n"/>
      <c r="B122" s="18" t="n"/>
      <c r="C122" s="18" t="n"/>
      <c r="D122" s="18" t="n"/>
      <c r="E122" s="18" t="n"/>
      <c r="F122" s="18" t="n"/>
      <c r="G122">
        <f>IF(A122="","",MONTH(A122))</f>
        <v/>
      </c>
      <c r="H122">
        <f>IF(A122="","",YEAR(A122))</f>
        <v/>
      </c>
      <c r="I122">
        <f>IF(A122="","",DAY(A122))</f>
        <v/>
      </c>
    </row>
    <row r="123">
      <c r="A123" s="43" t="n"/>
      <c r="B123" s="43" t="n"/>
      <c r="C123" s="43" t="n"/>
      <c r="D123" s="43" t="n"/>
      <c r="E123" s="43" t="n"/>
      <c r="F123" s="43" t="n"/>
      <c r="G123">
        <f>IF(A123="","",MONTH(A123))</f>
        <v/>
      </c>
      <c r="H123">
        <f>IF(A123="","",YEAR(A123))</f>
        <v/>
      </c>
      <c r="I123">
        <f>IF(A123="","",DAY(A123))</f>
        <v/>
      </c>
    </row>
    <row r="124">
      <c r="A124" s="18" t="n"/>
      <c r="B124" s="18" t="n"/>
      <c r="C124" s="18" t="n"/>
      <c r="D124" s="18" t="n"/>
      <c r="E124" s="18" t="n"/>
      <c r="F124" s="18" t="n"/>
      <c r="G124">
        <f>IF(A124="","",MONTH(A124))</f>
        <v/>
      </c>
      <c r="H124">
        <f>IF(A124="","",YEAR(A124))</f>
        <v/>
      </c>
      <c r="I124">
        <f>IF(A124="","",DAY(A124))</f>
        <v/>
      </c>
    </row>
    <row r="125">
      <c r="A125" s="43" t="n"/>
      <c r="B125" s="43" t="n"/>
      <c r="C125" s="43" t="n"/>
      <c r="D125" s="43" t="n"/>
      <c r="E125" s="43" t="n"/>
      <c r="F125" s="43" t="n"/>
      <c r="G125">
        <f>IF(A125="","",MONTH(A125))</f>
        <v/>
      </c>
      <c r="H125">
        <f>IF(A125="","",YEAR(A125))</f>
        <v/>
      </c>
      <c r="I125">
        <f>IF(A125="","",DAY(A125))</f>
        <v/>
      </c>
    </row>
    <row r="126">
      <c r="A126" s="18" t="n"/>
      <c r="B126" s="18" t="n"/>
      <c r="C126" s="18" t="n"/>
      <c r="D126" s="18" t="n"/>
      <c r="E126" s="18" t="n"/>
      <c r="F126" s="18" t="n"/>
      <c r="G126">
        <f>IF(A126="","",MONTH(A126))</f>
        <v/>
      </c>
      <c r="H126">
        <f>IF(A126="","",YEAR(A126))</f>
        <v/>
      </c>
      <c r="I126">
        <f>IF(A126="","",DAY(A126))</f>
        <v/>
      </c>
    </row>
    <row r="127">
      <c r="A127" s="43" t="n"/>
      <c r="B127" s="43" t="n"/>
      <c r="C127" s="43" t="n"/>
      <c r="D127" s="43" t="n"/>
      <c r="E127" s="43" t="n"/>
      <c r="F127" s="43" t="n"/>
      <c r="G127">
        <f>IF(A127="","",MONTH(A127))</f>
        <v/>
      </c>
      <c r="H127">
        <f>IF(A127="","",YEAR(A127))</f>
        <v/>
      </c>
      <c r="I127">
        <f>IF(A127="","",DAY(A127))</f>
        <v/>
      </c>
    </row>
    <row r="128">
      <c r="A128" s="18" t="n"/>
      <c r="B128" s="18" t="n"/>
      <c r="C128" s="18" t="n"/>
      <c r="D128" s="18" t="n"/>
      <c r="E128" s="18" t="n"/>
      <c r="F128" s="18" t="n"/>
      <c r="G128">
        <f>IF(A128="","",MONTH(A128))</f>
        <v/>
      </c>
      <c r="H128">
        <f>IF(A128="","",YEAR(A128))</f>
        <v/>
      </c>
      <c r="I128">
        <f>IF(A128="","",DAY(A128))</f>
        <v/>
      </c>
    </row>
    <row r="129">
      <c r="A129" s="43" t="n"/>
      <c r="B129" s="43" t="n"/>
      <c r="C129" s="43" t="n"/>
      <c r="D129" s="43" t="n"/>
      <c r="E129" s="43" t="n"/>
      <c r="F129" s="43" t="n"/>
      <c r="G129">
        <f>IF(A129="","",MONTH(A129))</f>
        <v/>
      </c>
      <c r="H129">
        <f>IF(A129="","",YEAR(A129))</f>
        <v/>
      </c>
      <c r="I129">
        <f>IF(A129="","",DAY(A129))</f>
        <v/>
      </c>
    </row>
    <row r="130">
      <c r="A130" s="18" t="n"/>
      <c r="B130" s="18" t="n"/>
      <c r="C130" s="18" t="n"/>
      <c r="D130" s="18" t="n"/>
      <c r="E130" s="18" t="n"/>
      <c r="F130" s="18" t="n"/>
      <c r="G130">
        <f>IF(A130="","",MONTH(A130))</f>
        <v/>
      </c>
      <c r="H130">
        <f>IF(A130="","",YEAR(A130))</f>
        <v/>
      </c>
      <c r="I130">
        <f>IF(A130="","",DAY(A130))</f>
        <v/>
      </c>
    </row>
    <row r="131">
      <c r="A131" s="43" t="n"/>
      <c r="B131" s="43" t="n"/>
      <c r="C131" s="43" t="n"/>
      <c r="D131" s="43" t="n"/>
      <c r="E131" s="43" t="n"/>
      <c r="F131" s="43" t="n"/>
      <c r="G131">
        <f>IF(A131="","",MONTH(A131))</f>
        <v/>
      </c>
      <c r="H131">
        <f>IF(A131="","",YEAR(A131))</f>
        <v/>
      </c>
      <c r="I131">
        <f>IF(A131="","",DAY(A131))</f>
        <v/>
      </c>
    </row>
    <row r="132">
      <c r="A132" s="18" t="n"/>
      <c r="B132" s="18" t="n"/>
      <c r="C132" s="18" t="n"/>
      <c r="D132" s="18" t="n"/>
      <c r="E132" s="18" t="n"/>
      <c r="F132" s="18" t="n"/>
      <c r="G132">
        <f>IF(A132="","",MONTH(A132))</f>
        <v/>
      </c>
      <c r="H132">
        <f>IF(A132="","",YEAR(A132))</f>
        <v/>
      </c>
      <c r="I132">
        <f>IF(A132="","",DAY(A132))</f>
        <v/>
      </c>
    </row>
    <row r="133">
      <c r="A133" s="43" t="n"/>
      <c r="B133" s="43" t="n"/>
      <c r="C133" s="43" t="n"/>
      <c r="D133" s="43" t="n"/>
      <c r="E133" s="43" t="n"/>
      <c r="F133" s="43" t="n"/>
      <c r="G133">
        <f>IF(A133="","",MONTH(A133))</f>
        <v/>
      </c>
      <c r="H133">
        <f>IF(A133="","",YEAR(A133))</f>
        <v/>
      </c>
      <c r="I133">
        <f>IF(A133="","",DAY(A133))</f>
        <v/>
      </c>
    </row>
    <row r="134">
      <c r="A134" s="18" t="n"/>
      <c r="B134" s="18" t="n"/>
      <c r="C134" s="18" t="n"/>
      <c r="D134" s="18" t="n"/>
      <c r="E134" s="18" t="n"/>
      <c r="F134" s="18" t="n"/>
      <c r="G134">
        <f>IF(A134="","",MONTH(A134))</f>
        <v/>
      </c>
      <c r="H134">
        <f>IF(A134="","",YEAR(A134))</f>
        <v/>
      </c>
      <c r="I134">
        <f>IF(A134="","",DAY(A134))</f>
        <v/>
      </c>
    </row>
    <row r="135">
      <c r="A135" s="43" t="n"/>
      <c r="B135" s="43" t="n"/>
      <c r="C135" s="43" t="n"/>
      <c r="D135" s="43" t="n"/>
      <c r="E135" s="43" t="n"/>
      <c r="F135" s="43" t="n"/>
      <c r="G135">
        <f>IF(A135="","",MONTH(A135))</f>
        <v/>
      </c>
      <c r="H135">
        <f>IF(A135="","",YEAR(A135))</f>
        <v/>
      </c>
      <c r="I135">
        <f>IF(A135="","",DAY(A135))</f>
        <v/>
      </c>
    </row>
    <row r="136">
      <c r="A136" s="18" t="n"/>
      <c r="B136" s="18" t="n"/>
      <c r="C136" s="18" t="n"/>
      <c r="D136" s="18" t="n"/>
      <c r="E136" s="18" t="n"/>
      <c r="F136" s="18" t="n"/>
      <c r="G136">
        <f>IF(A136="","",MONTH(A136))</f>
        <v/>
      </c>
      <c r="H136">
        <f>IF(A136="","",YEAR(A136))</f>
        <v/>
      </c>
      <c r="I136">
        <f>IF(A136="","",DAY(A136))</f>
        <v/>
      </c>
    </row>
    <row r="137">
      <c r="A137" s="43" t="n"/>
      <c r="B137" s="43" t="n"/>
      <c r="C137" s="43" t="n"/>
      <c r="D137" s="43" t="n"/>
      <c r="E137" s="43" t="n"/>
      <c r="F137" s="43" t="n"/>
      <c r="G137">
        <f>IF(A137="","",MONTH(A137))</f>
        <v/>
      </c>
      <c r="H137">
        <f>IF(A137="","",YEAR(A137))</f>
        <v/>
      </c>
      <c r="I137">
        <f>IF(A137="","",DAY(A137))</f>
        <v/>
      </c>
    </row>
    <row r="138">
      <c r="A138" s="18" t="n"/>
      <c r="B138" s="18" t="n"/>
      <c r="C138" s="18" t="n"/>
      <c r="D138" s="18" t="n"/>
      <c r="E138" s="18" t="n"/>
      <c r="F138" s="18" t="n"/>
      <c r="G138">
        <f>IF(A138="","",MONTH(A138))</f>
        <v/>
      </c>
      <c r="H138">
        <f>IF(A138="","",YEAR(A138))</f>
        <v/>
      </c>
      <c r="I138">
        <f>IF(A138="","",DAY(A138))</f>
        <v/>
      </c>
    </row>
    <row r="139">
      <c r="A139" s="43" t="n"/>
      <c r="B139" s="43" t="n"/>
      <c r="C139" s="43" t="n"/>
      <c r="D139" s="43" t="n"/>
      <c r="E139" s="43" t="n"/>
      <c r="F139" s="43" t="n"/>
      <c r="G139">
        <f>IF(A139="","",MONTH(A139))</f>
        <v/>
      </c>
      <c r="H139">
        <f>IF(A139="","",YEAR(A139))</f>
        <v/>
      </c>
      <c r="I139">
        <f>IF(A139="","",DAY(A139))</f>
        <v/>
      </c>
    </row>
    <row r="140">
      <c r="A140" s="18" t="n"/>
      <c r="B140" s="18" t="n"/>
      <c r="C140" s="18" t="n"/>
      <c r="D140" s="18" t="n"/>
      <c r="E140" s="18" t="n"/>
      <c r="F140" s="18" t="n"/>
      <c r="G140">
        <f>IF(A140="","",MONTH(A140))</f>
        <v/>
      </c>
      <c r="H140">
        <f>IF(A140="","",YEAR(A140))</f>
        <v/>
      </c>
      <c r="I140">
        <f>IF(A140="","",DAY(A140))</f>
        <v/>
      </c>
    </row>
    <row r="141">
      <c r="A141" s="43" t="n"/>
      <c r="B141" s="43" t="n"/>
      <c r="C141" s="43" t="n"/>
      <c r="D141" s="43" t="n"/>
      <c r="E141" s="43" t="n"/>
      <c r="F141" s="43" t="n"/>
      <c r="G141">
        <f>IF(A141="","",MONTH(A141))</f>
        <v/>
      </c>
      <c r="H141">
        <f>IF(A141="","",YEAR(A141))</f>
        <v/>
      </c>
      <c r="I141">
        <f>IF(A141="","",DAY(A141))</f>
        <v/>
      </c>
    </row>
    <row r="142">
      <c r="A142" s="18" t="n"/>
      <c r="B142" s="18" t="n"/>
      <c r="C142" s="18" t="n"/>
      <c r="D142" s="18" t="n"/>
      <c r="E142" s="18" t="n"/>
      <c r="F142" s="18" t="n"/>
      <c r="G142">
        <f>IF(A142="","",MONTH(A142))</f>
        <v/>
      </c>
      <c r="H142">
        <f>IF(A142="","",YEAR(A142))</f>
        <v/>
      </c>
      <c r="I142">
        <f>IF(A142="","",DAY(A142))</f>
        <v/>
      </c>
    </row>
    <row r="143">
      <c r="A143" s="43" t="n"/>
      <c r="B143" s="43" t="n"/>
      <c r="C143" s="43" t="n"/>
      <c r="D143" s="43" t="n"/>
      <c r="E143" s="43" t="n"/>
      <c r="F143" s="43" t="n"/>
      <c r="G143">
        <f>IF(A143="","",MONTH(A143))</f>
        <v/>
      </c>
      <c r="H143">
        <f>IF(A143="","",YEAR(A143))</f>
        <v/>
      </c>
      <c r="I143">
        <f>IF(A143="","",DAY(A143))</f>
        <v/>
      </c>
    </row>
    <row r="144">
      <c r="A144" s="18" t="n"/>
      <c r="B144" s="18" t="n"/>
      <c r="C144" s="18" t="n"/>
      <c r="D144" s="18" t="n"/>
      <c r="E144" s="18" t="n"/>
      <c r="F144" s="18" t="n"/>
      <c r="G144">
        <f>IF(A144="","",MONTH(A144))</f>
        <v/>
      </c>
      <c r="H144">
        <f>IF(A144="","",YEAR(A144))</f>
        <v/>
      </c>
      <c r="I144">
        <f>IF(A144="","",DAY(A144))</f>
        <v/>
      </c>
    </row>
    <row r="145">
      <c r="A145" s="43" t="n"/>
      <c r="B145" s="43" t="n"/>
      <c r="C145" s="43" t="n"/>
      <c r="D145" s="43" t="n"/>
      <c r="E145" s="43" t="n"/>
      <c r="F145" s="43" t="n"/>
      <c r="G145">
        <f>IF(A145="","",MONTH(A145))</f>
        <v/>
      </c>
      <c r="H145">
        <f>IF(A145="","",YEAR(A145))</f>
        <v/>
      </c>
      <c r="I145">
        <f>IF(A145="","",DAY(A145))</f>
        <v/>
      </c>
    </row>
    <row r="146">
      <c r="A146" s="18" t="n"/>
      <c r="B146" s="18" t="n"/>
      <c r="C146" s="18" t="n"/>
      <c r="D146" s="18" t="n"/>
      <c r="E146" s="18" t="n"/>
      <c r="F146" s="18" t="n"/>
      <c r="G146">
        <f>IF(A146="","",MONTH(A146))</f>
        <v/>
      </c>
      <c r="H146">
        <f>IF(A146="","",YEAR(A146))</f>
        <v/>
      </c>
      <c r="I146">
        <f>IF(A146="","",DAY(A146))</f>
        <v/>
      </c>
    </row>
    <row r="147">
      <c r="A147" s="43" t="n"/>
      <c r="B147" s="43" t="n"/>
      <c r="C147" s="43" t="n"/>
      <c r="D147" s="43" t="n"/>
      <c r="E147" s="43" t="n"/>
      <c r="F147" s="43" t="n"/>
      <c r="G147">
        <f>IF(A147="","",MONTH(A147))</f>
        <v/>
      </c>
      <c r="H147">
        <f>IF(A147="","",YEAR(A147))</f>
        <v/>
      </c>
      <c r="I147">
        <f>IF(A147="","",DAY(A147))</f>
        <v/>
      </c>
    </row>
    <row r="148">
      <c r="A148" s="18" t="n"/>
      <c r="B148" s="18" t="n"/>
      <c r="C148" s="18" t="n"/>
      <c r="D148" s="18" t="n"/>
      <c r="E148" s="18" t="n"/>
      <c r="F148" s="18" t="n"/>
      <c r="G148">
        <f>IF(A148="","",MONTH(A148))</f>
        <v/>
      </c>
      <c r="H148">
        <f>IF(A148="","",YEAR(A148))</f>
        <v/>
      </c>
      <c r="I148">
        <f>IF(A148="","",DAY(A148))</f>
        <v/>
      </c>
    </row>
    <row r="149">
      <c r="A149" s="43" t="n"/>
      <c r="B149" s="43" t="n"/>
      <c r="C149" s="43" t="n"/>
      <c r="D149" s="43" t="n"/>
      <c r="E149" s="43" t="n"/>
      <c r="F149" s="43" t="n"/>
      <c r="G149">
        <f>IF(A149="","",MONTH(A149))</f>
        <v/>
      </c>
      <c r="H149">
        <f>IF(A149="","",YEAR(A149))</f>
        <v/>
      </c>
      <c r="I149">
        <f>IF(A149="","",DAY(A149))</f>
        <v/>
      </c>
    </row>
    <row r="150">
      <c r="A150" s="18" t="n"/>
      <c r="B150" s="18" t="n"/>
      <c r="C150" s="18" t="n"/>
      <c r="D150" s="18" t="n"/>
      <c r="E150" s="18" t="n"/>
      <c r="F150" s="18" t="n"/>
      <c r="G150">
        <f>IF(A150="","",MONTH(A150))</f>
        <v/>
      </c>
      <c r="H150">
        <f>IF(A150="","",YEAR(A150))</f>
        <v/>
      </c>
      <c r="I150">
        <f>IF(A150="","",DAY(A150))</f>
        <v/>
      </c>
    </row>
    <row r="151">
      <c r="A151" s="43" t="n"/>
      <c r="B151" s="43" t="n"/>
      <c r="C151" s="43" t="n"/>
      <c r="D151" s="43" t="n"/>
      <c r="E151" s="43" t="n"/>
      <c r="F151" s="43" t="n"/>
      <c r="G151">
        <f>IF(A151="","",MONTH(A151))</f>
        <v/>
      </c>
      <c r="H151">
        <f>IF(A151="","",YEAR(A151))</f>
        <v/>
      </c>
      <c r="I151">
        <f>IF(A151="","",DAY(A151))</f>
        <v/>
      </c>
    </row>
    <row r="152">
      <c r="A152" s="18" t="n"/>
      <c r="B152" s="18" t="n"/>
      <c r="C152" s="18" t="n"/>
      <c r="D152" s="18" t="n"/>
      <c r="E152" s="18" t="n"/>
      <c r="F152" s="18" t="n"/>
      <c r="G152">
        <f>IF(A152="","",MONTH(A152))</f>
        <v/>
      </c>
      <c r="H152">
        <f>IF(A152="","",YEAR(A152))</f>
        <v/>
      </c>
      <c r="I152">
        <f>IF(A152="","",DAY(A152))</f>
        <v/>
      </c>
    </row>
    <row r="153">
      <c r="A153" s="43" t="n"/>
      <c r="B153" s="43" t="n"/>
      <c r="C153" s="43" t="n"/>
      <c r="D153" s="43" t="n"/>
      <c r="E153" s="43" t="n"/>
      <c r="F153" s="43" t="n"/>
      <c r="G153">
        <f>IF(A153="","",MONTH(A153))</f>
        <v/>
      </c>
      <c r="H153">
        <f>IF(A153="","",YEAR(A153))</f>
        <v/>
      </c>
      <c r="I153">
        <f>IF(A153="","",DAY(A153))</f>
        <v/>
      </c>
    </row>
    <row r="154">
      <c r="A154" s="18" t="n"/>
      <c r="B154" s="18" t="n"/>
      <c r="C154" s="18" t="n"/>
      <c r="D154" s="18" t="n"/>
      <c r="E154" s="18" t="n"/>
      <c r="F154" s="18" t="n"/>
      <c r="G154">
        <f>IF(A154="","",MONTH(A154))</f>
        <v/>
      </c>
      <c r="H154">
        <f>IF(A154="","",YEAR(A154))</f>
        <v/>
      </c>
      <c r="I154">
        <f>IF(A154="","",DAY(A154))</f>
        <v/>
      </c>
    </row>
    <row r="155">
      <c r="A155" s="43" t="n"/>
      <c r="B155" s="43" t="n"/>
      <c r="C155" s="43" t="n"/>
      <c r="D155" s="43" t="n"/>
      <c r="E155" s="43" t="n"/>
      <c r="F155" s="43" t="n"/>
      <c r="G155">
        <f>IF(A155="","",MONTH(A155))</f>
        <v/>
      </c>
      <c r="H155">
        <f>IF(A155="","",YEAR(A155))</f>
        <v/>
      </c>
      <c r="I155">
        <f>IF(A155="","",DAY(A155))</f>
        <v/>
      </c>
    </row>
    <row r="156">
      <c r="A156" s="18" t="n"/>
      <c r="B156" s="18" t="n"/>
      <c r="C156" s="18" t="n"/>
      <c r="D156" s="18" t="n"/>
      <c r="E156" s="18" t="n"/>
      <c r="F156" s="18" t="n"/>
      <c r="G156">
        <f>IF(A156="","",MONTH(A156))</f>
        <v/>
      </c>
      <c r="H156">
        <f>IF(A156="","",YEAR(A156))</f>
        <v/>
      </c>
      <c r="I156">
        <f>IF(A156="","",DAY(A156))</f>
        <v/>
      </c>
    </row>
    <row r="157">
      <c r="A157" s="43" t="n"/>
      <c r="B157" s="43" t="n"/>
      <c r="C157" s="43" t="n"/>
      <c r="D157" s="43" t="n"/>
      <c r="E157" s="43" t="n"/>
      <c r="F157" s="43" t="n"/>
      <c r="G157">
        <f>IF(A157="","",MONTH(A157))</f>
        <v/>
      </c>
      <c r="H157">
        <f>IF(A157="","",YEAR(A157))</f>
        <v/>
      </c>
      <c r="I157">
        <f>IF(A157="","",DAY(A157))</f>
        <v/>
      </c>
    </row>
    <row r="158">
      <c r="A158" s="18" t="n"/>
      <c r="B158" s="18" t="n"/>
      <c r="C158" s="18" t="n"/>
      <c r="D158" s="18" t="n"/>
      <c r="E158" s="18" t="n"/>
      <c r="F158" s="18" t="n"/>
      <c r="G158">
        <f>IF(A158="","",MONTH(A158))</f>
        <v/>
      </c>
      <c r="H158">
        <f>IF(A158="","",YEAR(A158))</f>
        <v/>
      </c>
      <c r="I158">
        <f>IF(A158="","",DAY(A158))</f>
        <v/>
      </c>
    </row>
    <row r="159">
      <c r="A159" s="43" t="n"/>
      <c r="B159" s="43" t="n"/>
      <c r="C159" s="43" t="n"/>
      <c r="D159" s="43" t="n"/>
      <c r="E159" s="43" t="n"/>
      <c r="F159" s="43" t="n"/>
      <c r="G159">
        <f>IF(A159="","",MONTH(A159))</f>
        <v/>
      </c>
      <c r="H159">
        <f>IF(A159="","",YEAR(A159))</f>
        <v/>
      </c>
      <c r="I159">
        <f>IF(A159="","",DAY(A159))</f>
        <v/>
      </c>
    </row>
    <row r="160">
      <c r="A160" s="18" t="n"/>
      <c r="B160" s="18" t="n"/>
      <c r="C160" s="18" t="n"/>
      <c r="D160" s="18" t="n"/>
      <c r="E160" s="18" t="n"/>
      <c r="F160" s="18" t="n"/>
      <c r="G160">
        <f>IF(A160="","",MONTH(A160))</f>
        <v/>
      </c>
      <c r="H160">
        <f>IF(A160="","",YEAR(A160))</f>
        <v/>
      </c>
      <c r="I160">
        <f>IF(A160="","",DAY(A160))</f>
        <v/>
      </c>
    </row>
    <row r="161">
      <c r="A161" s="43" t="n"/>
      <c r="B161" s="43" t="n"/>
      <c r="C161" s="43" t="n"/>
      <c r="D161" s="43" t="n"/>
      <c r="E161" s="43" t="n"/>
      <c r="F161" s="43" t="n"/>
      <c r="G161">
        <f>IF(A161="","",MONTH(A161))</f>
        <v/>
      </c>
      <c r="H161">
        <f>IF(A161="","",YEAR(A161))</f>
        <v/>
      </c>
      <c r="I161">
        <f>IF(A161="","",DAY(A161))</f>
        <v/>
      </c>
    </row>
    <row r="162">
      <c r="A162" s="18" t="n"/>
      <c r="B162" s="18" t="n"/>
      <c r="C162" s="18" t="n"/>
      <c r="D162" s="18" t="n"/>
      <c r="E162" s="18" t="n"/>
      <c r="F162" s="18" t="n"/>
      <c r="G162">
        <f>IF(A162="","",MONTH(A162))</f>
        <v/>
      </c>
      <c r="H162">
        <f>IF(A162="","",YEAR(A162))</f>
        <v/>
      </c>
      <c r="I162">
        <f>IF(A162="","",DAY(A162))</f>
        <v/>
      </c>
    </row>
    <row r="163">
      <c r="A163" s="43" t="n"/>
      <c r="B163" s="43" t="n"/>
      <c r="C163" s="43" t="n"/>
      <c r="D163" s="43" t="n"/>
      <c r="E163" s="43" t="n"/>
      <c r="F163" s="43" t="n"/>
      <c r="G163">
        <f>IF(A163="","",MONTH(A163))</f>
        <v/>
      </c>
      <c r="H163">
        <f>IF(A163="","",YEAR(A163))</f>
        <v/>
      </c>
      <c r="I163">
        <f>IF(A163="","",DAY(A163))</f>
        <v/>
      </c>
    </row>
    <row r="164">
      <c r="A164" s="18" t="n"/>
      <c r="B164" s="18" t="n"/>
      <c r="C164" s="18" t="n"/>
      <c r="D164" s="18" t="n"/>
      <c r="E164" s="18" t="n"/>
      <c r="F164" s="18" t="n"/>
      <c r="G164">
        <f>IF(A164="","",MONTH(A164))</f>
        <v/>
      </c>
      <c r="H164">
        <f>IF(A164="","",YEAR(A164))</f>
        <v/>
      </c>
      <c r="I164">
        <f>IF(A164="","",DAY(A164))</f>
        <v/>
      </c>
    </row>
    <row r="165">
      <c r="A165" s="43" t="n"/>
      <c r="B165" s="43" t="n"/>
      <c r="C165" s="43" t="n"/>
      <c r="D165" s="43" t="n"/>
      <c r="E165" s="43" t="n"/>
      <c r="F165" s="43" t="n"/>
      <c r="G165">
        <f>IF(A165="","",MONTH(A165))</f>
        <v/>
      </c>
      <c r="H165">
        <f>IF(A165="","",YEAR(A165))</f>
        <v/>
      </c>
      <c r="I165">
        <f>IF(A165="","",DAY(A165))</f>
        <v/>
      </c>
    </row>
    <row r="166">
      <c r="A166" s="18" t="n"/>
      <c r="B166" s="18" t="n"/>
      <c r="C166" s="18" t="n"/>
      <c r="D166" s="18" t="n"/>
      <c r="E166" s="18" t="n"/>
      <c r="F166" s="18" t="n"/>
      <c r="G166">
        <f>IF(A166="","",MONTH(A166))</f>
        <v/>
      </c>
      <c r="H166">
        <f>IF(A166="","",YEAR(A166))</f>
        <v/>
      </c>
      <c r="I166">
        <f>IF(A166="","",DAY(A166))</f>
        <v/>
      </c>
    </row>
    <row r="167">
      <c r="A167" s="43" t="n"/>
      <c r="B167" s="43" t="n"/>
      <c r="C167" s="43" t="n"/>
      <c r="D167" s="43" t="n"/>
      <c r="E167" s="43" t="n"/>
      <c r="F167" s="43" t="n"/>
      <c r="G167">
        <f>IF(A167="","",MONTH(A167))</f>
        <v/>
      </c>
      <c r="H167">
        <f>IF(A167="","",YEAR(A167))</f>
        <v/>
      </c>
      <c r="I167">
        <f>IF(A167="","",DAY(A167))</f>
        <v/>
      </c>
    </row>
    <row r="168">
      <c r="A168" s="18" t="n"/>
      <c r="B168" s="18" t="n"/>
      <c r="C168" s="18" t="n"/>
      <c r="D168" s="18" t="n"/>
      <c r="E168" s="18" t="n"/>
      <c r="F168" s="18" t="n"/>
      <c r="G168">
        <f>IF(A168="","",MONTH(A168))</f>
        <v/>
      </c>
      <c r="H168">
        <f>IF(A168="","",YEAR(A168))</f>
        <v/>
      </c>
      <c r="I168">
        <f>IF(A168="","",DAY(A168))</f>
        <v/>
      </c>
    </row>
    <row r="169">
      <c r="A169" s="43" t="n"/>
      <c r="B169" s="43" t="n"/>
      <c r="C169" s="43" t="n"/>
      <c r="D169" s="43" t="n"/>
      <c r="E169" s="43" t="n"/>
      <c r="F169" s="43" t="n"/>
      <c r="G169">
        <f>IF(A169="","",MONTH(A169))</f>
        <v/>
      </c>
      <c r="H169">
        <f>IF(A169="","",YEAR(A169))</f>
        <v/>
      </c>
      <c r="I169">
        <f>IF(A169="","",DAY(A169))</f>
        <v/>
      </c>
    </row>
    <row r="170">
      <c r="A170" s="18" t="n"/>
      <c r="B170" s="18" t="n"/>
      <c r="C170" s="18" t="n"/>
      <c r="D170" s="18" t="n"/>
      <c r="E170" s="18" t="n"/>
      <c r="F170" s="18" t="n"/>
      <c r="G170">
        <f>IF(A170="","",MONTH(A170))</f>
        <v/>
      </c>
      <c r="H170">
        <f>IF(A170="","",YEAR(A170))</f>
        <v/>
      </c>
      <c r="I170">
        <f>IF(A170="","",DAY(A170))</f>
        <v/>
      </c>
    </row>
    <row r="171">
      <c r="A171" s="43" t="n"/>
      <c r="B171" s="43" t="n"/>
      <c r="C171" s="43" t="n"/>
      <c r="D171" s="43" t="n"/>
      <c r="E171" s="43" t="n"/>
      <c r="F171" s="43" t="n"/>
      <c r="G171">
        <f>IF(A171="","",MONTH(A171))</f>
        <v/>
      </c>
      <c r="H171">
        <f>IF(A171="","",YEAR(A171))</f>
        <v/>
      </c>
      <c r="I171">
        <f>IF(A171="","",DAY(A171))</f>
        <v/>
      </c>
    </row>
    <row r="172">
      <c r="A172" s="18" t="n"/>
      <c r="B172" s="18" t="n"/>
      <c r="C172" s="18" t="n"/>
      <c r="D172" s="18" t="n"/>
      <c r="E172" s="18" t="n"/>
      <c r="F172" s="18" t="n"/>
      <c r="G172">
        <f>IF(A172="","",MONTH(A172))</f>
        <v/>
      </c>
      <c r="H172">
        <f>IF(A172="","",YEAR(A172))</f>
        <v/>
      </c>
      <c r="I172">
        <f>IF(A172="","",DAY(A172))</f>
        <v/>
      </c>
    </row>
    <row r="173">
      <c r="A173" s="43" t="n"/>
      <c r="B173" s="43" t="n"/>
      <c r="C173" s="43" t="n"/>
      <c r="D173" s="43" t="n"/>
      <c r="E173" s="43" t="n"/>
      <c r="F173" s="43" t="n"/>
      <c r="G173">
        <f>IF(A173="","",MONTH(A173))</f>
        <v/>
      </c>
      <c r="H173">
        <f>IF(A173="","",YEAR(A173))</f>
        <v/>
      </c>
      <c r="I173">
        <f>IF(A173="","",DAY(A173))</f>
        <v/>
      </c>
    </row>
    <row r="174">
      <c r="A174" s="18" t="n"/>
      <c r="B174" s="18" t="n"/>
      <c r="C174" s="18" t="n"/>
      <c r="D174" s="18" t="n"/>
      <c r="E174" s="18" t="n"/>
      <c r="F174" s="18" t="n"/>
      <c r="G174">
        <f>IF(A174="","",MONTH(A174))</f>
        <v/>
      </c>
      <c r="H174">
        <f>IF(A174="","",YEAR(A174))</f>
        <v/>
      </c>
      <c r="I174">
        <f>IF(A174="","",DAY(A174))</f>
        <v/>
      </c>
    </row>
    <row r="175">
      <c r="A175" s="43" t="n"/>
      <c r="B175" s="43" t="n"/>
      <c r="C175" s="43" t="n"/>
      <c r="D175" s="43" t="n"/>
      <c r="E175" s="43" t="n"/>
      <c r="F175" s="43" t="n"/>
      <c r="G175">
        <f>IF(A175="","",MONTH(A175))</f>
        <v/>
      </c>
      <c r="H175">
        <f>IF(A175="","",YEAR(A175))</f>
        <v/>
      </c>
      <c r="I175">
        <f>IF(A175="","",DAY(A175))</f>
        <v/>
      </c>
    </row>
    <row r="176">
      <c r="A176" s="18" t="n"/>
      <c r="B176" s="18" t="n"/>
      <c r="C176" s="18" t="n"/>
      <c r="D176" s="18" t="n"/>
      <c r="E176" s="18" t="n"/>
      <c r="F176" s="18" t="n"/>
      <c r="G176">
        <f>IF(A176="","",MONTH(A176))</f>
        <v/>
      </c>
      <c r="H176">
        <f>IF(A176="","",YEAR(A176))</f>
        <v/>
      </c>
      <c r="I176">
        <f>IF(A176="","",DAY(A176))</f>
        <v/>
      </c>
    </row>
    <row r="177">
      <c r="A177" s="43" t="n"/>
      <c r="B177" s="43" t="n"/>
      <c r="C177" s="43" t="n"/>
      <c r="D177" s="43" t="n"/>
      <c r="E177" s="43" t="n"/>
      <c r="F177" s="43" t="n"/>
      <c r="G177">
        <f>IF(A177="","",MONTH(A177))</f>
        <v/>
      </c>
      <c r="H177">
        <f>IF(A177="","",YEAR(A177))</f>
        <v/>
      </c>
      <c r="I177">
        <f>IF(A177="","",DAY(A177))</f>
        <v/>
      </c>
    </row>
    <row r="178">
      <c r="A178" s="18" t="n"/>
      <c r="B178" s="18" t="n"/>
      <c r="C178" s="18" t="n"/>
      <c r="D178" s="18" t="n"/>
      <c r="E178" s="18" t="n"/>
      <c r="F178" s="18" t="n"/>
      <c r="G178">
        <f>IF(A178="","",MONTH(A178))</f>
        <v/>
      </c>
      <c r="H178">
        <f>IF(A178="","",YEAR(A178))</f>
        <v/>
      </c>
      <c r="I178">
        <f>IF(A178="","",DAY(A178))</f>
        <v/>
      </c>
    </row>
    <row r="179">
      <c r="A179" s="43" t="n"/>
      <c r="B179" s="43" t="n"/>
      <c r="C179" s="43" t="n"/>
      <c r="D179" s="43" t="n"/>
      <c r="E179" s="43" t="n"/>
      <c r="F179" s="43" t="n"/>
      <c r="G179">
        <f>IF(A179="","",MONTH(A179))</f>
        <v/>
      </c>
      <c r="H179">
        <f>IF(A179="","",YEAR(A179))</f>
        <v/>
      </c>
      <c r="I179">
        <f>IF(A179="","",DAY(A179))</f>
        <v/>
      </c>
    </row>
    <row r="180">
      <c r="A180" s="18" t="n"/>
      <c r="B180" s="18" t="n"/>
      <c r="C180" s="18" t="n"/>
      <c r="D180" s="18" t="n"/>
      <c r="E180" s="18" t="n"/>
      <c r="F180" s="18" t="n"/>
      <c r="G180">
        <f>IF(A180="","",MONTH(A180))</f>
        <v/>
      </c>
      <c r="H180">
        <f>IF(A180="","",YEAR(A180))</f>
        <v/>
      </c>
      <c r="I180">
        <f>IF(A180="","",DAY(A180))</f>
        <v/>
      </c>
    </row>
    <row r="181">
      <c r="A181" s="43" t="n"/>
      <c r="B181" s="43" t="n"/>
      <c r="C181" s="43" t="n"/>
      <c r="D181" s="43" t="n"/>
      <c r="E181" s="43" t="n"/>
      <c r="F181" s="43" t="n"/>
      <c r="G181">
        <f>IF(A181="","",MONTH(A181))</f>
        <v/>
      </c>
      <c r="H181">
        <f>IF(A181="","",YEAR(A181))</f>
        <v/>
      </c>
      <c r="I181">
        <f>IF(A181="","",DAY(A181))</f>
        <v/>
      </c>
    </row>
    <row r="182">
      <c r="A182" s="18" t="n"/>
      <c r="B182" s="18" t="n"/>
      <c r="C182" s="18" t="n"/>
      <c r="D182" s="18" t="n"/>
      <c r="E182" s="18" t="n"/>
      <c r="F182" s="18" t="n"/>
      <c r="G182">
        <f>IF(A182="","",MONTH(A182))</f>
        <v/>
      </c>
      <c r="H182">
        <f>IF(A182="","",YEAR(A182))</f>
        <v/>
      </c>
      <c r="I182">
        <f>IF(A182="","",DAY(A182))</f>
        <v/>
      </c>
    </row>
    <row r="183">
      <c r="A183" s="43" t="n"/>
      <c r="B183" s="43" t="n"/>
      <c r="C183" s="43" t="n"/>
      <c r="D183" s="43" t="n"/>
      <c r="E183" s="43" t="n"/>
      <c r="F183" s="43" t="n"/>
      <c r="G183">
        <f>IF(A183="","",MONTH(A183))</f>
        <v/>
      </c>
      <c r="H183">
        <f>IF(A183="","",YEAR(A183))</f>
        <v/>
      </c>
      <c r="I183">
        <f>IF(A183="","",DAY(A183))</f>
        <v/>
      </c>
    </row>
    <row r="184">
      <c r="A184" s="18" t="n"/>
      <c r="B184" s="18" t="n"/>
      <c r="C184" s="18" t="n"/>
      <c r="D184" s="18" t="n"/>
      <c r="E184" s="18" t="n"/>
      <c r="F184" s="18" t="n"/>
      <c r="G184">
        <f>IF(A184="","",MONTH(A184))</f>
        <v/>
      </c>
      <c r="H184">
        <f>IF(A184="","",YEAR(A184))</f>
        <v/>
      </c>
      <c r="I184">
        <f>IF(A184="","",DAY(A184))</f>
        <v/>
      </c>
    </row>
    <row r="185">
      <c r="A185" s="43" t="n"/>
      <c r="B185" s="43" t="n"/>
      <c r="C185" s="43" t="n"/>
      <c r="D185" s="43" t="n"/>
      <c r="E185" s="43" t="n"/>
      <c r="F185" s="43" t="n"/>
      <c r="G185">
        <f>IF(A185="","",MONTH(A185))</f>
        <v/>
      </c>
      <c r="H185">
        <f>IF(A185="","",YEAR(A185))</f>
        <v/>
      </c>
      <c r="I185">
        <f>IF(A185="","",DAY(A185))</f>
        <v/>
      </c>
    </row>
    <row r="186">
      <c r="A186" s="18" t="n"/>
      <c r="B186" s="18" t="n"/>
      <c r="C186" s="18" t="n"/>
      <c r="D186" s="18" t="n"/>
      <c r="E186" s="18" t="n"/>
      <c r="F186" s="18" t="n"/>
      <c r="G186">
        <f>IF(A186="","",MONTH(A186))</f>
        <v/>
      </c>
      <c r="H186">
        <f>IF(A186="","",YEAR(A186))</f>
        <v/>
      </c>
      <c r="I186">
        <f>IF(A186="","",DAY(A186))</f>
        <v/>
      </c>
    </row>
    <row r="187">
      <c r="A187" s="43" t="n"/>
      <c r="B187" s="43" t="n"/>
      <c r="C187" s="43" t="n"/>
      <c r="D187" s="43" t="n"/>
      <c r="E187" s="43" t="n"/>
      <c r="F187" s="43" t="n"/>
      <c r="G187">
        <f>IF(A187="","",MONTH(A187))</f>
        <v/>
      </c>
      <c r="H187">
        <f>IF(A187="","",YEAR(A187))</f>
        <v/>
      </c>
      <c r="I187">
        <f>IF(A187="","",DAY(A187))</f>
        <v/>
      </c>
    </row>
    <row r="188">
      <c r="A188" s="18" t="n"/>
      <c r="B188" s="18" t="n"/>
      <c r="C188" s="18" t="n"/>
      <c r="D188" s="18" t="n"/>
      <c r="E188" s="18" t="n"/>
      <c r="F188" s="18" t="n"/>
      <c r="G188">
        <f>IF(A188="","",MONTH(A188))</f>
        <v/>
      </c>
      <c r="H188">
        <f>IF(A188="","",YEAR(A188))</f>
        <v/>
      </c>
      <c r="I188">
        <f>IF(A188="","",DAY(A188))</f>
        <v/>
      </c>
    </row>
    <row r="189">
      <c r="A189" s="43" t="n"/>
      <c r="B189" s="43" t="n"/>
      <c r="C189" s="43" t="n"/>
      <c r="D189" s="43" t="n"/>
      <c r="E189" s="43" t="n"/>
      <c r="F189" s="43" t="n"/>
      <c r="G189">
        <f>IF(A189="","",MONTH(A189))</f>
        <v/>
      </c>
      <c r="H189">
        <f>IF(A189="","",YEAR(A189))</f>
        <v/>
      </c>
      <c r="I189">
        <f>IF(A189="","",DAY(A189))</f>
        <v/>
      </c>
    </row>
    <row r="190">
      <c r="A190" s="18" t="n"/>
      <c r="B190" s="18" t="n"/>
      <c r="C190" s="18" t="n"/>
      <c r="D190" s="18" t="n"/>
      <c r="E190" s="18" t="n"/>
      <c r="F190" s="18" t="n"/>
      <c r="G190">
        <f>IF(A190="","",MONTH(A190))</f>
        <v/>
      </c>
      <c r="H190">
        <f>IF(A190="","",YEAR(A190))</f>
        <v/>
      </c>
      <c r="I190">
        <f>IF(A190="","",DAY(A190))</f>
        <v/>
      </c>
    </row>
    <row r="191">
      <c r="A191" s="43" t="n"/>
      <c r="B191" s="43" t="n"/>
      <c r="C191" s="43" t="n"/>
      <c r="D191" s="43" t="n"/>
      <c r="E191" s="43" t="n"/>
      <c r="F191" s="43" t="n"/>
      <c r="G191">
        <f>IF(A191="","",MONTH(A191))</f>
        <v/>
      </c>
      <c r="H191">
        <f>IF(A191="","",YEAR(A191))</f>
        <v/>
      </c>
      <c r="I191">
        <f>IF(A191="","",DAY(A191))</f>
        <v/>
      </c>
    </row>
    <row r="192">
      <c r="A192" s="18" t="n"/>
      <c r="B192" s="18" t="n"/>
      <c r="C192" s="18" t="n"/>
      <c r="D192" s="18" t="n"/>
      <c r="E192" s="18" t="n"/>
      <c r="F192" s="18" t="n"/>
      <c r="G192">
        <f>IF(A192="","",MONTH(A192))</f>
        <v/>
      </c>
      <c r="H192">
        <f>IF(A192="","",YEAR(A192))</f>
        <v/>
      </c>
      <c r="I192">
        <f>IF(A192="","",DAY(A192))</f>
        <v/>
      </c>
    </row>
    <row r="193">
      <c r="A193" s="43" t="n"/>
      <c r="B193" s="43" t="n"/>
      <c r="C193" s="43" t="n"/>
      <c r="D193" s="43" t="n"/>
      <c r="E193" s="43" t="n"/>
      <c r="F193" s="43" t="n"/>
      <c r="G193">
        <f>IF(A193="","",MONTH(A193))</f>
        <v/>
      </c>
      <c r="H193">
        <f>IF(A193="","",YEAR(A193))</f>
        <v/>
      </c>
      <c r="I193">
        <f>IF(A193="","",DAY(A193))</f>
        <v/>
      </c>
    </row>
    <row r="194">
      <c r="A194" s="18" t="n"/>
      <c r="B194" s="18" t="n"/>
      <c r="C194" s="18" t="n"/>
      <c r="D194" s="18" t="n"/>
      <c r="E194" s="18" t="n"/>
      <c r="F194" s="18" t="n"/>
      <c r="G194">
        <f>IF(A194="","",MONTH(A194))</f>
        <v/>
      </c>
      <c r="H194">
        <f>IF(A194="","",YEAR(A194))</f>
        <v/>
      </c>
      <c r="I194">
        <f>IF(A194="","",DAY(A194))</f>
        <v/>
      </c>
    </row>
    <row r="195">
      <c r="A195" s="43" t="n"/>
      <c r="B195" s="43" t="n"/>
      <c r="C195" s="43" t="n"/>
      <c r="D195" s="43" t="n"/>
      <c r="E195" s="43" t="n"/>
      <c r="F195" s="43" t="n"/>
      <c r="G195">
        <f>IF(A195="","",MONTH(A195))</f>
        <v/>
      </c>
      <c r="H195">
        <f>IF(A195="","",YEAR(A195))</f>
        <v/>
      </c>
      <c r="I195">
        <f>IF(A195="","",DAY(A195))</f>
        <v/>
      </c>
    </row>
    <row r="196">
      <c r="A196" s="18" t="n"/>
      <c r="B196" s="18" t="n"/>
      <c r="C196" s="18" t="n"/>
      <c r="D196" s="18" t="n"/>
      <c r="E196" s="18" t="n"/>
      <c r="F196" s="18" t="n"/>
      <c r="G196">
        <f>IF(A196="","",MONTH(A196))</f>
        <v/>
      </c>
      <c r="H196">
        <f>IF(A196="","",YEAR(A196))</f>
        <v/>
      </c>
      <c r="I196">
        <f>IF(A196="","",DAY(A196))</f>
        <v/>
      </c>
    </row>
    <row r="197">
      <c r="A197" s="43" t="n"/>
      <c r="B197" s="43" t="n"/>
      <c r="C197" s="43" t="n"/>
      <c r="D197" s="43" t="n"/>
      <c r="E197" s="43" t="n"/>
      <c r="F197" s="43" t="n"/>
      <c r="G197">
        <f>IF(A197="","",MONTH(A197))</f>
        <v/>
      </c>
      <c r="H197">
        <f>IF(A197="","",YEAR(A197))</f>
        <v/>
      </c>
      <c r="I197">
        <f>IF(A197="","",DAY(A197))</f>
        <v/>
      </c>
    </row>
    <row r="198">
      <c r="A198" s="18" t="n"/>
      <c r="B198" s="18" t="n"/>
      <c r="C198" s="18" t="n"/>
      <c r="D198" s="18" t="n"/>
      <c r="E198" s="18" t="n"/>
      <c r="F198" s="18" t="n"/>
      <c r="G198">
        <f>IF(A198="","",MONTH(A198))</f>
        <v/>
      </c>
      <c r="H198">
        <f>IF(A198="","",YEAR(A198))</f>
        <v/>
      </c>
      <c r="I198">
        <f>IF(A198="","",DAY(A198))</f>
        <v/>
      </c>
    </row>
    <row r="199">
      <c r="A199" s="43" t="n"/>
      <c r="B199" s="43" t="n"/>
      <c r="C199" s="43" t="n"/>
      <c r="D199" s="43" t="n"/>
      <c r="E199" s="43" t="n"/>
      <c r="F199" s="43" t="n"/>
      <c r="G199">
        <f>IF(A199="","",MONTH(A199))</f>
        <v/>
      </c>
      <c r="H199">
        <f>IF(A199="","",YEAR(A199))</f>
        <v/>
      </c>
      <c r="I199">
        <f>IF(A199="","",DAY(A199))</f>
        <v/>
      </c>
    </row>
    <row r="200">
      <c r="A200" s="18" t="n"/>
      <c r="B200" s="18" t="n"/>
      <c r="C200" s="18" t="n"/>
      <c r="D200" s="18" t="n"/>
      <c r="E200" s="18" t="n"/>
      <c r="F200" s="18" t="n"/>
      <c r="G200">
        <f>IF(A200="","",MONTH(A200))</f>
        <v/>
      </c>
      <c r="H200">
        <f>IF(A200="","",YEAR(A200))</f>
        <v/>
      </c>
      <c r="I200">
        <f>IF(A200="","",DAY(A200))</f>
        <v/>
      </c>
    </row>
    <row r="201">
      <c r="A201" s="43" t="n"/>
      <c r="B201" s="43" t="n"/>
      <c r="C201" s="43" t="n"/>
      <c r="D201" s="43" t="n"/>
      <c r="E201" s="43" t="n"/>
      <c r="F201" s="43" t="n"/>
      <c r="G201">
        <f>IF(A201="","",MONTH(A201))</f>
        <v/>
      </c>
      <c r="H201">
        <f>IF(A201="","",YEAR(A201))</f>
        <v/>
      </c>
      <c r="I201">
        <f>IF(A201="","",DAY(A201))</f>
        <v/>
      </c>
    </row>
    <row r="202">
      <c r="A202" s="18" t="n"/>
      <c r="B202" s="18" t="n"/>
      <c r="C202" s="18" t="n"/>
      <c r="D202" s="18" t="n"/>
      <c r="E202" s="18" t="n"/>
      <c r="F202" s="18" t="n"/>
      <c r="G202">
        <f>IF(A202="","",MONTH(A202))</f>
        <v/>
      </c>
      <c r="H202">
        <f>IF(A202="","",YEAR(A202))</f>
        <v/>
      </c>
      <c r="I202">
        <f>IF(A202="","",DAY(A202))</f>
        <v/>
      </c>
    </row>
    <row r="203">
      <c r="A203" s="43" t="n"/>
      <c r="B203" s="43" t="n"/>
      <c r="C203" s="43" t="n"/>
      <c r="D203" s="43" t="n"/>
      <c r="E203" s="43" t="n"/>
      <c r="F203" s="43" t="n"/>
      <c r="G203">
        <f>IF(A203="","",MONTH(A203))</f>
        <v/>
      </c>
      <c r="H203">
        <f>IF(A203="","",YEAR(A203))</f>
        <v/>
      </c>
      <c r="I203">
        <f>IF(A203="","",DAY(A203))</f>
        <v/>
      </c>
    </row>
    <row r="204">
      <c r="A204" s="18" t="n"/>
      <c r="B204" s="18" t="n"/>
      <c r="C204" s="18" t="n"/>
      <c r="D204" s="18" t="n"/>
      <c r="E204" s="18" t="n"/>
      <c r="F204" s="18" t="n"/>
      <c r="G204">
        <f>IF(A204="","",MONTH(A204))</f>
        <v/>
      </c>
      <c r="H204">
        <f>IF(A204="","",YEAR(A204))</f>
        <v/>
      </c>
      <c r="I204">
        <f>IF(A204="","",DAY(A204))</f>
        <v/>
      </c>
    </row>
    <row r="205">
      <c r="A205" s="43" t="n"/>
      <c r="B205" s="43" t="n"/>
      <c r="C205" s="43" t="n"/>
      <c r="D205" s="43" t="n"/>
      <c r="E205" s="43" t="n"/>
      <c r="F205" s="43" t="n"/>
      <c r="G205">
        <f>IF(A205="","",MONTH(A205))</f>
        <v/>
      </c>
      <c r="H205">
        <f>IF(A205="","",YEAR(A205))</f>
        <v/>
      </c>
      <c r="I205">
        <f>IF(A205="","",DAY(A205))</f>
        <v/>
      </c>
    </row>
    <row r="206">
      <c r="A206" s="18" t="n"/>
      <c r="B206" s="18" t="n"/>
      <c r="C206" s="18" t="n"/>
      <c r="D206" s="18" t="n"/>
      <c r="E206" s="18" t="n"/>
      <c r="F206" s="18" t="n"/>
      <c r="G206">
        <f>IF(A206="","",MONTH(A206))</f>
        <v/>
      </c>
      <c r="H206">
        <f>IF(A206="","",YEAR(A206))</f>
        <v/>
      </c>
      <c r="I206">
        <f>IF(A206="","",DAY(A206))</f>
        <v/>
      </c>
    </row>
    <row r="207">
      <c r="A207" s="43" t="n"/>
      <c r="B207" s="43" t="n"/>
      <c r="C207" s="43" t="n"/>
      <c r="D207" s="43" t="n"/>
      <c r="E207" s="43" t="n"/>
      <c r="F207" s="43" t="n"/>
      <c r="G207">
        <f>IF(A207="","",MONTH(A207))</f>
        <v/>
      </c>
      <c r="H207">
        <f>IF(A207="","",YEAR(A207))</f>
        <v/>
      </c>
      <c r="I207">
        <f>IF(A207="","",DAY(A207))</f>
        <v/>
      </c>
    </row>
    <row r="208">
      <c r="A208" s="18" t="n"/>
      <c r="B208" s="18" t="n"/>
      <c r="C208" s="18" t="n"/>
      <c r="D208" s="18" t="n"/>
      <c r="E208" s="18" t="n"/>
      <c r="F208" s="18" t="n"/>
      <c r="G208">
        <f>IF(A208="","",MONTH(A208))</f>
        <v/>
      </c>
      <c r="H208">
        <f>IF(A208="","",YEAR(A208))</f>
        <v/>
      </c>
      <c r="I208">
        <f>IF(A208="","",DAY(A208))</f>
        <v/>
      </c>
    </row>
    <row r="209">
      <c r="A209" s="43" t="n"/>
      <c r="B209" s="43" t="n"/>
      <c r="C209" s="43" t="n"/>
      <c r="D209" s="43" t="n"/>
      <c r="E209" s="43" t="n"/>
      <c r="F209" s="43" t="n"/>
      <c r="G209">
        <f>IF(A209="","",MONTH(A209))</f>
        <v/>
      </c>
      <c r="H209">
        <f>IF(A209="","",YEAR(A209))</f>
        <v/>
      </c>
      <c r="I209">
        <f>IF(A209="","",DAY(A209))</f>
        <v/>
      </c>
    </row>
    <row r="210">
      <c r="A210" s="18" t="n"/>
      <c r="B210" s="18" t="n"/>
      <c r="C210" s="18" t="n"/>
      <c r="D210" s="18" t="n"/>
      <c r="E210" s="18" t="n"/>
      <c r="F210" s="18" t="n"/>
      <c r="G210">
        <f>IF(A210="","",MONTH(A210))</f>
        <v/>
      </c>
      <c r="H210">
        <f>IF(A210="","",YEAR(A210))</f>
        <v/>
      </c>
      <c r="I210">
        <f>IF(A210="","",DAY(A210))</f>
        <v/>
      </c>
    </row>
    <row r="211">
      <c r="A211" s="43" t="n"/>
      <c r="B211" s="43" t="n"/>
      <c r="C211" s="43" t="n"/>
      <c r="D211" s="43" t="n"/>
      <c r="E211" s="43" t="n"/>
      <c r="F211" s="43" t="n"/>
      <c r="G211">
        <f>IF(A211="","",MONTH(A211))</f>
        <v/>
      </c>
      <c r="H211">
        <f>IF(A211="","",YEAR(A211))</f>
        <v/>
      </c>
      <c r="I211">
        <f>IF(A211="","",DAY(A211))</f>
        <v/>
      </c>
    </row>
    <row r="212">
      <c r="A212" s="18" t="n"/>
      <c r="B212" s="18" t="n"/>
      <c r="C212" s="18" t="n"/>
      <c r="D212" s="18" t="n"/>
      <c r="E212" s="18" t="n"/>
      <c r="F212" s="18" t="n"/>
      <c r="G212">
        <f>IF(A212="","",MONTH(A212))</f>
        <v/>
      </c>
      <c r="H212">
        <f>IF(A212="","",YEAR(A212))</f>
        <v/>
      </c>
      <c r="I212">
        <f>IF(A212="","",DAY(A212))</f>
        <v/>
      </c>
    </row>
    <row r="213">
      <c r="A213" s="43" t="n"/>
      <c r="B213" s="43" t="n"/>
      <c r="C213" s="43" t="n"/>
      <c r="D213" s="43" t="n"/>
      <c r="E213" s="43" t="n"/>
      <c r="F213" s="43" t="n"/>
      <c r="G213">
        <f>IF(A213="","",MONTH(A213))</f>
        <v/>
      </c>
      <c r="H213">
        <f>IF(A213="","",YEAR(A213))</f>
        <v/>
      </c>
      <c r="I213">
        <f>IF(A213="","",DAY(A213))</f>
        <v/>
      </c>
    </row>
    <row r="214">
      <c r="A214" s="18" t="n"/>
      <c r="B214" s="18" t="n"/>
      <c r="C214" s="18" t="n"/>
      <c r="D214" s="18" t="n"/>
      <c r="E214" s="18" t="n"/>
      <c r="F214" s="18" t="n"/>
      <c r="G214">
        <f>IF(A214="","",MONTH(A214))</f>
        <v/>
      </c>
      <c r="H214">
        <f>IF(A214="","",YEAR(A214))</f>
        <v/>
      </c>
      <c r="I214">
        <f>IF(A214="","",DAY(A214))</f>
        <v/>
      </c>
    </row>
    <row r="215">
      <c r="A215" s="43" t="n"/>
      <c r="B215" s="43" t="n"/>
      <c r="C215" s="43" t="n"/>
      <c r="D215" s="43" t="n"/>
      <c r="E215" s="43" t="n"/>
      <c r="F215" s="43" t="n"/>
      <c r="G215">
        <f>IF(A215="","",MONTH(A215))</f>
        <v/>
      </c>
      <c r="H215">
        <f>IF(A215="","",YEAR(A215))</f>
        <v/>
      </c>
      <c r="I215">
        <f>IF(A215="","",DAY(A215))</f>
        <v/>
      </c>
    </row>
    <row r="216">
      <c r="A216" s="18" t="n"/>
      <c r="B216" s="18" t="n"/>
      <c r="C216" s="18" t="n"/>
      <c r="D216" s="18" t="n"/>
      <c r="E216" s="18" t="n"/>
      <c r="F216" s="18" t="n"/>
      <c r="G216">
        <f>IF(A216="","",MONTH(A216))</f>
        <v/>
      </c>
      <c r="H216">
        <f>IF(A216="","",YEAR(A216))</f>
        <v/>
      </c>
      <c r="I216">
        <f>IF(A216="","",DAY(A216))</f>
        <v/>
      </c>
    </row>
    <row r="217">
      <c r="A217" s="43" t="n"/>
      <c r="B217" s="43" t="n"/>
      <c r="C217" s="43" t="n"/>
      <c r="D217" s="43" t="n"/>
      <c r="E217" s="43" t="n"/>
      <c r="F217" s="43" t="n"/>
      <c r="G217">
        <f>IF(A217="","",MONTH(A217))</f>
        <v/>
      </c>
      <c r="H217">
        <f>IF(A217="","",YEAR(A217))</f>
        <v/>
      </c>
      <c r="I217">
        <f>IF(A217="","",DAY(A217))</f>
        <v/>
      </c>
    </row>
    <row r="218">
      <c r="A218" s="18" t="n"/>
      <c r="B218" s="18" t="n"/>
      <c r="C218" s="18" t="n"/>
      <c r="D218" s="18" t="n"/>
      <c r="E218" s="18" t="n"/>
      <c r="F218" s="18" t="n"/>
      <c r="G218">
        <f>IF(A218="","",MONTH(A218))</f>
        <v/>
      </c>
      <c r="H218">
        <f>IF(A218="","",YEAR(A218))</f>
        <v/>
      </c>
      <c r="I218">
        <f>IF(A218="","",DAY(A218))</f>
        <v/>
      </c>
    </row>
    <row r="219">
      <c r="A219" s="43" t="n"/>
      <c r="B219" s="43" t="n"/>
      <c r="C219" s="43" t="n"/>
      <c r="D219" s="43" t="n"/>
      <c r="E219" s="43" t="n"/>
      <c r="F219" s="43" t="n"/>
      <c r="G219">
        <f>IF(A219="","",MONTH(A219))</f>
        <v/>
      </c>
      <c r="H219">
        <f>IF(A219="","",YEAR(A219))</f>
        <v/>
      </c>
      <c r="I219">
        <f>IF(A219="","",DAY(A219))</f>
        <v/>
      </c>
    </row>
    <row r="220">
      <c r="A220" s="18" t="n"/>
      <c r="B220" s="18" t="n"/>
      <c r="C220" s="18" t="n"/>
      <c r="D220" s="18" t="n"/>
      <c r="E220" s="18" t="n"/>
      <c r="F220" s="18" t="n"/>
      <c r="G220">
        <f>IF(A220="","",MONTH(A220))</f>
        <v/>
      </c>
      <c r="H220">
        <f>IF(A220="","",YEAR(A220))</f>
        <v/>
      </c>
      <c r="I220">
        <f>IF(A220="","",DAY(A220))</f>
        <v/>
      </c>
    </row>
    <row r="221">
      <c r="A221" s="43" t="n"/>
      <c r="B221" s="43" t="n"/>
      <c r="C221" s="43" t="n"/>
      <c r="D221" s="43" t="n"/>
      <c r="E221" s="43" t="n"/>
      <c r="F221" s="43" t="n"/>
      <c r="G221">
        <f>IF(A221="","",MONTH(A221))</f>
        <v/>
      </c>
      <c r="H221">
        <f>IF(A221="","",YEAR(A221))</f>
        <v/>
      </c>
      <c r="I221">
        <f>IF(A221="","",DAY(A221))</f>
        <v/>
      </c>
    </row>
    <row r="222">
      <c r="A222" s="18" t="n"/>
      <c r="B222" s="18" t="n"/>
      <c r="C222" s="18" t="n"/>
      <c r="D222" s="18" t="n"/>
      <c r="E222" s="18" t="n"/>
      <c r="F222" s="18" t="n"/>
      <c r="G222">
        <f>IF(A222="","",MONTH(A222))</f>
        <v/>
      </c>
      <c r="H222">
        <f>IF(A222="","",YEAR(A222))</f>
        <v/>
      </c>
      <c r="I222">
        <f>IF(A222="","",DAY(A222))</f>
        <v/>
      </c>
    </row>
    <row r="223">
      <c r="A223" s="43" t="n"/>
      <c r="B223" s="43" t="n"/>
      <c r="C223" s="43" t="n"/>
      <c r="D223" s="43" t="n"/>
      <c r="E223" s="43" t="n"/>
      <c r="F223" s="43" t="n"/>
      <c r="G223">
        <f>IF(A223="","",MONTH(A223))</f>
        <v/>
      </c>
      <c r="H223">
        <f>IF(A223="","",YEAR(A223))</f>
        <v/>
      </c>
      <c r="I223">
        <f>IF(A223="","",DAY(A223))</f>
        <v/>
      </c>
    </row>
    <row r="224">
      <c r="A224" s="18" t="n"/>
      <c r="B224" s="18" t="n"/>
      <c r="C224" s="18" t="n"/>
      <c r="D224" s="18" t="n"/>
      <c r="E224" s="18" t="n"/>
      <c r="F224" s="18" t="n"/>
      <c r="G224">
        <f>IF(A224="","",MONTH(A224))</f>
        <v/>
      </c>
      <c r="H224">
        <f>IF(A224="","",YEAR(A224))</f>
        <v/>
      </c>
      <c r="I224">
        <f>IF(A224="","",DAY(A224))</f>
        <v/>
      </c>
    </row>
    <row r="225">
      <c r="A225" s="43" t="n"/>
      <c r="B225" s="43" t="n"/>
      <c r="C225" s="43" t="n"/>
      <c r="D225" s="43" t="n"/>
      <c r="E225" s="43" t="n"/>
      <c r="F225" s="43" t="n"/>
      <c r="G225">
        <f>IF(A225="","",MONTH(A225))</f>
        <v/>
      </c>
      <c r="H225">
        <f>IF(A225="","",YEAR(A225))</f>
        <v/>
      </c>
      <c r="I225">
        <f>IF(A225="","",DAY(A225))</f>
        <v/>
      </c>
    </row>
    <row r="226">
      <c r="A226" s="18" t="n"/>
      <c r="B226" s="18" t="n"/>
      <c r="C226" s="18" t="n"/>
      <c r="D226" s="18" t="n"/>
      <c r="E226" s="18" t="n"/>
      <c r="F226" s="18" t="n"/>
      <c r="G226">
        <f>IF(A226="","",MONTH(A226))</f>
        <v/>
      </c>
      <c r="H226">
        <f>IF(A226="","",YEAR(A226))</f>
        <v/>
      </c>
      <c r="I226">
        <f>IF(A226="","",DAY(A226))</f>
        <v/>
      </c>
    </row>
    <row r="227">
      <c r="A227" s="43" t="n"/>
      <c r="B227" s="43" t="n"/>
      <c r="C227" s="43" t="n"/>
      <c r="D227" s="43" t="n"/>
      <c r="E227" s="43" t="n"/>
      <c r="F227" s="43" t="n"/>
      <c r="G227">
        <f>IF(A227="","",MONTH(A227))</f>
        <v/>
      </c>
      <c r="H227">
        <f>IF(A227="","",YEAR(A227))</f>
        <v/>
      </c>
      <c r="I227">
        <f>IF(A227="","",DAY(A227))</f>
        <v/>
      </c>
    </row>
    <row r="228">
      <c r="A228" s="18" t="n"/>
      <c r="B228" s="18" t="n"/>
      <c r="C228" s="18" t="n"/>
      <c r="D228" s="18" t="n"/>
      <c r="E228" s="18" t="n"/>
      <c r="F228" s="18" t="n"/>
      <c r="G228">
        <f>IF(A228="","",MONTH(A228))</f>
        <v/>
      </c>
      <c r="H228">
        <f>IF(A228="","",YEAR(A228))</f>
        <v/>
      </c>
      <c r="I228">
        <f>IF(A228="","",DAY(A228))</f>
        <v/>
      </c>
    </row>
    <row r="229">
      <c r="A229" s="43" t="n"/>
      <c r="B229" s="43" t="n"/>
      <c r="C229" s="43" t="n"/>
      <c r="D229" s="43" t="n"/>
      <c r="E229" s="43" t="n"/>
      <c r="F229" s="43" t="n"/>
      <c r="G229">
        <f>IF(A229="","",MONTH(A229))</f>
        <v/>
      </c>
      <c r="H229">
        <f>IF(A229="","",YEAR(A229))</f>
        <v/>
      </c>
      <c r="I229">
        <f>IF(A229="","",DAY(A229))</f>
        <v/>
      </c>
    </row>
    <row r="230">
      <c r="A230" s="18" t="n"/>
      <c r="B230" s="18" t="n"/>
      <c r="C230" s="18" t="n"/>
      <c r="D230" s="18" t="n"/>
      <c r="E230" s="18" t="n"/>
      <c r="F230" s="18" t="n"/>
      <c r="G230">
        <f>IF(A230="","",MONTH(A230))</f>
        <v/>
      </c>
      <c r="H230">
        <f>IF(A230="","",YEAR(A230))</f>
        <v/>
      </c>
      <c r="I230">
        <f>IF(A230="","",DAY(A230))</f>
        <v/>
      </c>
    </row>
    <row r="231">
      <c r="A231" s="43" t="n"/>
      <c r="B231" s="43" t="n"/>
      <c r="C231" s="43" t="n"/>
      <c r="D231" s="43" t="n"/>
      <c r="E231" s="43" t="n"/>
      <c r="F231" s="43" t="n"/>
      <c r="G231">
        <f>IF(A231="","",MONTH(A231))</f>
        <v/>
      </c>
      <c r="H231">
        <f>IF(A231="","",YEAR(A231))</f>
        <v/>
      </c>
      <c r="I231">
        <f>IF(A231="","",DAY(A231))</f>
        <v/>
      </c>
    </row>
    <row r="232">
      <c r="A232" s="18" t="n"/>
      <c r="B232" s="18" t="n"/>
      <c r="C232" s="18" t="n"/>
      <c r="D232" s="18" t="n"/>
      <c r="E232" s="18" t="n"/>
      <c r="F232" s="18" t="n"/>
      <c r="G232">
        <f>IF(A232="","",MONTH(A232))</f>
        <v/>
      </c>
      <c r="H232">
        <f>IF(A232="","",YEAR(A232))</f>
        <v/>
      </c>
      <c r="I232">
        <f>IF(A232="","",DAY(A232))</f>
        <v/>
      </c>
    </row>
    <row r="233">
      <c r="A233" s="43" t="n"/>
      <c r="B233" s="43" t="n"/>
      <c r="C233" s="43" t="n"/>
      <c r="D233" s="43" t="n"/>
      <c r="E233" s="43" t="n"/>
      <c r="F233" s="43" t="n"/>
      <c r="G233">
        <f>IF(A233="","",MONTH(A233))</f>
        <v/>
      </c>
      <c r="H233">
        <f>IF(A233="","",YEAR(A233))</f>
        <v/>
      </c>
      <c r="I233">
        <f>IF(A233="","",DAY(A233))</f>
        <v/>
      </c>
    </row>
    <row r="234">
      <c r="A234" s="18" t="n"/>
      <c r="B234" s="18" t="n"/>
      <c r="C234" s="18" t="n"/>
      <c r="D234" s="18" t="n"/>
      <c r="E234" s="18" t="n"/>
      <c r="F234" s="18" t="n"/>
      <c r="G234">
        <f>IF(A234="","",MONTH(A234))</f>
        <v/>
      </c>
      <c r="H234">
        <f>IF(A234="","",YEAR(A234))</f>
        <v/>
      </c>
      <c r="I234">
        <f>IF(A234="","",DAY(A234))</f>
        <v/>
      </c>
    </row>
    <row r="235">
      <c r="A235" s="43" t="n"/>
      <c r="B235" s="43" t="n"/>
      <c r="C235" s="43" t="n"/>
      <c r="D235" s="43" t="n"/>
      <c r="E235" s="43" t="n"/>
      <c r="F235" s="43" t="n"/>
      <c r="G235">
        <f>IF(A235="","",MONTH(A235))</f>
        <v/>
      </c>
      <c r="H235">
        <f>IF(A235="","",YEAR(A235))</f>
        <v/>
      </c>
      <c r="I235">
        <f>IF(A235="","",DAY(A235))</f>
        <v/>
      </c>
    </row>
    <row r="236">
      <c r="A236" s="18" t="n"/>
      <c r="B236" s="18" t="n"/>
      <c r="C236" s="18" t="n"/>
      <c r="D236" s="18" t="n"/>
      <c r="E236" s="18" t="n"/>
      <c r="F236" s="18" t="n"/>
      <c r="G236">
        <f>IF(A236="","",MONTH(A236))</f>
        <v/>
      </c>
      <c r="H236">
        <f>IF(A236="","",YEAR(A236))</f>
        <v/>
      </c>
      <c r="I236">
        <f>IF(A236="","",DAY(A236))</f>
        <v/>
      </c>
    </row>
    <row r="237">
      <c r="A237" s="43" t="n"/>
      <c r="B237" s="43" t="n"/>
      <c r="C237" s="43" t="n"/>
      <c r="D237" s="43" t="n"/>
      <c r="E237" s="43" t="n"/>
      <c r="F237" s="43" t="n"/>
      <c r="G237">
        <f>IF(A237="","",MONTH(A237))</f>
        <v/>
      </c>
      <c r="H237">
        <f>IF(A237="","",YEAR(A237))</f>
        <v/>
      </c>
      <c r="I237">
        <f>IF(A237="","",DAY(A237))</f>
        <v/>
      </c>
    </row>
    <row r="238">
      <c r="A238" s="18" t="n"/>
      <c r="B238" s="18" t="n"/>
      <c r="C238" s="18" t="n"/>
      <c r="D238" s="18" t="n"/>
      <c r="E238" s="18" t="n"/>
      <c r="F238" s="18" t="n"/>
      <c r="G238">
        <f>IF(A238="","",MONTH(A238))</f>
        <v/>
      </c>
      <c r="H238">
        <f>IF(A238="","",YEAR(A238))</f>
        <v/>
      </c>
      <c r="I238">
        <f>IF(A238="","",DAY(A238))</f>
        <v/>
      </c>
    </row>
    <row r="239">
      <c r="A239" s="43" t="n"/>
      <c r="B239" s="43" t="n"/>
      <c r="C239" s="43" t="n"/>
      <c r="D239" s="43" t="n"/>
      <c r="E239" s="43" t="n"/>
      <c r="F239" s="43" t="n"/>
      <c r="G239">
        <f>IF(A239="","",MONTH(A239))</f>
        <v/>
      </c>
      <c r="H239">
        <f>IF(A239="","",YEAR(A239))</f>
        <v/>
      </c>
      <c r="I239">
        <f>IF(A239="","",DAY(A239))</f>
        <v/>
      </c>
    </row>
    <row r="240">
      <c r="A240" s="18" t="n"/>
      <c r="B240" s="18" t="n"/>
      <c r="C240" s="18" t="n"/>
      <c r="D240" s="18" t="n"/>
      <c r="E240" s="18" t="n"/>
      <c r="F240" s="18" t="n"/>
      <c r="G240">
        <f>IF(A240="","",MONTH(A240))</f>
        <v/>
      </c>
      <c r="H240">
        <f>IF(A240="","",YEAR(A240))</f>
        <v/>
      </c>
      <c r="I240">
        <f>IF(A240="","",DAY(A240))</f>
        <v/>
      </c>
    </row>
    <row r="241">
      <c r="A241" s="43" t="n"/>
      <c r="B241" s="43" t="n"/>
      <c r="C241" s="43" t="n"/>
      <c r="D241" s="43" t="n"/>
      <c r="E241" s="43" t="n"/>
      <c r="F241" s="43" t="n"/>
      <c r="G241">
        <f>IF(A241="","",MONTH(A241))</f>
        <v/>
      </c>
      <c r="H241">
        <f>IF(A241="","",YEAR(A241))</f>
        <v/>
      </c>
      <c r="I241">
        <f>IF(A241="","",DAY(A241))</f>
        <v/>
      </c>
    </row>
    <row r="242">
      <c r="A242" s="18" t="n"/>
      <c r="B242" s="18" t="n"/>
      <c r="C242" s="18" t="n"/>
      <c r="D242" s="18" t="n"/>
      <c r="E242" s="18" t="n"/>
      <c r="F242" s="18" t="n"/>
      <c r="G242">
        <f>IF(A242="","",MONTH(A242))</f>
        <v/>
      </c>
      <c r="H242">
        <f>IF(A242="","",YEAR(A242))</f>
        <v/>
      </c>
      <c r="I242">
        <f>IF(A242="","",DAY(A242))</f>
        <v/>
      </c>
    </row>
    <row r="243">
      <c r="A243" s="43" t="n"/>
      <c r="B243" s="43" t="n"/>
      <c r="C243" s="43" t="n"/>
      <c r="D243" s="43" t="n"/>
      <c r="E243" s="43" t="n"/>
      <c r="F243" s="43" t="n"/>
      <c r="G243">
        <f>IF(A243="","",MONTH(A243))</f>
        <v/>
      </c>
      <c r="H243">
        <f>IF(A243="","",YEAR(A243))</f>
        <v/>
      </c>
      <c r="I243">
        <f>IF(A243="","",DAY(A243))</f>
        <v/>
      </c>
    </row>
    <row r="244">
      <c r="A244" s="18" t="n"/>
      <c r="B244" s="18" t="n"/>
      <c r="C244" s="18" t="n"/>
      <c r="D244" s="18" t="n"/>
      <c r="E244" s="18" t="n"/>
      <c r="F244" s="18" t="n"/>
      <c r="G244">
        <f>IF(A244="","",MONTH(A244))</f>
        <v/>
      </c>
      <c r="H244">
        <f>IF(A244="","",YEAR(A244))</f>
        <v/>
      </c>
      <c r="I244">
        <f>IF(A244="","",DAY(A244))</f>
        <v/>
      </c>
    </row>
    <row r="245">
      <c r="A245" s="43" t="n"/>
      <c r="B245" s="43" t="n"/>
      <c r="C245" s="43" t="n"/>
      <c r="D245" s="43" t="n"/>
      <c r="E245" s="43" t="n"/>
      <c r="F245" s="43" t="n"/>
      <c r="G245">
        <f>IF(A245="","",MONTH(A245))</f>
        <v/>
      </c>
      <c r="H245">
        <f>IF(A245="","",YEAR(A245))</f>
        <v/>
      </c>
      <c r="I245">
        <f>IF(A245="","",DAY(A245))</f>
        <v/>
      </c>
    </row>
    <row r="246">
      <c r="A246" s="18" t="n"/>
      <c r="B246" s="18" t="n"/>
      <c r="C246" s="18" t="n"/>
      <c r="D246" s="18" t="n"/>
      <c r="E246" s="18" t="n"/>
      <c r="F246" s="18" t="n"/>
      <c r="G246">
        <f>IF(A246="","",MONTH(A246))</f>
        <v/>
      </c>
      <c r="H246">
        <f>IF(A246="","",YEAR(A246))</f>
        <v/>
      </c>
      <c r="I246">
        <f>IF(A246="","",DAY(A246))</f>
        <v/>
      </c>
    </row>
    <row r="247">
      <c r="A247" s="43" t="n"/>
      <c r="B247" s="43" t="n"/>
      <c r="C247" s="43" t="n"/>
      <c r="D247" s="43" t="n"/>
      <c r="E247" s="43" t="n"/>
      <c r="F247" s="43" t="n"/>
      <c r="G247">
        <f>IF(A247="","",MONTH(A247))</f>
        <v/>
      </c>
      <c r="H247">
        <f>IF(A247="","",YEAR(A247))</f>
        <v/>
      </c>
      <c r="I247">
        <f>IF(A247="","",DAY(A247))</f>
        <v/>
      </c>
    </row>
    <row r="248">
      <c r="A248" s="18" t="n"/>
      <c r="B248" s="18" t="n"/>
      <c r="C248" s="18" t="n"/>
      <c r="D248" s="18" t="n"/>
      <c r="E248" s="18" t="n"/>
      <c r="F248" s="18" t="n"/>
      <c r="G248">
        <f>IF(A248="","",MONTH(A248))</f>
        <v/>
      </c>
      <c r="H248">
        <f>IF(A248="","",YEAR(A248))</f>
        <v/>
      </c>
      <c r="I248">
        <f>IF(A248="","",DAY(A248))</f>
        <v/>
      </c>
    </row>
    <row r="249">
      <c r="A249" s="43" t="n"/>
      <c r="B249" s="43" t="n"/>
      <c r="C249" s="43" t="n"/>
      <c r="D249" s="43" t="n"/>
      <c r="E249" s="43" t="n"/>
      <c r="F249" s="43" t="n"/>
      <c r="G249">
        <f>IF(A249="","",MONTH(A249))</f>
        <v/>
      </c>
      <c r="H249">
        <f>IF(A249="","",YEAR(A249))</f>
        <v/>
      </c>
      <c r="I249">
        <f>IF(A249="","",DAY(A249))</f>
        <v/>
      </c>
    </row>
    <row r="250">
      <c r="A250" s="18" t="n"/>
      <c r="B250" s="18" t="n"/>
      <c r="C250" s="18" t="n"/>
      <c r="D250" s="18" t="n"/>
      <c r="E250" s="18" t="n"/>
      <c r="F250" s="18" t="n"/>
      <c r="G250">
        <f>IF(A250="","",MONTH(A250))</f>
        <v/>
      </c>
      <c r="H250">
        <f>IF(A250="","",YEAR(A250))</f>
        <v/>
      </c>
      <c r="I250">
        <f>IF(A250="","",DAY(A250))</f>
        <v/>
      </c>
    </row>
    <row r="251">
      <c r="A251" s="43" t="n"/>
      <c r="B251" s="43" t="n"/>
      <c r="C251" s="43" t="n"/>
      <c r="D251" s="43" t="n"/>
      <c r="E251" s="43" t="n"/>
      <c r="F251" s="43" t="n"/>
      <c r="G251">
        <f>IF(A251="","",MONTH(A251))</f>
        <v/>
      </c>
      <c r="H251">
        <f>IF(A251="","",YEAR(A251))</f>
        <v/>
      </c>
      <c r="I251">
        <f>IF(A251="","",DAY(A251))</f>
        <v/>
      </c>
    </row>
    <row r="252">
      <c r="A252" s="18" t="n"/>
      <c r="B252" s="18" t="n"/>
      <c r="C252" s="18" t="n"/>
      <c r="D252" s="18" t="n"/>
      <c r="E252" s="18" t="n"/>
      <c r="F252" s="18" t="n"/>
      <c r="G252">
        <f>IF(A252="","",MONTH(A252))</f>
        <v/>
      </c>
      <c r="H252">
        <f>IF(A252="","",YEAR(A252))</f>
        <v/>
      </c>
      <c r="I252">
        <f>IF(A252="","",DAY(A252))</f>
        <v/>
      </c>
    </row>
    <row r="253">
      <c r="A253" s="43" t="n"/>
      <c r="B253" s="43" t="n"/>
      <c r="C253" s="43" t="n"/>
      <c r="D253" s="43" t="n"/>
      <c r="E253" s="43" t="n"/>
      <c r="F253" s="43" t="n"/>
      <c r="G253">
        <f>IF(A253="","",MONTH(A253))</f>
        <v/>
      </c>
      <c r="H253">
        <f>IF(A253="","",YEAR(A253))</f>
        <v/>
      </c>
      <c r="I253">
        <f>IF(A253="","",DAY(A253))</f>
        <v/>
      </c>
    </row>
    <row r="254">
      <c r="A254" s="18" t="n"/>
      <c r="B254" s="18" t="n"/>
      <c r="C254" s="18" t="n"/>
      <c r="D254" s="18" t="n"/>
      <c r="E254" s="18" t="n"/>
      <c r="F254" s="18" t="n"/>
      <c r="G254">
        <f>IF(A254="","",MONTH(A254))</f>
        <v/>
      </c>
      <c r="H254">
        <f>IF(A254="","",YEAR(A254))</f>
        <v/>
      </c>
      <c r="I254">
        <f>IF(A254="","",DAY(A254))</f>
        <v/>
      </c>
    </row>
    <row r="255">
      <c r="A255" s="43" t="n"/>
      <c r="B255" s="43" t="n"/>
      <c r="C255" s="43" t="n"/>
      <c r="D255" s="43" t="n"/>
      <c r="E255" s="43" t="n"/>
      <c r="F255" s="43" t="n"/>
      <c r="G255">
        <f>IF(A255="","",MONTH(A255))</f>
        <v/>
      </c>
      <c r="H255">
        <f>IF(A255="","",YEAR(A255))</f>
        <v/>
      </c>
      <c r="I255">
        <f>IF(A255="","",DAY(A255))</f>
        <v/>
      </c>
    </row>
    <row r="256">
      <c r="A256" s="18" t="n"/>
      <c r="B256" s="18" t="n"/>
      <c r="C256" s="18" t="n"/>
      <c r="D256" s="18" t="n"/>
      <c r="E256" s="18" t="n"/>
      <c r="F256" s="18" t="n"/>
      <c r="G256">
        <f>IF(A256="","",MONTH(A256))</f>
        <v/>
      </c>
      <c r="H256">
        <f>IF(A256="","",YEAR(A256))</f>
        <v/>
      </c>
      <c r="I256">
        <f>IF(A256="","",DAY(A256))</f>
        <v/>
      </c>
    </row>
    <row r="257">
      <c r="A257" s="43" t="n"/>
      <c r="B257" s="43" t="n"/>
      <c r="C257" s="43" t="n"/>
      <c r="D257" s="43" t="n"/>
      <c r="E257" s="43" t="n"/>
      <c r="F257" s="43" t="n"/>
      <c r="G257">
        <f>IF(A257="","",MONTH(A257))</f>
        <v/>
      </c>
      <c r="H257">
        <f>IF(A257="","",YEAR(A257))</f>
        <v/>
      </c>
      <c r="I257">
        <f>IF(A257="","",DAY(A257))</f>
        <v/>
      </c>
    </row>
    <row r="258">
      <c r="A258" s="18" t="n"/>
      <c r="B258" s="18" t="n"/>
      <c r="C258" s="18" t="n"/>
      <c r="D258" s="18" t="n"/>
      <c r="E258" s="18" t="n"/>
      <c r="F258" s="18" t="n"/>
      <c r="G258">
        <f>IF(A258="","",MONTH(A258))</f>
        <v/>
      </c>
      <c r="H258">
        <f>IF(A258="","",YEAR(A258))</f>
        <v/>
      </c>
      <c r="I258">
        <f>IF(A258="","",DAY(A258))</f>
        <v/>
      </c>
    </row>
    <row r="259">
      <c r="A259" s="43" t="n"/>
      <c r="B259" s="43" t="n"/>
      <c r="C259" s="43" t="n"/>
      <c r="D259" s="43" t="n"/>
      <c r="E259" s="43" t="n"/>
      <c r="F259" s="43" t="n"/>
      <c r="G259">
        <f>IF(A259="","",MONTH(A259))</f>
        <v/>
      </c>
      <c r="H259">
        <f>IF(A259="","",YEAR(A259))</f>
        <v/>
      </c>
      <c r="I259">
        <f>IF(A259="","",DAY(A259))</f>
        <v/>
      </c>
    </row>
    <row r="260">
      <c r="A260" s="18" t="n"/>
      <c r="B260" s="18" t="n"/>
      <c r="C260" s="18" t="n"/>
      <c r="D260" s="18" t="n"/>
      <c r="E260" s="18" t="n"/>
      <c r="F260" s="18" t="n"/>
      <c r="G260">
        <f>IF(A260="","",MONTH(A260))</f>
        <v/>
      </c>
      <c r="H260">
        <f>IF(A260="","",YEAR(A260))</f>
        <v/>
      </c>
      <c r="I260">
        <f>IF(A260="","",DAY(A260))</f>
        <v/>
      </c>
    </row>
    <row r="261">
      <c r="A261" s="43" t="n"/>
      <c r="B261" s="43" t="n"/>
      <c r="C261" s="43" t="n"/>
      <c r="D261" s="43" t="n"/>
      <c r="E261" s="43" t="n"/>
      <c r="F261" s="43" t="n"/>
      <c r="G261">
        <f>IF(A261="","",MONTH(A261))</f>
        <v/>
      </c>
      <c r="H261">
        <f>IF(A261="","",YEAR(A261))</f>
        <v/>
      </c>
      <c r="I261">
        <f>IF(A261="","",DAY(A261))</f>
        <v/>
      </c>
    </row>
    <row r="262">
      <c r="A262" s="18" t="n"/>
      <c r="B262" s="18" t="n"/>
      <c r="C262" s="18" t="n"/>
      <c r="D262" s="18" t="n"/>
      <c r="E262" s="18" t="n"/>
      <c r="F262" s="18" t="n"/>
      <c r="G262">
        <f>IF(A262="","",MONTH(A262))</f>
        <v/>
      </c>
      <c r="H262">
        <f>IF(A262="","",YEAR(A262))</f>
        <v/>
      </c>
      <c r="I262">
        <f>IF(A262="","",DAY(A262))</f>
        <v/>
      </c>
    </row>
    <row r="263">
      <c r="A263" s="43" t="n"/>
      <c r="B263" s="43" t="n"/>
      <c r="C263" s="43" t="n"/>
      <c r="D263" s="43" t="n"/>
      <c r="E263" s="43" t="n"/>
      <c r="F263" s="43" t="n"/>
      <c r="G263">
        <f>IF(A263="","",MONTH(A263))</f>
        <v/>
      </c>
      <c r="H263">
        <f>IF(A263="","",YEAR(A263))</f>
        <v/>
      </c>
      <c r="I263">
        <f>IF(A263="","",DAY(A263))</f>
        <v/>
      </c>
    </row>
    <row r="264">
      <c r="A264" s="18" t="n"/>
      <c r="B264" s="18" t="n"/>
      <c r="C264" s="18" t="n"/>
      <c r="D264" s="18" t="n"/>
      <c r="E264" s="18" t="n"/>
      <c r="F264" s="18" t="n"/>
      <c r="G264">
        <f>IF(A264="","",MONTH(A264))</f>
        <v/>
      </c>
      <c r="H264">
        <f>IF(A264="","",YEAR(A264))</f>
        <v/>
      </c>
      <c r="I264">
        <f>IF(A264="","",DAY(A264))</f>
        <v/>
      </c>
    </row>
    <row r="265">
      <c r="A265" s="43" t="n"/>
      <c r="B265" s="43" t="n"/>
      <c r="C265" s="43" t="n"/>
      <c r="D265" s="43" t="n"/>
      <c r="E265" s="43" t="n"/>
      <c r="F265" s="43" t="n"/>
      <c r="G265">
        <f>IF(A265="","",MONTH(A265))</f>
        <v/>
      </c>
      <c r="H265">
        <f>IF(A265="","",YEAR(A265))</f>
        <v/>
      </c>
      <c r="I265">
        <f>IF(A265="","",DAY(A265))</f>
        <v/>
      </c>
    </row>
    <row r="266">
      <c r="A266" s="18" t="n"/>
      <c r="B266" s="18" t="n"/>
      <c r="C266" s="18" t="n"/>
      <c r="D266" s="18" t="n"/>
      <c r="E266" s="18" t="n"/>
      <c r="F266" s="18" t="n"/>
      <c r="G266">
        <f>IF(A266="","",MONTH(A266))</f>
        <v/>
      </c>
      <c r="H266">
        <f>IF(A266="","",YEAR(A266))</f>
        <v/>
      </c>
      <c r="I266">
        <f>IF(A266="","",DAY(A266))</f>
        <v/>
      </c>
    </row>
    <row r="267">
      <c r="A267" s="43" t="n"/>
      <c r="B267" s="43" t="n"/>
      <c r="C267" s="43" t="n"/>
      <c r="D267" s="43" t="n"/>
      <c r="E267" s="43" t="n"/>
      <c r="F267" s="43" t="n"/>
      <c r="G267">
        <f>IF(A267="","",MONTH(A267))</f>
        <v/>
      </c>
      <c r="H267">
        <f>IF(A267="","",YEAR(A267))</f>
        <v/>
      </c>
      <c r="I267">
        <f>IF(A267="","",DAY(A267))</f>
        <v/>
      </c>
    </row>
    <row r="268">
      <c r="A268" s="18" t="n"/>
      <c r="B268" s="18" t="n"/>
      <c r="C268" s="18" t="n"/>
      <c r="D268" s="18" t="n"/>
      <c r="E268" s="18" t="n"/>
      <c r="F268" s="18" t="n"/>
      <c r="G268">
        <f>IF(A268="","",MONTH(A268))</f>
        <v/>
      </c>
      <c r="H268">
        <f>IF(A268="","",YEAR(A268))</f>
        <v/>
      </c>
      <c r="I268">
        <f>IF(A268="","",DAY(A268))</f>
        <v/>
      </c>
    </row>
    <row r="269">
      <c r="A269" s="43" t="n"/>
      <c r="B269" s="43" t="n"/>
      <c r="C269" s="43" t="n"/>
      <c r="D269" s="43" t="n"/>
      <c r="E269" s="43" t="n"/>
      <c r="F269" s="43" t="n"/>
      <c r="G269">
        <f>IF(A269="","",MONTH(A269))</f>
        <v/>
      </c>
      <c r="H269">
        <f>IF(A269="","",YEAR(A269))</f>
        <v/>
      </c>
      <c r="I269">
        <f>IF(A269="","",DAY(A269))</f>
        <v/>
      </c>
    </row>
    <row r="270">
      <c r="A270" s="18" t="n"/>
      <c r="B270" s="18" t="n"/>
      <c r="C270" s="18" t="n"/>
      <c r="D270" s="18" t="n"/>
      <c r="E270" s="18" t="n"/>
      <c r="F270" s="18" t="n"/>
      <c r="G270">
        <f>IF(A270="","",MONTH(A270))</f>
        <v/>
      </c>
      <c r="H270">
        <f>IF(A270="","",YEAR(A270))</f>
        <v/>
      </c>
      <c r="I270">
        <f>IF(A270="","",DAY(A270))</f>
        <v/>
      </c>
    </row>
    <row r="271">
      <c r="A271" s="43" t="n"/>
      <c r="B271" s="43" t="n"/>
      <c r="C271" s="43" t="n"/>
      <c r="D271" s="43" t="n"/>
      <c r="E271" s="43" t="n"/>
      <c r="F271" s="43" t="n"/>
      <c r="G271">
        <f>IF(A271="","",MONTH(A271))</f>
        <v/>
      </c>
      <c r="H271">
        <f>IF(A271="","",YEAR(A271))</f>
        <v/>
      </c>
      <c r="I271">
        <f>IF(A271="","",DAY(A271))</f>
        <v/>
      </c>
    </row>
    <row r="272">
      <c r="A272" s="18" t="n"/>
      <c r="B272" s="18" t="n"/>
      <c r="C272" s="18" t="n"/>
      <c r="D272" s="18" t="n"/>
      <c r="E272" s="18" t="n"/>
      <c r="F272" s="18" t="n"/>
      <c r="G272">
        <f>IF(A272="","",MONTH(A272))</f>
        <v/>
      </c>
      <c r="H272">
        <f>IF(A272="","",YEAR(A272))</f>
        <v/>
      </c>
      <c r="I272">
        <f>IF(A272="","",DAY(A272))</f>
        <v/>
      </c>
    </row>
    <row r="273">
      <c r="A273" s="43" t="n"/>
      <c r="B273" s="43" t="n"/>
      <c r="C273" s="43" t="n"/>
      <c r="D273" s="43" t="n"/>
      <c r="E273" s="43" t="n"/>
      <c r="F273" s="43" t="n"/>
      <c r="G273">
        <f>IF(A273="","",MONTH(A273))</f>
        <v/>
      </c>
      <c r="H273">
        <f>IF(A273="","",YEAR(A273))</f>
        <v/>
      </c>
      <c r="I273">
        <f>IF(A273="","",DAY(A273))</f>
        <v/>
      </c>
    </row>
    <row r="274">
      <c r="A274" s="18" t="n"/>
      <c r="B274" s="18" t="n"/>
      <c r="C274" s="18" t="n"/>
      <c r="D274" s="18" t="n"/>
      <c r="E274" s="18" t="n"/>
      <c r="F274" s="18" t="n"/>
      <c r="G274">
        <f>IF(A274="","",MONTH(A274))</f>
        <v/>
      </c>
      <c r="H274">
        <f>IF(A274="","",YEAR(A274))</f>
        <v/>
      </c>
      <c r="I274">
        <f>IF(A274="","",DAY(A274))</f>
        <v/>
      </c>
    </row>
    <row r="275">
      <c r="A275" s="43" t="n"/>
      <c r="B275" s="43" t="n"/>
      <c r="C275" s="43" t="n"/>
      <c r="D275" s="43" t="n"/>
      <c r="E275" s="43" t="n"/>
      <c r="F275" s="43" t="n"/>
      <c r="G275">
        <f>IF(A275="","",MONTH(A275))</f>
        <v/>
      </c>
      <c r="H275">
        <f>IF(A275="","",YEAR(A275))</f>
        <v/>
      </c>
      <c r="I275">
        <f>IF(A275="","",DAY(A275))</f>
        <v/>
      </c>
    </row>
    <row r="276">
      <c r="A276" s="18" t="n"/>
      <c r="B276" s="18" t="n"/>
      <c r="C276" s="18" t="n"/>
      <c r="D276" s="18" t="n"/>
      <c r="E276" s="18" t="n"/>
      <c r="F276" s="18" t="n"/>
      <c r="G276">
        <f>IF(A276="","",MONTH(A276))</f>
        <v/>
      </c>
      <c r="H276">
        <f>IF(A276="","",YEAR(A276))</f>
        <v/>
      </c>
      <c r="I276">
        <f>IF(A276="","",DAY(A276))</f>
        <v/>
      </c>
    </row>
    <row r="277">
      <c r="A277" s="43" t="n"/>
      <c r="B277" s="43" t="n"/>
      <c r="C277" s="43" t="n"/>
      <c r="D277" s="43" t="n"/>
      <c r="E277" s="43" t="n"/>
      <c r="F277" s="43" t="n"/>
      <c r="G277">
        <f>IF(A277="","",MONTH(A277))</f>
        <v/>
      </c>
      <c r="H277">
        <f>IF(A277="","",YEAR(A277))</f>
        <v/>
      </c>
      <c r="I277">
        <f>IF(A277="","",DAY(A277))</f>
        <v/>
      </c>
    </row>
    <row r="278">
      <c r="A278" s="18" t="n"/>
      <c r="B278" s="18" t="n"/>
      <c r="C278" s="18" t="n"/>
      <c r="D278" s="18" t="n"/>
      <c r="E278" s="18" t="n"/>
      <c r="F278" s="18" t="n"/>
      <c r="G278">
        <f>IF(A278="","",MONTH(A278))</f>
        <v/>
      </c>
      <c r="H278">
        <f>IF(A278="","",YEAR(A278))</f>
        <v/>
      </c>
      <c r="I278">
        <f>IF(A278="","",DAY(A278))</f>
        <v/>
      </c>
    </row>
    <row r="279">
      <c r="A279" s="43" t="n"/>
      <c r="B279" s="43" t="n"/>
      <c r="C279" s="43" t="n"/>
      <c r="D279" s="43" t="n"/>
      <c r="E279" s="43" t="n"/>
      <c r="F279" s="43" t="n"/>
      <c r="G279">
        <f>IF(A279="","",MONTH(A279))</f>
        <v/>
      </c>
      <c r="H279">
        <f>IF(A279="","",YEAR(A279))</f>
        <v/>
      </c>
      <c r="I279">
        <f>IF(A279="","",DAY(A279))</f>
        <v/>
      </c>
    </row>
    <row r="280">
      <c r="A280" s="18" t="n"/>
      <c r="B280" s="18" t="n"/>
      <c r="C280" s="18" t="n"/>
      <c r="D280" s="18" t="n"/>
      <c r="E280" s="18" t="n"/>
      <c r="F280" s="18" t="n"/>
      <c r="G280">
        <f>IF(A280="","",MONTH(A280))</f>
        <v/>
      </c>
      <c r="H280">
        <f>IF(A280="","",YEAR(A280))</f>
        <v/>
      </c>
      <c r="I280">
        <f>IF(A280="","",DAY(A280))</f>
        <v/>
      </c>
    </row>
    <row r="281">
      <c r="A281" s="43" t="n"/>
      <c r="B281" s="43" t="n"/>
      <c r="C281" s="43" t="n"/>
      <c r="D281" s="43" t="n"/>
      <c r="E281" s="43" t="n"/>
      <c r="F281" s="43" t="n"/>
      <c r="G281">
        <f>IF(A281="","",MONTH(A281))</f>
        <v/>
      </c>
      <c r="H281">
        <f>IF(A281="","",YEAR(A281))</f>
        <v/>
      </c>
      <c r="I281">
        <f>IF(A281="","",DAY(A281))</f>
        <v/>
      </c>
    </row>
    <row r="282">
      <c r="A282" s="18" t="n"/>
      <c r="B282" s="18" t="n"/>
      <c r="C282" s="18" t="n"/>
      <c r="D282" s="18" t="n"/>
      <c r="E282" s="18" t="n"/>
      <c r="F282" s="18" t="n"/>
      <c r="G282">
        <f>IF(A282="","",MONTH(A282))</f>
        <v/>
      </c>
      <c r="H282">
        <f>IF(A282="","",YEAR(A282))</f>
        <v/>
      </c>
      <c r="I282">
        <f>IF(A282="","",DAY(A282))</f>
        <v/>
      </c>
    </row>
    <row r="283">
      <c r="A283" s="43" t="n"/>
      <c r="B283" s="43" t="n"/>
      <c r="C283" s="43" t="n"/>
      <c r="D283" s="43" t="n"/>
      <c r="E283" s="43" t="n"/>
      <c r="F283" s="43" t="n"/>
      <c r="G283">
        <f>IF(A283="","",MONTH(A283))</f>
        <v/>
      </c>
      <c r="H283">
        <f>IF(A283="","",YEAR(A283))</f>
        <v/>
      </c>
      <c r="I283">
        <f>IF(A283="","",DAY(A283))</f>
        <v/>
      </c>
    </row>
    <row r="284">
      <c r="A284" s="18" t="n"/>
      <c r="B284" s="18" t="n"/>
      <c r="C284" s="18" t="n"/>
      <c r="D284" s="18" t="n"/>
      <c r="E284" s="18" t="n"/>
      <c r="F284" s="18" t="n"/>
      <c r="G284">
        <f>IF(A284="","",MONTH(A284))</f>
        <v/>
      </c>
      <c r="H284">
        <f>IF(A284="","",YEAR(A284))</f>
        <v/>
      </c>
      <c r="I284">
        <f>IF(A284="","",DAY(A284))</f>
        <v/>
      </c>
    </row>
    <row r="285">
      <c r="A285" s="43" t="n"/>
      <c r="B285" s="43" t="n"/>
      <c r="C285" s="43" t="n"/>
      <c r="D285" s="43" t="n"/>
      <c r="E285" s="43" t="n"/>
      <c r="F285" s="43" t="n"/>
      <c r="G285">
        <f>IF(A285="","",MONTH(A285))</f>
        <v/>
      </c>
      <c r="H285">
        <f>IF(A285="","",YEAR(A285))</f>
        <v/>
      </c>
      <c r="I285">
        <f>IF(A285="","",DAY(A285))</f>
        <v/>
      </c>
    </row>
    <row r="286">
      <c r="A286" s="18" t="n"/>
      <c r="B286" s="18" t="n"/>
      <c r="C286" s="18" t="n"/>
      <c r="D286" s="18" t="n"/>
      <c r="E286" s="18" t="n"/>
      <c r="F286" s="18" t="n"/>
      <c r="G286">
        <f>IF(A286="","",MONTH(A286))</f>
        <v/>
      </c>
      <c r="H286">
        <f>IF(A286="","",YEAR(A286))</f>
        <v/>
      </c>
      <c r="I286">
        <f>IF(A286="","",DAY(A286))</f>
        <v/>
      </c>
    </row>
    <row r="287">
      <c r="A287" s="43" t="n"/>
      <c r="B287" s="43" t="n"/>
      <c r="C287" s="43" t="n"/>
      <c r="D287" s="43" t="n"/>
      <c r="E287" s="43" t="n"/>
      <c r="F287" s="43" t="n"/>
      <c r="G287">
        <f>IF(A287="","",MONTH(A287))</f>
        <v/>
      </c>
      <c r="H287">
        <f>IF(A287="","",YEAR(A287))</f>
        <v/>
      </c>
      <c r="I287">
        <f>IF(A287="","",DAY(A287))</f>
        <v/>
      </c>
    </row>
    <row r="288">
      <c r="A288" s="18" t="n"/>
      <c r="B288" s="18" t="n"/>
      <c r="C288" s="18" t="n"/>
      <c r="D288" s="18" t="n"/>
      <c r="E288" s="18" t="n"/>
      <c r="F288" s="18" t="n"/>
      <c r="G288">
        <f>IF(A288="","",MONTH(A288))</f>
        <v/>
      </c>
      <c r="H288">
        <f>IF(A288="","",YEAR(A288))</f>
        <v/>
      </c>
      <c r="I288">
        <f>IF(A288="","",DAY(A288))</f>
        <v/>
      </c>
    </row>
    <row r="289">
      <c r="A289" s="43" t="n"/>
      <c r="B289" s="43" t="n"/>
      <c r="C289" s="43" t="n"/>
      <c r="D289" s="43" t="n"/>
      <c r="E289" s="43" t="n"/>
      <c r="F289" s="43" t="n"/>
      <c r="G289">
        <f>IF(A289="","",MONTH(A289))</f>
        <v/>
      </c>
      <c r="H289">
        <f>IF(A289="","",YEAR(A289))</f>
        <v/>
      </c>
      <c r="I289">
        <f>IF(A289="","",DAY(A289))</f>
        <v/>
      </c>
    </row>
    <row r="290">
      <c r="A290" s="18" t="n"/>
      <c r="B290" s="18" t="n"/>
      <c r="C290" s="18" t="n"/>
      <c r="D290" s="18" t="n"/>
      <c r="E290" s="18" t="n"/>
      <c r="F290" s="18" t="n"/>
      <c r="G290">
        <f>IF(A290="","",MONTH(A290))</f>
        <v/>
      </c>
      <c r="H290">
        <f>IF(A290="","",YEAR(A290))</f>
        <v/>
      </c>
      <c r="I290">
        <f>IF(A290="","",DAY(A290))</f>
        <v/>
      </c>
    </row>
    <row r="291">
      <c r="A291" s="43" t="n"/>
      <c r="B291" s="43" t="n"/>
      <c r="C291" s="43" t="n"/>
      <c r="D291" s="43" t="n"/>
      <c r="E291" s="43" t="n"/>
      <c r="F291" s="43" t="n"/>
      <c r="G291">
        <f>IF(A291="","",MONTH(A291))</f>
        <v/>
      </c>
      <c r="H291">
        <f>IF(A291="","",YEAR(A291))</f>
        <v/>
      </c>
      <c r="I291">
        <f>IF(A291="","",DAY(A291))</f>
        <v/>
      </c>
    </row>
    <row r="292">
      <c r="A292" s="18" t="n"/>
      <c r="B292" s="18" t="n"/>
      <c r="C292" s="18" t="n"/>
      <c r="D292" s="18" t="n"/>
      <c r="E292" s="18" t="n"/>
      <c r="F292" s="18" t="n"/>
      <c r="G292">
        <f>IF(A292="","",MONTH(A292))</f>
        <v/>
      </c>
      <c r="H292">
        <f>IF(A292="","",YEAR(A292))</f>
        <v/>
      </c>
      <c r="I292">
        <f>IF(A292="","",DAY(A292))</f>
        <v/>
      </c>
    </row>
    <row r="293">
      <c r="A293" s="43" t="n"/>
      <c r="B293" s="43" t="n"/>
      <c r="C293" s="43" t="n"/>
      <c r="D293" s="43" t="n"/>
      <c r="E293" s="43" t="n"/>
      <c r="F293" s="43" t="n"/>
      <c r="G293">
        <f>IF(A293="","",MONTH(A293))</f>
        <v/>
      </c>
      <c r="H293">
        <f>IF(A293="","",YEAR(A293))</f>
        <v/>
      </c>
      <c r="I293">
        <f>IF(A293="","",DAY(A293))</f>
        <v/>
      </c>
    </row>
    <row r="294">
      <c r="A294" s="18" t="n"/>
      <c r="B294" s="18" t="n"/>
      <c r="C294" s="18" t="n"/>
      <c r="D294" s="18" t="n"/>
      <c r="E294" s="18" t="n"/>
      <c r="F294" s="18" t="n"/>
      <c r="G294">
        <f>IF(A294="","",MONTH(A294))</f>
        <v/>
      </c>
      <c r="H294">
        <f>IF(A294="","",YEAR(A294))</f>
        <v/>
      </c>
      <c r="I294">
        <f>IF(A294="","",DAY(A294))</f>
        <v/>
      </c>
    </row>
    <row r="295">
      <c r="A295" s="43" t="n"/>
      <c r="B295" s="43" t="n"/>
      <c r="C295" s="43" t="n"/>
      <c r="D295" s="43" t="n"/>
      <c r="E295" s="43" t="n"/>
      <c r="F295" s="43" t="n"/>
      <c r="G295">
        <f>IF(A295="","",MONTH(A295))</f>
        <v/>
      </c>
      <c r="H295">
        <f>IF(A295="","",YEAR(A295))</f>
        <v/>
      </c>
      <c r="I295">
        <f>IF(A295="","",DAY(A295))</f>
        <v/>
      </c>
    </row>
    <row r="296">
      <c r="A296" s="18" t="n"/>
      <c r="B296" s="18" t="n"/>
      <c r="C296" s="18" t="n"/>
      <c r="D296" s="18" t="n"/>
      <c r="E296" s="18" t="n"/>
      <c r="F296" s="18" t="n"/>
      <c r="G296">
        <f>IF(A296="","",MONTH(A296))</f>
        <v/>
      </c>
      <c r="H296">
        <f>IF(A296="","",YEAR(A296))</f>
        <v/>
      </c>
      <c r="I296">
        <f>IF(A296="","",DAY(A296))</f>
        <v/>
      </c>
    </row>
    <row r="297">
      <c r="A297" s="43" t="n"/>
      <c r="B297" s="43" t="n"/>
      <c r="C297" s="43" t="n"/>
      <c r="D297" s="43" t="n"/>
      <c r="E297" s="43" t="n"/>
      <c r="F297" s="43" t="n"/>
      <c r="G297">
        <f>IF(A297="","",MONTH(A297))</f>
        <v/>
      </c>
      <c r="H297">
        <f>IF(A297="","",YEAR(A297))</f>
        <v/>
      </c>
      <c r="I297">
        <f>IF(A297="","",DAY(A297))</f>
        <v/>
      </c>
    </row>
    <row r="298">
      <c r="A298" s="18" t="n"/>
      <c r="B298" s="18" t="n"/>
      <c r="C298" s="18" t="n"/>
      <c r="D298" s="18" t="n"/>
      <c r="E298" s="18" t="n"/>
      <c r="F298" s="18" t="n"/>
      <c r="G298">
        <f>IF(A298="","",MONTH(A298))</f>
        <v/>
      </c>
      <c r="H298">
        <f>IF(A298="","",YEAR(A298))</f>
        <v/>
      </c>
      <c r="I298">
        <f>IF(A298="","",DAY(A298))</f>
        <v/>
      </c>
    </row>
    <row r="299">
      <c r="A299" s="43" t="n"/>
      <c r="B299" s="43" t="n"/>
      <c r="C299" s="43" t="n"/>
      <c r="D299" s="43" t="n"/>
      <c r="E299" s="43" t="n"/>
      <c r="F299" s="43" t="n"/>
      <c r="G299">
        <f>IF(A299="","",MONTH(A299))</f>
        <v/>
      </c>
      <c r="H299">
        <f>IF(A299="","",YEAR(A299))</f>
        <v/>
      </c>
      <c r="I299">
        <f>IF(A299="","",DAY(A299))</f>
        <v/>
      </c>
    </row>
    <row r="300">
      <c r="A300" s="18" t="n"/>
      <c r="B300" s="18" t="n"/>
      <c r="C300" s="18" t="n"/>
      <c r="D300" s="18" t="n"/>
      <c r="E300" s="18" t="n"/>
      <c r="F300" s="18" t="n"/>
      <c r="G300">
        <f>IF(A300="","",MONTH(A300))</f>
        <v/>
      </c>
      <c r="H300">
        <f>IF(A300="","",YEAR(A300))</f>
        <v/>
      </c>
      <c r="I300">
        <f>IF(A300="","",DAY(A300))</f>
        <v/>
      </c>
    </row>
    <row r="301">
      <c r="A301" s="43" t="n"/>
      <c r="B301" s="43" t="n"/>
      <c r="C301" s="43" t="n"/>
      <c r="D301" s="43" t="n"/>
      <c r="E301" s="43" t="n"/>
      <c r="F301" s="43" t="n"/>
      <c r="G301">
        <f>IF(A301="","",MONTH(A301))</f>
        <v/>
      </c>
      <c r="H301">
        <f>IF(A301="","",YEAR(A301))</f>
        <v/>
      </c>
      <c r="I301">
        <f>IF(A301="","",DAY(A301))</f>
        <v/>
      </c>
    </row>
    <row r="302">
      <c r="A302" s="18" t="n"/>
      <c r="B302" s="18" t="n"/>
      <c r="C302" s="18" t="n"/>
      <c r="D302" s="18" t="n"/>
      <c r="E302" s="18" t="n"/>
      <c r="F302" s="18" t="n"/>
      <c r="G302">
        <f>IF(A302="","",MONTH(A302))</f>
        <v/>
      </c>
      <c r="H302">
        <f>IF(A302="","",YEAR(A302))</f>
        <v/>
      </c>
      <c r="I302">
        <f>IF(A302="","",DAY(A302))</f>
        <v/>
      </c>
    </row>
    <row r="303">
      <c r="A303" s="43" t="n"/>
      <c r="B303" s="43" t="n"/>
      <c r="C303" s="43" t="n"/>
      <c r="D303" s="43" t="n"/>
      <c r="E303" s="43" t="n"/>
      <c r="F303" s="43" t="n"/>
      <c r="G303">
        <f>IF(A303="","",MONTH(A303))</f>
        <v/>
      </c>
      <c r="H303">
        <f>IF(A303="","",YEAR(A303))</f>
        <v/>
      </c>
      <c r="I303">
        <f>IF(A303="","",DAY(A303))</f>
        <v/>
      </c>
    </row>
    <row r="304">
      <c r="A304" s="18" t="n"/>
      <c r="B304" s="18" t="n"/>
      <c r="C304" s="18" t="n"/>
      <c r="D304" s="18" t="n"/>
      <c r="E304" s="18" t="n"/>
      <c r="F304" s="18" t="n"/>
      <c r="G304">
        <f>IF(A304="","",MONTH(A304))</f>
        <v/>
      </c>
      <c r="H304">
        <f>IF(A304="","",YEAR(A304))</f>
        <v/>
      </c>
      <c r="I304">
        <f>IF(A304="","",DAY(A304))</f>
        <v/>
      </c>
    </row>
    <row r="305">
      <c r="A305" s="43" t="n"/>
      <c r="B305" s="43" t="n"/>
      <c r="C305" s="43" t="n"/>
      <c r="D305" s="43" t="n"/>
      <c r="E305" s="43" t="n"/>
      <c r="F305" s="43" t="n"/>
      <c r="G305">
        <f>IF(A305="","",MONTH(A305))</f>
        <v/>
      </c>
      <c r="H305">
        <f>IF(A305="","",YEAR(A305))</f>
        <v/>
      </c>
      <c r="I305">
        <f>IF(A305="","",DAY(A305))</f>
        <v/>
      </c>
    </row>
    <row r="306">
      <c r="A306" s="18" t="n"/>
      <c r="B306" s="18" t="n"/>
      <c r="C306" s="18" t="n"/>
      <c r="D306" s="18" t="n"/>
      <c r="E306" s="18" t="n"/>
      <c r="F306" s="18" t="n"/>
      <c r="G306">
        <f>IF(A306="","",MONTH(A306))</f>
        <v/>
      </c>
      <c r="H306">
        <f>IF(A306="","",YEAR(A306))</f>
        <v/>
      </c>
      <c r="I306">
        <f>IF(A306="","",DAY(A306))</f>
        <v/>
      </c>
    </row>
    <row r="307">
      <c r="A307" s="43" t="n"/>
      <c r="B307" s="43" t="n"/>
      <c r="C307" s="43" t="n"/>
      <c r="D307" s="43" t="n"/>
      <c r="E307" s="43" t="n"/>
      <c r="F307" s="43" t="n"/>
      <c r="G307">
        <f>IF(A307="","",MONTH(A307))</f>
        <v/>
      </c>
      <c r="H307">
        <f>IF(A307="","",YEAR(A307))</f>
        <v/>
      </c>
      <c r="I307">
        <f>IF(A307="","",DAY(A307))</f>
        <v/>
      </c>
    </row>
    <row r="308">
      <c r="A308" s="18" t="n"/>
      <c r="B308" s="18" t="n"/>
      <c r="C308" s="18" t="n"/>
      <c r="D308" s="18" t="n"/>
      <c r="E308" s="18" t="n"/>
      <c r="F308" s="18" t="n"/>
      <c r="G308">
        <f>IF(A308="","",MONTH(A308))</f>
        <v/>
      </c>
      <c r="H308">
        <f>IF(A308="","",YEAR(A308))</f>
        <v/>
      </c>
      <c r="I308">
        <f>IF(A308="","",DAY(A308))</f>
        <v/>
      </c>
    </row>
    <row r="309">
      <c r="A309" s="43" t="n"/>
      <c r="B309" s="43" t="n"/>
      <c r="C309" s="43" t="n"/>
      <c r="D309" s="43" t="n"/>
      <c r="E309" s="43" t="n"/>
      <c r="F309" s="43" t="n"/>
      <c r="G309">
        <f>IF(A309="","",MONTH(A309))</f>
        <v/>
      </c>
      <c r="H309">
        <f>IF(A309="","",YEAR(A309))</f>
        <v/>
      </c>
      <c r="I309">
        <f>IF(A309="","",DAY(A309))</f>
        <v/>
      </c>
    </row>
    <row r="310">
      <c r="A310" s="18" t="n"/>
      <c r="B310" s="18" t="n"/>
      <c r="C310" s="18" t="n"/>
      <c r="D310" s="18" t="n"/>
      <c r="E310" s="18" t="n"/>
      <c r="F310" s="18" t="n"/>
      <c r="G310">
        <f>IF(A310="","",MONTH(A310))</f>
        <v/>
      </c>
      <c r="H310">
        <f>IF(A310="","",YEAR(A310))</f>
        <v/>
      </c>
      <c r="I310">
        <f>IF(A310="","",DAY(A310))</f>
        <v/>
      </c>
    </row>
    <row r="311">
      <c r="A311" s="43" t="n"/>
      <c r="B311" s="43" t="n"/>
      <c r="C311" s="43" t="n"/>
      <c r="D311" s="43" t="n"/>
      <c r="E311" s="43" t="n"/>
      <c r="F311" s="43" t="n"/>
      <c r="G311">
        <f>IF(A311="","",MONTH(A311))</f>
        <v/>
      </c>
      <c r="H311">
        <f>IF(A311="","",YEAR(A311))</f>
        <v/>
      </c>
      <c r="I311">
        <f>IF(A311="","",DAY(A311))</f>
        <v/>
      </c>
    </row>
    <row r="312">
      <c r="A312" s="18" t="n"/>
      <c r="B312" s="18" t="n"/>
      <c r="C312" s="18" t="n"/>
      <c r="D312" s="18" t="n"/>
      <c r="E312" s="18" t="n"/>
      <c r="F312" s="18" t="n"/>
      <c r="G312">
        <f>IF(A312="","",MONTH(A312))</f>
        <v/>
      </c>
      <c r="H312">
        <f>IF(A312="","",YEAR(A312))</f>
        <v/>
      </c>
      <c r="I312">
        <f>IF(A312="","",DAY(A312))</f>
        <v/>
      </c>
    </row>
    <row r="313">
      <c r="A313" s="43" t="n"/>
      <c r="B313" s="43" t="n"/>
      <c r="C313" s="43" t="n"/>
      <c r="D313" s="43" t="n"/>
      <c r="E313" s="43" t="n"/>
      <c r="F313" s="43" t="n"/>
      <c r="G313">
        <f>IF(A313="","",MONTH(A313))</f>
        <v/>
      </c>
      <c r="H313">
        <f>IF(A313="","",YEAR(A313))</f>
        <v/>
      </c>
      <c r="I313">
        <f>IF(A313="","",DAY(A313))</f>
        <v/>
      </c>
    </row>
    <row r="314">
      <c r="A314" s="18" t="n"/>
      <c r="B314" s="18" t="n"/>
      <c r="C314" s="18" t="n"/>
      <c r="D314" s="18" t="n"/>
      <c r="E314" s="18" t="n"/>
      <c r="F314" s="18" t="n"/>
      <c r="G314">
        <f>IF(A314="","",MONTH(A314))</f>
        <v/>
      </c>
      <c r="H314">
        <f>IF(A314="","",YEAR(A314))</f>
        <v/>
      </c>
      <c r="I314">
        <f>IF(A314="","",DAY(A314))</f>
        <v/>
      </c>
    </row>
    <row r="315">
      <c r="A315" s="43" t="n"/>
      <c r="B315" s="43" t="n"/>
      <c r="C315" s="43" t="n"/>
      <c r="D315" s="43" t="n"/>
      <c r="E315" s="43" t="n"/>
      <c r="F315" s="43" t="n"/>
      <c r="G315">
        <f>IF(A315="","",MONTH(A315))</f>
        <v/>
      </c>
      <c r="H315">
        <f>IF(A315="","",YEAR(A315))</f>
        <v/>
      </c>
      <c r="I315">
        <f>IF(A315="","",DAY(A315))</f>
        <v/>
      </c>
    </row>
    <row r="316">
      <c r="A316" s="18" t="n"/>
      <c r="B316" s="18" t="n"/>
      <c r="C316" s="18" t="n"/>
      <c r="D316" s="18" t="n"/>
      <c r="E316" s="18" t="n"/>
      <c r="F316" s="18" t="n"/>
      <c r="G316">
        <f>IF(A316="","",MONTH(A316))</f>
        <v/>
      </c>
      <c r="H316">
        <f>IF(A316="","",YEAR(A316))</f>
        <v/>
      </c>
      <c r="I316">
        <f>IF(A316="","",DAY(A316))</f>
        <v/>
      </c>
    </row>
    <row r="317">
      <c r="A317" s="43" t="n"/>
      <c r="B317" s="43" t="n"/>
      <c r="C317" s="43" t="n"/>
      <c r="D317" s="43" t="n"/>
      <c r="E317" s="43" t="n"/>
      <c r="F317" s="43" t="n"/>
      <c r="G317">
        <f>IF(A317="","",MONTH(A317))</f>
        <v/>
      </c>
      <c r="H317">
        <f>IF(A317="","",YEAR(A317))</f>
        <v/>
      </c>
      <c r="I317">
        <f>IF(A317="","",DAY(A317))</f>
        <v/>
      </c>
    </row>
    <row r="318">
      <c r="A318" s="18" t="n"/>
      <c r="B318" s="18" t="n"/>
      <c r="C318" s="18" t="n"/>
      <c r="D318" s="18" t="n"/>
      <c r="E318" s="18" t="n"/>
      <c r="F318" s="18" t="n"/>
      <c r="G318">
        <f>IF(A318="","",MONTH(A318))</f>
        <v/>
      </c>
      <c r="H318">
        <f>IF(A318="","",YEAR(A318))</f>
        <v/>
      </c>
      <c r="I318">
        <f>IF(A318="","",DAY(A318))</f>
        <v/>
      </c>
    </row>
    <row r="319">
      <c r="A319" s="43" t="n"/>
      <c r="B319" s="43" t="n"/>
      <c r="C319" s="43" t="n"/>
      <c r="D319" s="43" t="n"/>
      <c r="E319" s="43" t="n"/>
      <c r="F319" s="43" t="n"/>
      <c r="G319">
        <f>IF(A319="","",MONTH(A319))</f>
        <v/>
      </c>
      <c r="H319">
        <f>IF(A319="","",YEAR(A319))</f>
        <v/>
      </c>
      <c r="I319">
        <f>IF(A319="","",DAY(A319))</f>
        <v/>
      </c>
    </row>
    <row r="320">
      <c r="A320" s="18" t="n"/>
      <c r="B320" s="18" t="n"/>
      <c r="C320" s="18" t="n"/>
      <c r="D320" s="18" t="n"/>
      <c r="E320" s="18" t="n"/>
      <c r="F320" s="18" t="n"/>
      <c r="G320">
        <f>IF(A320="","",MONTH(A320))</f>
        <v/>
      </c>
      <c r="H320">
        <f>IF(A320="","",YEAR(A320))</f>
        <v/>
      </c>
      <c r="I320">
        <f>IF(A320="","",DAY(A320))</f>
        <v/>
      </c>
    </row>
    <row r="321">
      <c r="A321" s="43" t="n"/>
      <c r="B321" s="43" t="n"/>
      <c r="C321" s="43" t="n"/>
      <c r="D321" s="43" t="n"/>
      <c r="E321" s="43" t="n"/>
      <c r="F321" s="43" t="n"/>
      <c r="G321">
        <f>IF(A321="","",MONTH(A321))</f>
        <v/>
      </c>
      <c r="H321">
        <f>IF(A321="","",YEAR(A321))</f>
        <v/>
      </c>
      <c r="I321">
        <f>IF(A321="","",DAY(A321))</f>
        <v/>
      </c>
    </row>
    <row r="322">
      <c r="A322" s="18" t="n"/>
      <c r="B322" s="18" t="n"/>
      <c r="C322" s="18" t="n"/>
      <c r="D322" s="18" t="n"/>
      <c r="E322" s="18" t="n"/>
      <c r="F322" s="18" t="n"/>
      <c r="G322">
        <f>IF(A322="","",MONTH(A322))</f>
        <v/>
      </c>
      <c r="H322">
        <f>IF(A322="","",YEAR(A322))</f>
        <v/>
      </c>
      <c r="I322">
        <f>IF(A322="","",DAY(A322))</f>
        <v/>
      </c>
    </row>
    <row r="323">
      <c r="A323" s="43" t="n"/>
      <c r="B323" s="43" t="n"/>
      <c r="C323" s="43" t="n"/>
      <c r="D323" s="43" t="n"/>
      <c r="E323" s="43" t="n"/>
      <c r="F323" s="43" t="n"/>
      <c r="G323">
        <f>IF(A323="","",MONTH(A323))</f>
        <v/>
      </c>
      <c r="H323">
        <f>IF(A323="","",YEAR(A323))</f>
        <v/>
      </c>
      <c r="I323">
        <f>IF(A323="","",DAY(A323))</f>
        <v/>
      </c>
    </row>
    <row r="324">
      <c r="A324" s="18" t="n"/>
      <c r="B324" s="18" t="n"/>
      <c r="C324" s="18" t="n"/>
      <c r="D324" s="18" t="n"/>
      <c r="E324" s="18" t="n"/>
      <c r="F324" s="18" t="n"/>
      <c r="G324">
        <f>IF(A324="","",MONTH(A324))</f>
        <v/>
      </c>
      <c r="H324">
        <f>IF(A324="","",YEAR(A324))</f>
        <v/>
      </c>
      <c r="I324">
        <f>IF(A324="","",DAY(A324))</f>
        <v/>
      </c>
    </row>
    <row r="325">
      <c r="A325" s="43" t="n"/>
      <c r="B325" s="43" t="n"/>
      <c r="C325" s="43" t="n"/>
      <c r="D325" s="43" t="n"/>
      <c r="E325" s="43" t="n"/>
      <c r="F325" s="43" t="n"/>
      <c r="G325">
        <f>IF(A325="","",MONTH(A325))</f>
        <v/>
      </c>
      <c r="H325">
        <f>IF(A325="","",YEAR(A325))</f>
        <v/>
      </c>
      <c r="I325">
        <f>IF(A325="","",DAY(A325))</f>
        <v/>
      </c>
    </row>
    <row r="326">
      <c r="A326" s="18" t="n"/>
      <c r="B326" s="18" t="n"/>
      <c r="C326" s="18" t="n"/>
      <c r="D326" s="18" t="n"/>
      <c r="E326" s="18" t="n"/>
      <c r="F326" s="18" t="n"/>
      <c r="G326">
        <f>IF(A326="","",MONTH(A326))</f>
        <v/>
      </c>
      <c r="H326">
        <f>IF(A326="","",YEAR(A326))</f>
        <v/>
      </c>
      <c r="I326">
        <f>IF(A326="","",DAY(A326))</f>
        <v/>
      </c>
    </row>
    <row r="327">
      <c r="A327" s="43" t="n"/>
      <c r="B327" s="43" t="n"/>
      <c r="C327" s="43" t="n"/>
      <c r="D327" s="43" t="n"/>
      <c r="E327" s="43" t="n"/>
      <c r="F327" s="43" t="n"/>
      <c r="G327">
        <f>IF(A327="","",MONTH(A327))</f>
        <v/>
      </c>
      <c r="H327">
        <f>IF(A327="","",YEAR(A327))</f>
        <v/>
      </c>
      <c r="I327">
        <f>IF(A327="","",DAY(A327))</f>
        <v/>
      </c>
    </row>
    <row r="328">
      <c r="A328" s="18" t="n"/>
      <c r="B328" s="18" t="n"/>
      <c r="C328" s="18" t="n"/>
      <c r="D328" s="18" t="n"/>
      <c r="E328" s="18" t="n"/>
      <c r="F328" s="18" t="n"/>
      <c r="G328">
        <f>IF(A328="","",MONTH(A328))</f>
        <v/>
      </c>
      <c r="H328">
        <f>IF(A328="","",YEAR(A328))</f>
        <v/>
      </c>
      <c r="I328">
        <f>IF(A328="","",DAY(A328))</f>
        <v/>
      </c>
    </row>
    <row r="329">
      <c r="A329" s="43" t="n"/>
      <c r="B329" s="43" t="n"/>
      <c r="C329" s="43" t="n"/>
      <c r="D329" s="43" t="n"/>
      <c r="E329" s="43" t="n"/>
      <c r="F329" s="43" t="n"/>
      <c r="G329">
        <f>IF(A329="","",MONTH(A329))</f>
        <v/>
      </c>
      <c r="H329">
        <f>IF(A329="","",YEAR(A329))</f>
        <v/>
      </c>
      <c r="I329">
        <f>IF(A329="","",DAY(A329))</f>
        <v/>
      </c>
    </row>
    <row r="330">
      <c r="A330" s="18" t="n"/>
      <c r="B330" s="18" t="n"/>
      <c r="C330" s="18" t="n"/>
      <c r="D330" s="18" t="n"/>
      <c r="E330" s="18" t="n"/>
      <c r="F330" s="18" t="n"/>
      <c r="G330">
        <f>IF(A330="","",MONTH(A330))</f>
        <v/>
      </c>
      <c r="H330">
        <f>IF(A330="","",YEAR(A330))</f>
        <v/>
      </c>
      <c r="I330">
        <f>IF(A330="","",DAY(A330))</f>
        <v/>
      </c>
    </row>
    <row r="331">
      <c r="A331" s="43" t="n"/>
      <c r="B331" s="43" t="n"/>
      <c r="C331" s="43" t="n"/>
      <c r="D331" s="43" t="n"/>
      <c r="E331" s="43" t="n"/>
      <c r="F331" s="43" t="n"/>
      <c r="G331">
        <f>IF(A331="","",MONTH(A331))</f>
        <v/>
      </c>
      <c r="H331">
        <f>IF(A331="","",YEAR(A331))</f>
        <v/>
      </c>
      <c r="I331">
        <f>IF(A331="","",DAY(A331))</f>
        <v/>
      </c>
    </row>
    <row r="332">
      <c r="A332" s="18" t="n"/>
      <c r="B332" s="18" t="n"/>
      <c r="C332" s="18" t="n"/>
      <c r="D332" s="18" t="n"/>
      <c r="E332" s="18" t="n"/>
      <c r="F332" s="18" t="n"/>
      <c r="G332">
        <f>IF(A332="","",MONTH(A332))</f>
        <v/>
      </c>
      <c r="H332">
        <f>IF(A332="","",YEAR(A332))</f>
        <v/>
      </c>
      <c r="I332">
        <f>IF(A332="","",DAY(A332))</f>
        <v/>
      </c>
    </row>
    <row r="333">
      <c r="A333" s="43" t="n"/>
      <c r="B333" s="43" t="n"/>
      <c r="C333" s="43" t="n"/>
      <c r="D333" s="43" t="n"/>
      <c r="E333" s="43" t="n"/>
      <c r="F333" s="43" t="n"/>
      <c r="G333">
        <f>IF(A333="","",MONTH(A333))</f>
        <v/>
      </c>
      <c r="H333">
        <f>IF(A333="","",YEAR(A333))</f>
        <v/>
      </c>
      <c r="I333">
        <f>IF(A333="","",DAY(A333))</f>
        <v/>
      </c>
    </row>
    <row r="334">
      <c r="A334" s="18" t="n"/>
      <c r="B334" s="18" t="n"/>
      <c r="C334" s="18" t="n"/>
      <c r="D334" s="18" t="n"/>
      <c r="E334" s="18" t="n"/>
      <c r="F334" s="18" t="n"/>
      <c r="G334">
        <f>IF(A334="","",MONTH(A334))</f>
        <v/>
      </c>
      <c r="H334">
        <f>IF(A334="","",YEAR(A334))</f>
        <v/>
      </c>
      <c r="I334">
        <f>IF(A334="","",DAY(A334))</f>
        <v/>
      </c>
    </row>
    <row r="335">
      <c r="A335" s="43" t="n"/>
      <c r="B335" s="43" t="n"/>
      <c r="C335" s="43" t="n"/>
      <c r="D335" s="43" t="n"/>
      <c r="E335" s="43" t="n"/>
      <c r="F335" s="43" t="n"/>
      <c r="G335">
        <f>IF(A335="","",MONTH(A335))</f>
        <v/>
      </c>
      <c r="H335">
        <f>IF(A335="","",YEAR(A335))</f>
        <v/>
      </c>
      <c r="I335">
        <f>IF(A335="","",DAY(A335))</f>
        <v/>
      </c>
    </row>
    <row r="336">
      <c r="A336" s="18" t="n"/>
      <c r="B336" s="18" t="n"/>
      <c r="C336" s="18" t="n"/>
      <c r="D336" s="18" t="n"/>
      <c r="E336" s="18" t="n"/>
      <c r="F336" s="18" t="n"/>
      <c r="G336">
        <f>IF(A336="","",MONTH(A336))</f>
        <v/>
      </c>
      <c r="H336">
        <f>IF(A336="","",YEAR(A336))</f>
        <v/>
      </c>
      <c r="I336">
        <f>IF(A336="","",DAY(A336))</f>
        <v/>
      </c>
    </row>
    <row r="337">
      <c r="A337" s="43" t="n"/>
      <c r="B337" s="43" t="n"/>
      <c r="C337" s="43" t="n"/>
      <c r="D337" s="43" t="n"/>
      <c r="E337" s="43" t="n"/>
      <c r="F337" s="43" t="n"/>
      <c r="G337">
        <f>IF(A337="","",MONTH(A337))</f>
        <v/>
      </c>
      <c r="H337">
        <f>IF(A337="","",YEAR(A337))</f>
        <v/>
      </c>
      <c r="I337">
        <f>IF(A337="","",DAY(A337))</f>
        <v/>
      </c>
    </row>
    <row r="338">
      <c r="A338" s="18" t="n"/>
      <c r="B338" s="18" t="n"/>
      <c r="C338" s="18" t="n"/>
      <c r="D338" s="18" t="n"/>
      <c r="E338" s="18" t="n"/>
      <c r="F338" s="18" t="n"/>
      <c r="G338">
        <f>IF(A338="","",MONTH(A338))</f>
        <v/>
      </c>
      <c r="H338">
        <f>IF(A338="","",YEAR(A338))</f>
        <v/>
      </c>
      <c r="I338">
        <f>IF(A338="","",DAY(A338))</f>
        <v/>
      </c>
    </row>
    <row r="339">
      <c r="A339" s="43" t="n"/>
      <c r="B339" s="43" t="n"/>
      <c r="C339" s="43" t="n"/>
      <c r="D339" s="43" t="n"/>
      <c r="E339" s="43" t="n"/>
      <c r="F339" s="43" t="n"/>
      <c r="G339">
        <f>IF(A339="","",MONTH(A339))</f>
        <v/>
      </c>
      <c r="H339">
        <f>IF(A339="","",YEAR(A339))</f>
        <v/>
      </c>
      <c r="I339">
        <f>IF(A339="","",DAY(A339))</f>
        <v/>
      </c>
    </row>
    <row r="340">
      <c r="A340" s="18" t="n"/>
      <c r="B340" s="18" t="n"/>
      <c r="C340" s="18" t="n"/>
      <c r="D340" s="18" t="n"/>
      <c r="E340" s="18" t="n"/>
      <c r="F340" s="18" t="n"/>
      <c r="G340">
        <f>IF(A340="","",MONTH(A340))</f>
        <v/>
      </c>
      <c r="H340">
        <f>IF(A340="","",YEAR(A340))</f>
        <v/>
      </c>
      <c r="I340">
        <f>IF(A340="","",DAY(A340))</f>
        <v/>
      </c>
    </row>
    <row r="341">
      <c r="A341" s="43" t="n"/>
      <c r="B341" s="43" t="n"/>
      <c r="C341" s="43" t="n"/>
      <c r="D341" s="43" t="n"/>
      <c r="E341" s="43" t="n"/>
      <c r="F341" s="43" t="n"/>
      <c r="G341">
        <f>IF(A341="","",MONTH(A341))</f>
        <v/>
      </c>
      <c r="H341">
        <f>IF(A341="","",YEAR(A341))</f>
        <v/>
      </c>
      <c r="I341">
        <f>IF(A341="","",DAY(A341))</f>
        <v/>
      </c>
    </row>
    <row r="342">
      <c r="A342" s="18" t="n"/>
      <c r="B342" s="18" t="n"/>
      <c r="C342" s="18" t="n"/>
      <c r="D342" s="18" t="n"/>
      <c r="E342" s="18" t="n"/>
      <c r="F342" s="18" t="n"/>
      <c r="G342">
        <f>IF(A342="","",MONTH(A342))</f>
        <v/>
      </c>
      <c r="H342">
        <f>IF(A342="","",YEAR(A342))</f>
        <v/>
      </c>
      <c r="I342">
        <f>IF(A342="","",DAY(A342))</f>
        <v/>
      </c>
    </row>
    <row r="343">
      <c r="A343" s="43" t="n"/>
      <c r="B343" s="43" t="n"/>
      <c r="C343" s="43" t="n"/>
      <c r="D343" s="43" t="n"/>
      <c r="E343" s="43" t="n"/>
      <c r="F343" s="43" t="n"/>
      <c r="G343">
        <f>IF(A343="","",MONTH(A343))</f>
        <v/>
      </c>
      <c r="H343">
        <f>IF(A343="","",YEAR(A343))</f>
        <v/>
      </c>
      <c r="I343">
        <f>IF(A343="","",DAY(A343))</f>
        <v/>
      </c>
    </row>
    <row r="344">
      <c r="A344" s="18" t="n"/>
      <c r="B344" s="18" t="n"/>
      <c r="C344" s="18" t="n"/>
      <c r="D344" s="18" t="n"/>
      <c r="E344" s="18" t="n"/>
      <c r="F344" s="18" t="n"/>
      <c r="G344">
        <f>IF(A344="","",MONTH(A344))</f>
        <v/>
      </c>
      <c r="H344">
        <f>IF(A344="","",YEAR(A344))</f>
        <v/>
      </c>
      <c r="I344">
        <f>IF(A344="","",DAY(A344))</f>
        <v/>
      </c>
    </row>
    <row r="345">
      <c r="A345" s="43" t="n"/>
      <c r="B345" s="43" t="n"/>
      <c r="C345" s="43" t="n"/>
      <c r="D345" s="43" t="n"/>
      <c r="E345" s="43" t="n"/>
      <c r="F345" s="43" t="n"/>
      <c r="G345">
        <f>IF(A345="","",MONTH(A345))</f>
        <v/>
      </c>
      <c r="H345">
        <f>IF(A345="","",YEAR(A345))</f>
        <v/>
      </c>
      <c r="I345">
        <f>IF(A345="","",DAY(A345))</f>
        <v/>
      </c>
    </row>
    <row r="346">
      <c r="A346" s="18" t="n"/>
      <c r="B346" s="18" t="n"/>
      <c r="C346" s="18" t="n"/>
      <c r="D346" s="18" t="n"/>
      <c r="E346" s="18" t="n"/>
      <c r="F346" s="18" t="n"/>
      <c r="G346">
        <f>IF(A346="","",MONTH(A346))</f>
        <v/>
      </c>
      <c r="H346">
        <f>IF(A346="","",YEAR(A346))</f>
        <v/>
      </c>
      <c r="I346">
        <f>IF(A346="","",DAY(A346))</f>
        <v/>
      </c>
    </row>
    <row r="347">
      <c r="A347" s="43" t="n"/>
      <c r="B347" s="43" t="n"/>
      <c r="C347" s="43" t="n"/>
      <c r="D347" s="43" t="n"/>
      <c r="E347" s="43" t="n"/>
      <c r="F347" s="43" t="n"/>
      <c r="G347">
        <f>IF(A347="","",MONTH(A347))</f>
        <v/>
      </c>
      <c r="H347">
        <f>IF(A347="","",YEAR(A347))</f>
        <v/>
      </c>
      <c r="I347">
        <f>IF(A347="","",DAY(A347))</f>
        <v/>
      </c>
    </row>
    <row r="348">
      <c r="A348" s="18" t="n"/>
      <c r="B348" s="18" t="n"/>
      <c r="C348" s="18" t="n"/>
      <c r="D348" s="18" t="n"/>
      <c r="E348" s="18" t="n"/>
      <c r="F348" s="18" t="n"/>
      <c r="G348">
        <f>IF(A348="","",MONTH(A348))</f>
        <v/>
      </c>
      <c r="H348">
        <f>IF(A348="","",YEAR(A348))</f>
        <v/>
      </c>
      <c r="I348">
        <f>IF(A348="","",DAY(A348))</f>
        <v/>
      </c>
    </row>
    <row r="349">
      <c r="A349" s="43" t="n"/>
      <c r="B349" s="43" t="n"/>
      <c r="C349" s="43" t="n"/>
      <c r="D349" s="43" t="n"/>
      <c r="E349" s="43" t="n"/>
      <c r="F349" s="43" t="n"/>
      <c r="G349">
        <f>IF(A349="","",MONTH(A349))</f>
        <v/>
      </c>
      <c r="H349">
        <f>IF(A349="","",YEAR(A349))</f>
        <v/>
      </c>
      <c r="I349">
        <f>IF(A349="","",DAY(A349))</f>
        <v/>
      </c>
    </row>
    <row r="350">
      <c r="A350" s="18" t="n"/>
      <c r="B350" s="18" t="n"/>
      <c r="C350" s="18" t="n"/>
      <c r="D350" s="18" t="n"/>
      <c r="E350" s="18" t="n"/>
      <c r="F350" s="18" t="n"/>
      <c r="G350">
        <f>IF(A350="","",MONTH(A350))</f>
        <v/>
      </c>
      <c r="H350">
        <f>IF(A350="","",YEAR(A350))</f>
        <v/>
      </c>
      <c r="I350">
        <f>IF(A350="","",DAY(A350))</f>
        <v/>
      </c>
    </row>
    <row r="351">
      <c r="A351" s="43" t="n"/>
      <c r="B351" s="43" t="n"/>
      <c r="C351" s="43" t="n"/>
      <c r="D351" s="43" t="n"/>
      <c r="E351" s="43" t="n"/>
      <c r="F351" s="43" t="n"/>
      <c r="G351">
        <f>IF(A351="","",MONTH(A351))</f>
        <v/>
      </c>
      <c r="H351">
        <f>IF(A351="","",YEAR(A351))</f>
        <v/>
      </c>
      <c r="I351">
        <f>IF(A351="","",DAY(A351))</f>
        <v/>
      </c>
    </row>
    <row r="352">
      <c r="A352" s="18" t="n"/>
      <c r="B352" s="18" t="n"/>
      <c r="C352" s="18" t="n"/>
      <c r="D352" s="18" t="n"/>
      <c r="E352" s="18" t="n"/>
      <c r="F352" s="18" t="n"/>
      <c r="G352">
        <f>IF(A352="","",MONTH(A352))</f>
        <v/>
      </c>
      <c r="H352">
        <f>IF(A352="","",YEAR(A352))</f>
        <v/>
      </c>
      <c r="I352">
        <f>IF(A352="","",DAY(A352))</f>
        <v/>
      </c>
    </row>
    <row r="353">
      <c r="A353" s="43" t="n"/>
      <c r="B353" s="43" t="n"/>
      <c r="C353" s="43" t="n"/>
      <c r="D353" s="43" t="n"/>
      <c r="E353" s="43" t="n"/>
      <c r="F353" s="43" t="n"/>
      <c r="G353">
        <f>IF(A353="","",MONTH(A353))</f>
        <v/>
      </c>
      <c r="H353">
        <f>IF(A353="","",YEAR(A353))</f>
        <v/>
      </c>
      <c r="I353">
        <f>IF(A353="","",DAY(A353))</f>
        <v/>
      </c>
    </row>
    <row r="354">
      <c r="A354" s="18" t="n"/>
      <c r="B354" s="18" t="n"/>
      <c r="C354" s="18" t="n"/>
      <c r="D354" s="18" t="n"/>
      <c r="E354" s="18" t="n"/>
      <c r="F354" s="18" t="n"/>
      <c r="G354">
        <f>IF(A354="","",MONTH(A354))</f>
        <v/>
      </c>
      <c r="H354">
        <f>IF(A354="","",YEAR(A354))</f>
        <v/>
      </c>
      <c r="I354">
        <f>IF(A354="","",DAY(A354))</f>
        <v/>
      </c>
    </row>
    <row r="355">
      <c r="A355" s="43" t="n"/>
      <c r="B355" s="43" t="n"/>
      <c r="C355" s="43" t="n"/>
      <c r="D355" s="43" t="n"/>
      <c r="E355" s="43" t="n"/>
      <c r="F355" s="43" t="n"/>
      <c r="G355">
        <f>IF(A355="","",MONTH(A355))</f>
        <v/>
      </c>
      <c r="H355">
        <f>IF(A355="","",YEAR(A355))</f>
        <v/>
      </c>
      <c r="I355">
        <f>IF(A355="","",DAY(A355))</f>
        <v/>
      </c>
    </row>
    <row r="356">
      <c r="A356" s="18" t="n"/>
      <c r="B356" s="18" t="n"/>
      <c r="C356" s="18" t="n"/>
      <c r="D356" s="18" t="n"/>
      <c r="E356" s="18" t="n"/>
      <c r="F356" s="18" t="n"/>
      <c r="G356">
        <f>IF(A356="","",MONTH(A356))</f>
        <v/>
      </c>
      <c r="H356">
        <f>IF(A356="","",YEAR(A356))</f>
        <v/>
      </c>
      <c r="I356">
        <f>IF(A356="","",DAY(A356))</f>
        <v/>
      </c>
    </row>
    <row r="357">
      <c r="A357" s="43" t="n"/>
      <c r="B357" s="43" t="n"/>
      <c r="C357" s="43" t="n"/>
      <c r="D357" s="43" t="n"/>
      <c r="E357" s="43" t="n"/>
      <c r="F357" s="43" t="n"/>
      <c r="G357">
        <f>IF(A357="","",MONTH(A357))</f>
        <v/>
      </c>
      <c r="H357">
        <f>IF(A357="","",YEAR(A357))</f>
        <v/>
      </c>
      <c r="I357">
        <f>IF(A357="","",DAY(A357))</f>
        <v/>
      </c>
    </row>
    <row r="358">
      <c r="A358" s="18" t="n"/>
      <c r="B358" s="18" t="n"/>
      <c r="C358" s="18" t="n"/>
      <c r="D358" s="18" t="n"/>
      <c r="E358" s="18" t="n"/>
      <c r="F358" s="18" t="n"/>
      <c r="G358">
        <f>IF(A358="","",MONTH(A358))</f>
        <v/>
      </c>
      <c r="H358">
        <f>IF(A358="","",YEAR(A358))</f>
        <v/>
      </c>
      <c r="I358">
        <f>IF(A358="","",DAY(A358))</f>
        <v/>
      </c>
    </row>
    <row r="359">
      <c r="A359" s="43" t="n"/>
      <c r="B359" s="43" t="n"/>
      <c r="C359" s="43" t="n"/>
      <c r="D359" s="43" t="n"/>
      <c r="E359" s="43" t="n"/>
      <c r="F359" s="43" t="n"/>
      <c r="G359">
        <f>IF(A359="","",MONTH(A359))</f>
        <v/>
      </c>
      <c r="H359">
        <f>IF(A359="","",YEAR(A359))</f>
        <v/>
      </c>
      <c r="I359">
        <f>IF(A359="","",DAY(A359))</f>
        <v/>
      </c>
    </row>
    <row r="360">
      <c r="A360" s="18" t="n"/>
      <c r="B360" s="18" t="n"/>
      <c r="C360" s="18" t="n"/>
      <c r="D360" s="18" t="n"/>
      <c r="E360" s="18" t="n"/>
      <c r="F360" s="18" t="n"/>
      <c r="G360">
        <f>IF(A360="","",MONTH(A360))</f>
        <v/>
      </c>
      <c r="H360">
        <f>IF(A360="","",YEAR(A360))</f>
        <v/>
      </c>
      <c r="I360">
        <f>IF(A360="","",DAY(A360))</f>
        <v/>
      </c>
    </row>
    <row r="361">
      <c r="A361" s="43" t="n"/>
      <c r="B361" s="43" t="n"/>
      <c r="C361" s="43" t="n"/>
      <c r="D361" s="43" t="n"/>
      <c r="E361" s="43" t="n"/>
      <c r="F361" s="43" t="n"/>
      <c r="G361">
        <f>IF(A361="","",MONTH(A361))</f>
        <v/>
      </c>
      <c r="H361">
        <f>IF(A361="","",YEAR(A361))</f>
        <v/>
      </c>
      <c r="I361">
        <f>IF(A361="","",DAY(A361))</f>
        <v/>
      </c>
    </row>
    <row r="362">
      <c r="A362" s="18" t="n"/>
      <c r="B362" s="18" t="n"/>
      <c r="C362" s="18" t="n"/>
      <c r="D362" s="18" t="n"/>
      <c r="E362" s="18" t="n"/>
      <c r="F362" s="18" t="n"/>
      <c r="G362">
        <f>IF(A362="","",MONTH(A362))</f>
        <v/>
      </c>
      <c r="H362">
        <f>IF(A362="","",YEAR(A362))</f>
        <v/>
      </c>
      <c r="I362">
        <f>IF(A362="","",DAY(A362))</f>
        <v/>
      </c>
    </row>
    <row r="363">
      <c r="A363" s="43" t="n"/>
      <c r="B363" s="43" t="n"/>
      <c r="C363" s="43" t="n"/>
      <c r="D363" s="43" t="n"/>
      <c r="E363" s="43" t="n"/>
      <c r="F363" s="43" t="n"/>
      <c r="G363">
        <f>IF(A363="","",MONTH(A363))</f>
        <v/>
      </c>
      <c r="H363">
        <f>IF(A363="","",YEAR(A363))</f>
        <v/>
      </c>
      <c r="I363">
        <f>IF(A363="","",DAY(A363))</f>
        <v/>
      </c>
    </row>
    <row r="364">
      <c r="A364" s="18" t="n"/>
      <c r="B364" s="18" t="n"/>
      <c r="C364" s="18" t="n"/>
      <c r="D364" s="18" t="n"/>
      <c r="E364" s="18" t="n"/>
      <c r="F364" s="18" t="n"/>
      <c r="G364">
        <f>IF(A364="","",MONTH(A364))</f>
        <v/>
      </c>
      <c r="H364">
        <f>IF(A364="","",YEAR(A364))</f>
        <v/>
      </c>
      <c r="I364">
        <f>IF(A364="","",DAY(A364))</f>
        <v/>
      </c>
    </row>
    <row r="365">
      <c r="A365" s="43" t="n"/>
      <c r="B365" s="43" t="n"/>
      <c r="C365" s="43" t="n"/>
      <c r="D365" s="43" t="n"/>
      <c r="E365" s="43" t="n"/>
      <c r="F365" s="43" t="n"/>
      <c r="G365">
        <f>IF(A365="","",MONTH(A365))</f>
        <v/>
      </c>
      <c r="H365">
        <f>IF(A365="","",YEAR(A365))</f>
        <v/>
      </c>
      <c r="I365">
        <f>IF(A365="","",DAY(A365))</f>
        <v/>
      </c>
    </row>
    <row r="366">
      <c r="A366" s="18" t="n"/>
      <c r="B366" s="18" t="n"/>
      <c r="C366" s="18" t="n"/>
      <c r="D366" s="18" t="n"/>
      <c r="E366" s="18" t="n"/>
      <c r="F366" s="18" t="n"/>
      <c r="G366">
        <f>IF(A366="","",MONTH(A366))</f>
        <v/>
      </c>
      <c r="H366">
        <f>IF(A366="","",YEAR(A366))</f>
        <v/>
      </c>
      <c r="I366">
        <f>IF(A366="","",DAY(A366))</f>
        <v/>
      </c>
    </row>
    <row r="367">
      <c r="A367" s="43" t="n"/>
      <c r="B367" s="43" t="n"/>
      <c r="C367" s="43" t="n"/>
      <c r="D367" s="43" t="n"/>
      <c r="E367" s="43" t="n"/>
      <c r="F367" s="43" t="n"/>
      <c r="G367">
        <f>IF(A367="","",MONTH(A367))</f>
        <v/>
      </c>
      <c r="H367">
        <f>IF(A367="","",YEAR(A367))</f>
        <v/>
      </c>
      <c r="I367">
        <f>IF(A367="","",DAY(A367))</f>
        <v/>
      </c>
    </row>
    <row r="368">
      <c r="A368" s="18" t="n"/>
      <c r="B368" s="18" t="n"/>
      <c r="C368" s="18" t="n"/>
      <c r="D368" s="18" t="n"/>
      <c r="E368" s="18" t="n"/>
      <c r="F368" s="18" t="n"/>
      <c r="G368">
        <f>IF(A368="","",MONTH(A368))</f>
        <v/>
      </c>
      <c r="H368">
        <f>IF(A368="","",YEAR(A368))</f>
        <v/>
      </c>
      <c r="I368">
        <f>IF(A368="","",DAY(A368))</f>
        <v/>
      </c>
    </row>
    <row r="369">
      <c r="A369" s="43" t="n"/>
      <c r="B369" s="43" t="n"/>
      <c r="C369" s="43" t="n"/>
      <c r="D369" s="43" t="n"/>
      <c r="E369" s="43" t="n"/>
      <c r="F369" s="43" t="n"/>
      <c r="G369">
        <f>IF(A369="","",MONTH(A369))</f>
        <v/>
      </c>
      <c r="H369">
        <f>IF(A369="","",YEAR(A369))</f>
        <v/>
      </c>
      <c r="I369">
        <f>IF(A369="","",DAY(A369))</f>
        <v/>
      </c>
    </row>
    <row r="370">
      <c r="A370" s="18" t="n"/>
      <c r="B370" s="18" t="n"/>
      <c r="C370" s="18" t="n"/>
      <c r="D370" s="18" t="n"/>
      <c r="E370" s="18" t="n"/>
      <c r="F370" s="18" t="n"/>
      <c r="G370">
        <f>IF(A370="","",MONTH(A370))</f>
        <v/>
      </c>
      <c r="H370">
        <f>IF(A370="","",YEAR(A370))</f>
        <v/>
      </c>
      <c r="I370">
        <f>IF(A370="","",DAY(A370))</f>
        <v/>
      </c>
    </row>
    <row r="371">
      <c r="A371" s="43" t="n"/>
      <c r="B371" s="43" t="n"/>
      <c r="C371" s="43" t="n"/>
      <c r="D371" s="43" t="n"/>
      <c r="E371" s="43" t="n"/>
      <c r="F371" s="43" t="n"/>
      <c r="G371">
        <f>IF(A371="","",MONTH(A371))</f>
        <v/>
      </c>
      <c r="H371">
        <f>IF(A371="","",YEAR(A371))</f>
        <v/>
      </c>
      <c r="I371">
        <f>IF(A371="","",DAY(A371))</f>
        <v/>
      </c>
    </row>
    <row r="372">
      <c r="A372" s="18" t="n"/>
      <c r="B372" s="18" t="n"/>
      <c r="C372" s="18" t="n"/>
      <c r="D372" s="18" t="n"/>
      <c r="E372" s="18" t="n"/>
      <c r="F372" s="18" t="n"/>
      <c r="G372">
        <f>IF(A372="","",MONTH(A372))</f>
        <v/>
      </c>
      <c r="H372">
        <f>IF(A372="","",YEAR(A372))</f>
        <v/>
      </c>
      <c r="I372">
        <f>IF(A372="","",DAY(A372))</f>
        <v/>
      </c>
    </row>
    <row r="373">
      <c r="A373" s="43" t="n"/>
      <c r="B373" s="43" t="n"/>
      <c r="C373" s="43" t="n"/>
      <c r="D373" s="43" t="n"/>
      <c r="E373" s="43" t="n"/>
      <c r="F373" s="43" t="n"/>
      <c r="G373">
        <f>IF(A373="","",MONTH(A373))</f>
        <v/>
      </c>
      <c r="H373">
        <f>IF(A373="","",YEAR(A373))</f>
        <v/>
      </c>
      <c r="I373">
        <f>IF(A373="","",DAY(A373))</f>
        <v/>
      </c>
    </row>
    <row r="374">
      <c r="A374" s="18" t="n"/>
      <c r="B374" s="18" t="n"/>
      <c r="C374" s="18" t="n"/>
      <c r="D374" s="18" t="n"/>
      <c r="E374" s="18" t="n"/>
      <c r="F374" s="18" t="n"/>
      <c r="G374">
        <f>IF(A374="","",MONTH(A374))</f>
        <v/>
      </c>
      <c r="H374">
        <f>IF(A374="","",YEAR(A374))</f>
        <v/>
      </c>
      <c r="I374">
        <f>IF(A374="","",DAY(A374))</f>
        <v/>
      </c>
    </row>
    <row r="375">
      <c r="A375" s="43" t="n"/>
      <c r="B375" s="43" t="n"/>
      <c r="C375" s="43" t="n"/>
      <c r="D375" s="43" t="n"/>
      <c r="E375" s="43" t="n"/>
      <c r="F375" s="43" t="n"/>
      <c r="G375">
        <f>IF(A375="","",MONTH(A375))</f>
        <v/>
      </c>
      <c r="H375">
        <f>IF(A375="","",YEAR(A375))</f>
        <v/>
      </c>
      <c r="I375">
        <f>IF(A375="","",DAY(A375))</f>
        <v/>
      </c>
    </row>
    <row r="376">
      <c r="A376" s="18" t="n"/>
      <c r="B376" s="18" t="n"/>
      <c r="C376" s="18" t="n"/>
      <c r="D376" s="18" t="n"/>
      <c r="E376" s="18" t="n"/>
      <c r="F376" s="18" t="n"/>
      <c r="G376">
        <f>IF(A376="","",MONTH(A376))</f>
        <v/>
      </c>
      <c r="H376">
        <f>IF(A376="","",YEAR(A376))</f>
        <v/>
      </c>
      <c r="I376">
        <f>IF(A376="","",DAY(A376))</f>
        <v/>
      </c>
    </row>
    <row r="377">
      <c r="A377" s="43" t="n"/>
      <c r="B377" s="43" t="n"/>
      <c r="C377" s="43" t="n"/>
      <c r="D377" s="43" t="n"/>
      <c r="E377" s="43" t="n"/>
      <c r="F377" s="43" t="n"/>
      <c r="G377">
        <f>IF(A377="","",MONTH(A377))</f>
        <v/>
      </c>
      <c r="H377">
        <f>IF(A377="","",YEAR(A377))</f>
        <v/>
      </c>
      <c r="I377">
        <f>IF(A377="","",DAY(A377))</f>
        <v/>
      </c>
    </row>
    <row r="378">
      <c r="A378" s="18" t="n"/>
      <c r="B378" s="18" t="n"/>
      <c r="C378" s="18" t="n"/>
      <c r="D378" s="18" t="n"/>
      <c r="E378" s="18" t="n"/>
      <c r="F378" s="18" t="n"/>
      <c r="G378">
        <f>IF(A378="","",MONTH(A378))</f>
        <v/>
      </c>
      <c r="H378">
        <f>IF(A378="","",YEAR(A378))</f>
        <v/>
      </c>
      <c r="I378">
        <f>IF(A378="","",DAY(A378))</f>
        <v/>
      </c>
    </row>
    <row r="379">
      <c r="A379" s="43" t="n"/>
      <c r="B379" s="43" t="n"/>
      <c r="C379" s="43" t="n"/>
      <c r="D379" s="43" t="n"/>
      <c r="E379" s="43" t="n"/>
      <c r="F379" s="43" t="n"/>
      <c r="G379">
        <f>IF(A379="","",MONTH(A379))</f>
        <v/>
      </c>
      <c r="H379">
        <f>IF(A379="","",YEAR(A379))</f>
        <v/>
      </c>
      <c r="I379">
        <f>IF(A379="","",DAY(A379))</f>
        <v/>
      </c>
    </row>
    <row r="380">
      <c r="A380" s="18" t="n"/>
      <c r="B380" s="18" t="n"/>
      <c r="C380" s="18" t="n"/>
      <c r="D380" s="18" t="n"/>
      <c r="E380" s="18" t="n"/>
      <c r="F380" s="18" t="n"/>
      <c r="G380">
        <f>IF(A380="","",MONTH(A380))</f>
        <v/>
      </c>
      <c r="H380">
        <f>IF(A380="","",YEAR(A380))</f>
        <v/>
      </c>
      <c r="I380">
        <f>IF(A380="","",DAY(A380))</f>
        <v/>
      </c>
    </row>
    <row r="381">
      <c r="A381" s="43" t="n"/>
      <c r="B381" s="43" t="n"/>
      <c r="C381" s="43" t="n"/>
      <c r="D381" s="43" t="n"/>
      <c r="E381" s="43" t="n"/>
      <c r="F381" s="43" t="n"/>
      <c r="G381">
        <f>IF(A381="","",MONTH(A381))</f>
        <v/>
      </c>
      <c r="H381">
        <f>IF(A381="","",YEAR(A381))</f>
        <v/>
      </c>
      <c r="I381">
        <f>IF(A381="","",DAY(A381))</f>
        <v/>
      </c>
    </row>
    <row r="382">
      <c r="A382" s="18" t="n"/>
      <c r="B382" s="18" t="n"/>
      <c r="C382" s="18" t="n"/>
      <c r="D382" s="18" t="n"/>
      <c r="E382" s="18" t="n"/>
      <c r="F382" s="18" t="n"/>
      <c r="G382">
        <f>IF(A382="","",MONTH(A382))</f>
        <v/>
      </c>
      <c r="H382">
        <f>IF(A382="","",YEAR(A382))</f>
        <v/>
      </c>
      <c r="I382">
        <f>IF(A382="","",DAY(A382))</f>
        <v/>
      </c>
    </row>
    <row r="383">
      <c r="A383" s="43" t="n"/>
      <c r="B383" s="43" t="n"/>
      <c r="C383" s="43" t="n"/>
      <c r="D383" s="43" t="n"/>
      <c r="E383" s="43" t="n"/>
      <c r="F383" s="43" t="n"/>
      <c r="G383">
        <f>IF(A383="","",MONTH(A383))</f>
        <v/>
      </c>
      <c r="H383">
        <f>IF(A383="","",YEAR(A383))</f>
        <v/>
      </c>
      <c r="I383">
        <f>IF(A383="","",DAY(A383))</f>
        <v/>
      </c>
    </row>
    <row r="384">
      <c r="A384" s="18" t="n"/>
      <c r="B384" s="18" t="n"/>
      <c r="C384" s="18" t="n"/>
      <c r="D384" s="18" t="n"/>
      <c r="E384" s="18" t="n"/>
      <c r="F384" s="18" t="n"/>
      <c r="G384">
        <f>IF(A384="","",MONTH(A384))</f>
        <v/>
      </c>
      <c r="H384">
        <f>IF(A384="","",YEAR(A384))</f>
        <v/>
      </c>
      <c r="I384">
        <f>IF(A384="","",DAY(A384))</f>
        <v/>
      </c>
    </row>
    <row r="385">
      <c r="A385" s="43" t="n"/>
      <c r="B385" s="43" t="n"/>
      <c r="C385" s="43" t="n"/>
      <c r="D385" s="43" t="n"/>
      <c r="E385" s="43" t="n"/>
      <c r="F385" s="43" t="n"/>
      <c r="G385">
        <f>IF(A385="","",MONTH(A385))</f>
        <v/>
      </c>
      <c r="H385">
        <f>IF(A385="","",YEAR(A385))</f>
        <v/>
      </c>
      <c r="I385">
        <f>IF(A385="","",DAY(A385))</f>
        <v/>
      </c>
    </row>
    <row r="386">
      <c r="A386" s="18" t="n"/>
      <c r="B386" s="18" t="n"/>
      <c r="C386" s="18" t="n"/>
      <c r="D386" s="18" t="n"/>
      <c r="E386" s="18" t="n"/>
      <c r="F386" s="18" t="n"/>
      <c r="G386">
        <f>IF(A386="","",MONTH(A386))</f>
        <v/>
      </c>
      <c r="H386">
        <f>IF(A386="","",YEAR(A386))</f>
        <v/>
      </c>
      <c r="I386">
        <f>IF(A386="","",DAY(A386))</f>
        <v/>
      </c>
    </row>
    <row r="387">
      <c r="A387" s="43" t="n"/>
      <c r="B387" s="43" t="n"/>
      <c r="C387" s="43" t="n"/>
      <c r="D387" s="43" t="n"/>
      <c r="E387" s="43" t="n"/>
      <c r="F387" s="43" t="n"/>
      <c r="G387">
        <f>IF(A387="","",MONTH(A387))</f>
        <v/>
      </c>
      <c r="H387">
        <f>IF(A387="","",YEAR(A387))</f>
        <v/>
      </c>
      <c r="I387">
        <f>IF(A387="","",DAY(A387))</f>
        <v/>
      </c>
    </row>
    <row r="388">
      <c r="A388" s="18" t="n"/>
      <c r="B388" s="18" t="n"/>
      <c r="C388" s="18" t="n"/>
      <c r="D388" s="18" t="n"/>
      <c r="E388" s="18" t="n"/>
      <c r="F388" s="18" t="n"/>
      <c r="G388">
        <f>IF(A388="","",MONTH(A388))</f>
        <v/>
      </c>
      <c r="H388">
        <f>IF(A388="","",YEAR(A388))</f>
        <v/>
      </c>
      <c r="I388">
        <f>IF(A388="","",DAY(A388))</f>
        <v/>
      </c>
    </row>
    <row r="389">
      <c r="A389" s="43" t="n"/>
      <c r="B389" s="43" t="n"/>
      <c r="C389" s="43" t="n"/>
      <c r="D389" s="43" t="n"/>
      <c r="E389" s="43" t="n"/>
      <c r="F389" s="43" t="n"/>
      <c r="G389">
        <f>IF(A389="","",MONTH(A389))</f>
        <v/>
      </c>
      <c r="H389">
        <f>IF(A389="","",YEAR(A389))</f>
        <v/>
      </c>
      <c r="I389">
        <f>IF(A389="","",DAY(A389))</f>
        <v/>
      </c>
    </row>
    <row r="390">
      <c r="A390" s="18" t="n"/>
      <c r="B390" s="18" t="n"/>
      <c r="C390" s="18" t="n"/>
      <c r="D390" s="18" t="n"/>
      <c r="E390" s="18" t="n"/>
      <c r="F390" s="18" t="n"/>
      <c r="G390">
        <f>IF(A390="","",MONTH(A390))</f>
        <v/>
      </c>
      <c r="H390">
        <f>IF(A390="","",YEAR(A390))</f>
        <v/>
      </c>
      <c r="I390">
        <f>IF(A390="","",DAY(A390))</f>
        <v/>
      </c>
    </row>
    <row r="391">
      <c r="A391" s="43" t="n"/>
      <c r="B391" s="43" t="n"/>
      <c r="C391" s="43" t="n"/>
      <c r="D391" s="43" t="n"/>
      <c r="E391" s="43" t="n"/>
      <c r="F391" s="43" t="n"/>
      <c r="G391">
        <f>IF(A391="","",MONTH(A391))</f>
        <v/>
      </c>
      <c r="H391">
        <f>IF(A391="","",YEAR(A391))</f>
        <v/>
      </c>
      <c r="I391">
        <f>IF(A391="","",DAY(A391))</f>
        <v/>
      </c>
    </row>
    <row r="392">
      <c r="A392" s="18" t="n"/>
      <c r="B392" s="18" t="n"/>
      <c r="C392" s="18" t="n"/>
      <c r="D392" s="18" t="n"/>
      <c r="E392" s="18" t="n"/>
      <c r="F392" s="18" t="n"/>
      <c r="G392">
        <f>IF(A392="","",MONTH(A392))</f>
        <v/>
      </c>
      <c r="H392">
        <f>IF(A392="","",YEAR(A392))</f>
        <v/>
      </c>
      <c r="I392">
        <f>IF(A392="","",DAY(A392))</f>
        <v/>
      </c>
    </row>
    <row r="393">
      <c r="A393" s="43" t="n"/>
      <c r="B393" s="43" t="n"/>
      <c r="C393" s="43" t="n"/>
      <c r="D393" s="43" t="n"/>
      <c r="E393" s="43" t="n"/>
      <c r="F393" s="43" t="n"/>
      <c r="G393">
        <f>IF(A393="","",MONTH(A393))</f>
        <v/>
      </c>
      <c r="H393">
        <f>IF(A393="","",YEAR(A393))</f>
        <v/>
      </c>
      <c r="I393">
        <f>IF(A393="","",DAY(A393))</f>
        <v/>
      </c>
    </row>
    <row r="394">
      <c r="A394" s="18" t="n"/>
      <c r="B394" s="18" t="n"/>
      <c r="C394" s="18" t="n"/>
      <c r="D394" s="18" t="n"/>
      <c r="E394" s="18" t="n"/>
      <c r="F394" s="18" t="n"/>
      <c r="G394">
        <f>IF(A394="","",MONTH(A394))</f>
        <v/>
      </c>
      <c r="H394">
        <f>IF(A394="","",YEAR(A394))</f>
        <v/>
      </c>
      <c r="I394">
        <f>IF(A394="","",DAY(A394))</f>
        <v/>
      </c>
    </row>
    <row r="395">
      <c r="A395" s="43" t="n"/>
      <c r="B395" s="43" t="n"/>
      <c r="C395" s="43" t="n"/>
      <c r="D395" s="43" t="n"/>
      <c r="E395" s="43" t="n"/>
      <c r="F395" s="43" t="n"/>
      <c r="G395">
        <f>IF(A395="","",MONTH(A395))</f>
        <v/>
      </c>
      <c r="H395">
        <f>IF(A395="","",YEAR(A395))</f>
        <v/>
      </c>
      <c r="I395">
        <f>IF(A395="","",DAY(A395))</f>
        <v/>
      </c>
    </row>
    <row r="396">
      <c r="A396" s="18" t="n"/>
      <c r="B396" s="18" t="n"/>
      <c r="C396" s="18" t="n"/>
      <c r="D396" s="18" t="n"/>
      <c r="E396" s="18" t="n"/>
      <c r="F396" s="18" t="n"/>
      <c r="G396">
        <f>IF(A396="","",MONTH(A396))</f>
        <v/>
      </c>
      <c r="H396">
        <f>IF(A396="","",YEAR(A396))</f>
        <v/>
      </c>
      <c r="I396">
        <f>IF(A396="","",DAY(A396))</f>
        <v/>
      </c>
    </row>
    <row r="397">
      <c r="A397" s="43" t="n"/>
      <c r="B397" s="43" t="n"/>
      <c r="C397" s="43" t="n"/>
      <c r="D397" s="43" t="n"/>
      <c r="E397" s="43" t="n"/>
      <c r="F397" s="43" t="n"/>
      <c r="G397">
        <f>IF(A397="","",MONTH(A397))</f>
        <v/>
      </c>
      <c r="H397">
        <f>IF(A397="","",YEAR(A397))</f>
        <v/>
      </c>
      <c r="I397">
        <f>IF(A397="","",DAY(A397))</f>
        <v/>
      </c>
    </row>
    <row r="398">
      <c r="A398" s="18" t="n"/>
      <c r="B398" s="18" t="n"/>
      <c r="C398" s="18" t="n"/>
      <c r="D398" s="18" t="n"/>
      <c r="E398" s="18" t="n"/>
      <c r="F398" s="18" t="n"/>
      <c r="G398">
        <f>IF(A398="","",MONTH(A398))</f>
        <v/>
      </c>
      <c r="H398">
        <f>IF(A398="","",YEAR(A398))</f>
        <v/>
      </c>
      <c r="I398">
        <f>IF(A398="","",DAY(A398))</f>
        <v/>
      </c>
    </row>
    <row r="399">
      <c r="A399" s="43" t="n"/>
      <c r="B399" s="43" t="n"/>
      <c r="C399" s="43" t="n"/>
      <c r="D399" s="43" t="n"/>
      <c r="E399" s="43" t="n"/>
      <c r="F399" s="43" t="n"/>
      <c r="G399">
        <f>IF(A399="","",MONTH(A399))</f>
        <v/>
      </c>
      <c r="H399">
        <f>IF(A399="","",YEAR(A399))</f>
        <v/>
      </c>
      <c r="I399">
        <f>IF(A399="","",DAY(A399))</f>
        <v/>
      </c>
    </row>
    <row r="400">
      <c r="A400" s="18" t="n"/>
      <c r="B400" s="18" t="n"/>
      <c r="C400" s="18" t="n"/>
      <c r="D400" s="18" t="n"/>
      <c r="E400" s="18" t="n"/>
      <c r="F400" s="18" t="n"/>
      <c r="G400">
        <f>IF(A400="","",MONTH(A400))</f>
        <v/>
      </c>
      <c r="H400">
        <f>IF(A400="","",YEAR(A400))</f>
        <v/>
      </c>
      <c r="I400">
        <f>IF(A400="","",DAY(A400))</f>
        <v/>
      </c>
    </row>
    <row r="401">
      <c r="A401" s="43" t="n"/>
      <c r="B401" s="43" t="n"/>
      <c r="C401" s="43" t="n"/>
      <c r="D401" s="43" t="n"/>
      <c r="E401" s="43" t="n"/>
      <c r="F401" s="43" t="n"/>
      <c r="G401">
        <f>IF(A401="","",MONTH(A401))</f>
        <v/>
      </c>
      <c r="H401">
        <f>IF(A401="","",YEAR(A401))</f>
        <v/>
      </c>
      <c r="I401">
        <f>IF(A401="","",DAY(A401))</f>
        <v/>
      </c>
    </row>
    <row r="402">
      <c r="A402" s="18" t="n"/>
      <c r="B402" s="18" t="n"/>
      <c r="C402" s="18" t="n"/>
      <c r="D402" s="18" t="n"/>
      <c r="E402" s="18" t="n"/>
      <c r="F402" s="18" t="n"/>
      <c r="G402">
        <f>IF(A402="","",MONTH(A402))</f>
        <v/>
      </c>
      <c r="H402">
        <f>IF(A402="","",YEAR(A402))</f>
        <v/>
      </c>
      <c r="I402">
        <f>IF(A402="","",DAY(A402))</f>
        <v/>
      </c>
    </row>
    <row r="403">
      <c r="A403" s="43" t="n"/>
      <c r="B403" s="43" t="n"/>
      <c r="C403" s="43" t="n"/>
      <c r="D403" s="43" t="n"/>
      <c r="E403" s="43" t="n"/>
      <c r="F403" s="43" t="n"/>
      <c r="G403">
        <f>IF(A403="","",MONTH(A403))</f>
        <v/>
      </c>
      <c r="H403">
        <f>IF(A403="","",YEAR(A403))</f>
        <v/>
      </c>
      <c r="I403">
        <f>IF(A403="","",DAY(A403))</f>
        <v/>
      </c>
    </row>
    <row r="404">
      <c r="A404" s="18" t="n"/>
      <c r="B404" s="18" t="n"/>
      <c r="C404" s="18" t="n"/>
      <c r="D404" s="18" t="n"/>
      <c r="E404" s="18" t="n"/>
      <c r="F404" s="18" t="n"/>
      <c r="G404">
        <f>IF(A404="","",MONTH(A404))</f>
        <v/>
      </c>
      <c r="H404">
        <f>IF(A404="","",YEAR(A404))</f>
        <v/>
      </c>
      <c r="I404">
        <f>IF(A404="","",DAY(A404))</f>
        <v/>
      </c>
    </row>
    <row r="405">
      <c r="A405" s="43" t="n"/>
      <c r="B405" s="43" t="n"/>
      <c r="C405" s="43" t="n"/>
      <c r="D405" s="43" t="n"/>
      <c r="E405" s="43" t="n"/>
      <c r="F405" s="43" t="n"/>
      <c r="G405">
        <f>IF(A405="","",MONTH(A405))</f>
        <v/>
      </c>
      <c r="H405">
        <f>IF(A405="","",YEAR(A405))</f>
        <v/>
      </c>
      <c r="I405">
        <f>IF(A405="","",DAY(A405))</f>
        <v/>
      </c>
    </row>
    <row r="406">
      <c r="A406" s="18" t="n"/>
      <c r="B406" s="18" t="n"/>
      <c r="C406" s="18" t="n"/>
      <c r="D406" s="18" t="n"/>
      <c r="E406" s="18" t="n"/>
      <c r="F406" s="18" t="n"/>
      <c r="G406">
        <f>IF(A406="","",MONTH(A406))</f>
        <v/>
      </c>
      <c r="H406">
        <f>IF(A406="","",YEAR(A406))</f>
        <v/>
      </c>
      <c r="I406">
        <f>IF(A406="","",DAY(A406))</f>
        <v/>
      </c>
    </row>
    <row r="407">
      <c r="A407" s="43" t="n"/>
      <c r="B407" s="43" t="n"/>
      <c r="C407" s="43" t="n"/>
      <c r="D407" s="43" t="n"/>
      <c r="E407" s="43" t="n"/>
      <c r="F407" s="43" t="n"/>
      <c r="G407">
        <f>IF(A407="","",MONTH(A407))</f>
        <v/>
      </c>
      <c r="H407">
        <f>IF(A407="","",YEAR(A407))</f>
        <v/>
      </c>
      <c r="I407">
        <f>IF(A407="","",DAY(A407))</f>
        <v/>
      </c>
    </row>
    <row r="408">
      <c r="A408" s="18" t="n"/>
      <c r="B408" s="18" t="n"/>
      <c r="C408" s="18" t="n"/>
      <c r="D408" s="18" t="n"/>
      <c r="E408" s="18" t="n"/>
      <c r="F408" s="18" t="n"/>
      <c r="G408">
        <f>IF(A408="","",MONTH(A408))</f>
        <v/>
      </c>
      <c r="H408">
        <f>IF(A408="","",YEAR(A408))</f>
        <v/>
      </c>
      <c r="I408">
        <f>IF(A408="","",DAY(A408))</f>
        <v/>
      </c>
    </row>
    <row r="409">
      <c r="A409" s="43" t="n"/>
      <c r="B409" s="43" t="n"/>
      <c r="C409" s="43" t="n"/>
      <c r="D409" s="43" t="n"/>
      <c r="E409" s="43" t="n"/>
      <c r="F409" s="43" t="n"/>
      <c r="G409">
        <f>IF(A409="","",MONTH(A409))</f>
        <v/>
      </c>
      <c r="H409">
        <f>IF(A409="","",YEAR(A409))</f>
        <v/>
      </c>
      <c r="I409">
        <f>IF(A409="","",DAY(A409))</f>
        <v/>
      </c>
    </row>
    <row r="410">
      <c r="A410" s="18" t="n"/>
      <c r="B410" s="18" t="n"/>
      <c r="C410" s="18" t="n"/>
      <c r="D410" s="18" t="n"/>
      <c r="E410" s="18" t="n"/>
      <c r="F410" s="18" t="n"/>
      <c r="G410">
        <f>IF(A410="","",MONTH(A410))</f>
        <v/>
      </c>
      <c r="H410">
        <f>IF(A410="","",YEAR(A410))</f>
        <v/>
      </c>
      <c r="I410">
        <f>IF(A410="","",DAY(A410))</f>
        <v/>
      </c>
    </row>
    <row r="411">
      <c r="A411" s="43" t="n"/>
      <c r="B411" s="43" t="n"/>
      <c r="C411" s="43" t="n"/>
      <c r="D411" s="43" t="n"/>
      <c r="E411" s="43" t="n"/>
      <c r="F411" s="43" t="n"/>
      <c r="G411">
        <f>IF(A411="","",MONTH(A411))</f>
        <v/>
      </c>
      <c r="H411">
        <f>IF(A411="","",YEAR(A411))</f>
        <v/>
      </c>
      <c r="I411">
        <f>IF(A411="","",DAY(A411))</f>
        <v/>
      </c>
    </row>
    <row r="412">
      <c r="A412" s="18" t="n"/>
      <c r="B412" s="18" t="n"/>
      <c r="C412" s="18" t="n"/>
      <c r="D412" s="18" t="n"/>
      <c r="E412" s="18" t="n"/>
      <c r="F412" s="18" t="n"/>
      <c r="G412">
        <f>IF(A412="","",MONTH(A412))</f>
        <v/>
      </c>
      <c r="H412">
        <f>IF(A412="","",YEAR(A412))</f>
        <v/>
      </c>
      <c r="I412">
        <f>IF(A412="","",DAY(A412))</f>
        <v/>
      </c>
    </row>
    <row r="413">
      <c r="A413" s="43" t="n"/>
      <c r="B413" s="43" t="n"/>
      <c r="C413" s="43" t="n"/>
      <c r="D413" s="43" t="n"/>
      <c r="E413" s="43" t="n"/>
      <c r="F413" s="43" t="n"/>
      <c r="G413">
        <f>IF(A413="","",MONTH(A413))</f>
        <v/>
      </c>
      <c r="H413">
        <f>IF(A413="","",YEAR(A413))</f>
        <v/>
      </c>
      <c r="I413">
        <f>IF(A413="","",DAY(A413))</f>
        <v/>
      </c>
    </row>
    <row r="414">
      <c r="A414" s="18" t="n"/>
      <c r="B414" s="18" t="n"/>
      <c r="C414" s="18" t="n"/>
      <c r="D414" s="18" t="n"/>
      <c r="E414" s="18" t="n"/>
      <c r="F414" s="18" t="n"/>
      <c r="G414">
        <f>IF(A414="","",MONTH(A414))</f>
        <v/>
      </c>
      <c r="H414">
        <f>IF(A414="","",YEAR(A414))</f>
        <v/>
      </c>
      <c r="I414">
        <f>IF(A414="","",DAY(A414))</f>
        <v/>
      </c>
    </row>
    <row r="415">
      <c r="A415" s="43" t="n"/>
      <c r="B415" s="43" t="n"/>
      <c r="C415" s="43" t="n"/>
      <c r="D415" s="43" t="n"/>
      <c r="E415" s="43" t="n"/>
      <c r="F415" s="43" t="n"/>
      <c r="G415">
        <f>IF(A415="","",MONTH(A415))</f>
        <v/>
      </c>
      <c r="H415">
        <f>IF(A415="","",YEAR(A415))</f>
        <v/>
      </c>
      <c r="I415">
        <f>IF(A415="","",DAY(A415))</f>
        <v/>
      </c>
    </row>
    <row r="416">
      <c r="A416" s="18" t="n"/>
      <c r="B416" s="18" t="n"/>
      <c r="C416" s="18" t="n"/>
      <c r="D416" s="18" t="n"/>
      <c r="E416" s="18" t="n"/>
      <c r="F416" s="18" t="n"/>
      <c r="G416">
        <f>IF(A416="","",MONTH(A416))</f>
        <v/>
      </c>
      <c r="H416">
        <f>IF(A416="","",YEAR(A416))</f>
        <v/>
      </c>
      <c r="I416">
        <f>IF(A416="","",DAY(A416))</f>
        <v/>
      </c>
    </row>
    <row r="417">
      <c r="A417" s="43" t="n"/>
      <c r="B417" s="43" t="n"/>
      <c r="C417" s="43" t="n"/>
      <c r="D417" s="43" t="n"/>
      <c r="E417" s="43" t="n"/>
      <c r="F417" s="43" t="n"/>
      <c r="G417">
        <f>IF(A417="","",MONTH(A417))</f>
        <v/>
      </c>
      <c r="H417">
        <f>IF(A417="","",YEAR(A417))</f>
        <v/>
      </c>
      <c r="I417">
        <f>IF(A417="","",DAY(A417))</f>
        <v/>
      </c>
    </row>
    <row r="418">
      <c r="A418" s="18" t="n"/>
      <c r="B418" s="18" t="n"/>
      <c r="C418" s="18" t="n"/>
      <c r="D418" s="18" t="n"/>
      <c r="E418" s="18" t="n"/>
      <c r="F418" s="18" t="n"/>
      <c r="G418">
        <f>IF(A418="","",MONTH(A418))</f>
        <v/>
      </c>
      <c r="H418">
        <f>IF(A418="","",YEAR(A418))</f>
        <v/>
      </c>
      <c r="I418">
        <f>IF(A418="","",DAY(A418))</f>
        <v/>
      </c>
    </row>
    <row r="419">
      <c r="A419" s="43" t="n"/>
      <c r="B419" s="43" t="n"/>
      <c r="C419" s="43" t="n"/>
      <c r="D419" s="43" t="n"/>
      <c r="E419" s="43" t="n"/>
      <c r="F419" s="43" t="n"/>
      <c r="G419">
        <f>IF(A419="","",MONTH(A419))</f>
        <v/>
      </c>
      <c r="H419">
        <f>IF(A419="","",YEAR(A419))</f>
        <v/>
      </c>
      <c r="I419">
        <f>IF(A419="","",DAY(A419))</f>
        <v/>
      </c>
    </row>
    <row r="420">
      <c r="A420" s="18" t="n"/>
      <c r="B420" s="18" t="n"/>
      <c r="C420" s="18" t="n"/>
      <c r="D420" s="18" t="n"/>
      <c r="E420" s="18" t="n"/>
      <c r="F420" s="18" t="n"/>
      <c r="G420">
        <f>IF(A420="","",MONTH(A420))</f>
        <v/>
      </c>
      <c r="H420">
        <f>IF(A420="","",YEAR(A420))</f>
        <v/>
      </c>
      <c r="I420">
        <f>IF(A420="","",DAY(A420))</f>
        <v/>
      </c>
    </row>
    <row r="421">
      <c r="A421" s="43" t="n"/>
      <c r="B421" s="43" t="n"/>
      <c r="C421" s="43" t="n"/>
      <c r="D421" s="43" t="n"/>
      <c r="E421" s="43" t="n"/>
      <c r="F421" s="43" t="n"/>
      <c r="G421">
        <f>IF(A421="","",MONTH(A421))</f>
        <v/>
      </c>
      <c r="H421">
        <f>IF(A421="","",YEAR(A421))</f>
        <v/>
      </c>
      <c r="I421">
        <f>IF(A421="","",DAY(A421))</f>
        <v/>
      </c>
    </row>
    <row r="422">
      <c r="A422" s="18" t="n"/>
      <c r="B422" s="18" t="n"/>
      <c r="C422" s="18" t="n"/>
      <c r="D422" s="18" t="n"/>
      <c r="E422" s="18" t="n"/>
      <c r="F422" s="18" t="n"/>
      <c r="G422">
        <f>IF(A422="","",MONTH(A422))</f>
        <v/>
      </c>
      <c r="H422">
        <f>IF(A422="","",YEAR(A422))</f>
        <v/>
      </c>
      <c r="I422">
        <f>IF(A422="","",DAY(A422))</f>
        <v/>
      </c>
    </row>
    <row r="423">
      <c r="A423" s="43" t="n"/>
      <c r="B423" s="43" t="n"/>
      <c r="C423" s="43" t="n"/>
      <c r="D423" s="43" t="n"/>
      <c r="E423" s="43" t="n"/>
      <c r="F423" s="43" t="n"/>
      <c r="G423">
        <f>IF(A423="","",MONTH(A423))</f>
        <v/>
      </c>
      <c r="H423">
        <f>IF(A423="","",YEAR(A423))</f>
        <v/>
      </c>
      <c r="I423">
        <f>IF(A423="","",DAY(A423))</f>
        <v/>
      </c>
    </row>
    <row r="424">
      <c r="A424" s="18" t="n"/>
      <c r="B424" s="18" t="n"/>
      <c r="C424" s="18" t="n"/>
      <c r="D424" s="18" t="n"/>
      <c r="E424" s="18" t="n"/>
      <c r="F424" s="18" t="n"/>
      <c r="G424">
        <f>IF(A424="","",MONTH(A424))</f>
        <v/>
      </c>
      <c r="H424">
        <f>IF(A424="","",YEAR(A424))</f>
        <v/>
      </c>
      <c r="I424">
        <f>IF(A424="","",DAY(A424))</f>
        <v/>
      </c>
    </row>
    <row r="425">
      <c r="A425" s="43" t="n"/>
      <c r="B425" s="43" t="n"/>
      <c r="C425" s="43" t="n"/>
      <c r="D425" s="43" t="n"/>
      <c r="E425" s="43" t="n"/>
      <c r="F425" s="43" t="n"/>
      <c r="G425">
        <f>IF(A425="","",MONTH(A425))</f>
        <v/>
      </c>
      <c r="H425">
        <f>IF(A425="","",YEAR(A425))</f>
        <v/>
      </c>
      <c r="I425">
        <f>IF(A425="","",DAY(A425))</f>
        <v/>
      </c>
    </row>
    <row r="426">
      <c r="A426" s="18" t="n"/>
      <c r="B426" s="18" t="n"/>
      <c r="C426" s="18" t="n"/>
      <c r="D426" s="18" t="n"/>
      <c r="E426" s="18" t="n"/>
      <c r="F426" s="18" t="n"/>
      <c r="G426">
        <f>IF(A426="","",MONTH(A426))</f>
        <v/>
      </c>
      <c r="H426">
        <f>IF(A426="","",YEAR(A426))</f>
        <v/>
      </c>
      <c r="I426">
        <f>IF(A426="","",DAY(A426))</f>
        <v/>
      </c>
    </row>
    <row r="427">
      <c r="A427" s="43" t="n"/>
      <c r="B427" s="43" t="n"/>
      <c r="C427" s="43" t="n"/>
      <c r="D427" s="43" t="n"/>
      <c r="E427" s="43" t="n"/>
      <c r="F427" s="43" t="n"/>
      <c r="G427">
        <f>IF(A427="","",MONTH(A427))</f>
        <v/>
      </c>
      <c r="H427">
        <f>IF(A427="","",YEAR(A427))</f>
        <v/>
      </c>
      <c r="I427">
        <f>IF(A427="","",DAY(A427))</f>
        <v/>
      </c>
    </row>
    <row r="428">
      <c r="A428" s="18" t="n"/>
      <c r="B428" s="18" t="n"/>
      <c r="C428" s="18" t="n"/>
      <c r="D428" s="18" t="n"/>
      <c r="E428" s="18" t="n"/>
      <c r="F428" s="18" t="n"/>
      <c r="G428">
        <f>IF(A428="","",MONTH(A428))</f>
        <v/>
      </c>
      <c r="H428">
        <f>IF(A428="","",YEAR(A428))</f>
        <v/>
      </c>
      <c r="I428">
        <f>IF(A428="","",DAY(A428))</f>
        <v/>
      </c>
    </row>
    <row r="429">
      <c r="A429" s="43" t="n"/>
      <c r="B429" s="43" t="n"/>
      <c r="C429" s="43" t="n"/>
      <c r="D429" s="43" t="n"/>
      <c r="E429" s="43" t="n"/>
      <c r="F429" s="43" t="n"/>
      <c r="G429">
        <f>IF(A429="","",MONTH(A429))</f>
        <v/>
      </c>
      <c r="H429">
        <f>IF(A429="","",YEAR(A429))</f>
        <v/>
      </c>
      <c r="I429">
        <f>IF(A429="","",DAY(A429))</f>
        <v/>
      </c>
    </row>
    <row r="430">
      <c r="A430" s="18" t="n"/>
      <c r="B430" s="18" t="n"/>
      <c r="C430" s="18" t="n"/>
      <c r="D430" s="18" t="n"/>
      <c r="E430" s="18" t="n"/>
      <c r="F430" s="18" t="n"/>
      <c r="G430">
        <f>IF(A430="","",MONTH(A430))</f>
        <v/>
      </c>
      <c r="H430">
        <f>IF(A430="","",YEAR(A430))</f>
        <v/>
      </c>
      <c r="I430">
        <f>IF(A430="","",DAY(A430))</f>
        <v/>
      </c>
    </row>
    <row r="431">
      <c r="A431" s="43" t="n"/>
      <c r="B431" s="43" t="n"/>
      <c r="C431" s="43" t="n"/>
      <c r="D431" s="43" t="n"/>
      <c r="E431" s="43" t="n"/>
      <c r="F431" s="43" t="n"/>
      <c r="G431">
        <f>IF(A431="","",MONTH(A431))</f>
        <v/>
      </c>
      <c r="H431">
        <f>IF(A431="","",YEAR(A431))</f>
        <v/>
      </c>
      <c r="I431">
        <f>IF(A431="","",DAY(A431))</f>
        <v/>
      </c>
    </row>
    <row r="432">
      <c r="A432" s="18" t="n"/>
      <c r="B432" s="18" t="n"/>
      <c r="C432" s="18" t="n"/>
      <c r="D432" s="18" t="n"/>
      <c r="E432" s="18" t="n"/>
      <c r="F432" s="18" t="n"/>
      <c r="G432">
        <f>IF(A432="","",MONTH(A432))</f>
        <v/>
      </c>
      <c r="H432">
        <f>IF(A432="","",YEAR(A432))</f>
        <v/>
      </c>
      <c r="I432">
        <f>IF(A432="","",DAY(A432))</f>
        <v/>
      </c>
    </row>
    <row r="433">
      <c r="A433" s="43" t="n"/>
      <c r="B433" s="43" t="n"/>
      <c r="C433" s="43" t="n"/>
      <c r="D433" s="43" t="n"/>
      <c r="E433" s="43" t="n"/>
      <c r="F433" s="43" t="n"/>
      <c r="G433">
        <f>IF(A433="","",MONTH(A433))</f>
        <v/>
      </c>
      <c r="H433">
        <f>IF(A433="","",YEAR(A433))</f>
        <v/>
      </c>
      <c r="I433">
        <f>IF(A433="","",DAY(A433))</f>
        <v/>
      </c>
    </row>
    <row r="434">
      <c r="A434" s="18" t="n"/>
      <c r="B434" s="18" t="n"/>
      <c r="C434" s="18" t="n"/>
      <c r="D434" s="18" t="n"/>
      <c r="E434" s="18" t="n"/>
      <c r="F434" s="18" t="n"/>
      <c r="G434">
        <f>IF(A434="","",MONTH(A434))</f>
        <v/>
      </c>
      <c r="H434">
        <f>IF(A434="","",YEAR(A434))</f>
        <v/>
      </c>
      <c r="I434">
        <f>IF(A434="","",DAY(A434))</f>
        <v/>
      </c>
    </row>
    <row r="435">
      <c r="A435" s="43" t="n"/>
      <c r="B435" s="43" t="n"/>
      <c r="C435" s="43" t="n"/>
      <c r="D435" s="43" t="n"/>
      <c r="E435" s="43" t="n"/>
      <c r="F435" s="43" t="n"/>
      <c r="G435">
        <f>IF(A435="","",MONTH(A435))</f>
        <v/>
      </c>
      <c r="H435">
        <f>IF(A435="","",YEAR(A435))</f>
        <v/>
      </c>
      <c r="I435">
        <f>IF(A435="","",DAY(A435))</f>
        <v/>
      </c>
    </row>
    <row r="436">
      <c r="A436" s="18" t="n"/>
      <c r="B436" s="18" t="n"/>
      <c r="C436" s="18" t="n"/>
      <c r="D436" s="18" t="n"/>
      <c r="E436" s="18" t="n"/>
      <c r="F436" s="18" t="n"/>
      <c r="G436">
        <f>IF(A436="","",MONTH(A436))</f>
        <v/>
      </c>
      <c r="H436">
        <f>IF(A436="","",YEAR(A436))</f>
        <v/>
      </c>
      <c r="I436">
        <f>IF(A436="","",DAY(A436))</f>
        <v/>
      </c>
    </row>
    <row r="437">
      <c r="A437" s="43" t="n"/>
      <c r="B437" s="43" t="n"/>
      <c r="C437" s="43" t="n"/>
      <c r="D437" s="43" t="n"/>
      <c r="E437" s="43" t="n"/>
      <c r="F437" s="43" t="n"/>
      <c r="G437">
        <f>IF(A437="","",MONTH(A437))</f>
        <v/>
      </c>
      <c r="H437">
        <f>IF(A437="","",YEAR(A437))</f>
        <v/>
      </c>
      <c r="I437">
        <f>IF(A437="","",DAY(A437))</f>
        <v/>
      </c>
    </row>
    <row r="438">
      <c r="A438" s="18" t="n"/>
      <c r="B438" s="18" t="n"/>
      <c r="C438" s="18" t="n"/>
      <c r="D438" s="18" t="n"/>
      <c r="E438" s="18" t="n"/>
      <c r="F438" s="18" t="n"/>
      <c r="G438">
        <f>IF(A438="","",MONTH(A438))</f>
        <v/>
      </c>
      <c r="H438">
        <f>IF(A438="","",YEAR(A438))</f>
        <v/>
      </c>
      <c r="I438">
        <f>IF(A438="","",DAY(A438))</f>
        <v/>
      </c>
    </row>
    <row r="439">
      <c r="A439" s="43" t="n"/>
      <c r="B439" s="43" t="n"/>
      <c r="C439" s="43" t="n"/>
      <c r="D439" s="43" t="n"/>
      <c r="E439" s="43" t="n"/>
      <c r="F439" s="43" t="n"/>
      <c r="G439">
        <f>IF(A439="","",MONTH(A439))</f>
        <v/>
      </c>
      <c r="H439">
        <f>IF(A439="","",YEAR(A439))</f>
        <v/>
      </c>
      <c r="I439">
        <f>IF(A439="","",DAY(A439))</f>
        <v/>
      </c>
    </row>
    <row r="440">
      <c r="A440" s="18" t="n"/>
      <c r="B440" s="18" t="n"/>
      <c r="C440" s="18" t="n"/>
      <c r="D440" s="18" t="n"/>
      <c r="E440" s="18" t="n"/>
      <c r="F440" s="18" t="n"/>
      <c r="G440">
        <f>IF(A440="","",MONTH(A440))</f>
        <v/>
      </c>
      <c r="H440">
        <f>IF(A440="","",YEAR(A440))</f>
        <v/>
      </c>
      <c r="I440">
        <f>IF(A440="","",DAY(A440))</f>
        <v/>
      </c>
    </row>
    <row r="441">
      <c r="A441" s="43" t="n"/>
      <c r="B441" s="43" t="n"/>
      <c r="C441" s="43" t="n"/>
      <c r="D441" s="43" t="n"/>
      <c r="E441" s="43" t="n"/>
      <c r="F441" s="43" t="n"/>
      <c r="G441">
        <f>IF(A441="","",MONTH(A441))</f>
        <v/>
      </c>
      <c r="H441">
        <f>IF(A441="","",YEAR(A441))</f>
        <v/>
      </c>
      <c r="I441">
        <f>IF(A441="","",DAY(A441))</f>
        <v/>
      </c>
    </row>
    <row r="442">
      <c r="A442" s="18" t="n"/>
      <c r="B442" s="18" t="n"/>
      <c r="C442" s="18" t="n"/>
      <c r="D442" s="18" t="n"/>
      <c r="E442" s="18" t="n"/>
      <c r="F442" s="18" t="n"/>
      <c r="G442">
        <f>IF(A442="","",MONTH(A442))</f>
        <v/>
      </c>
      <c r="H442">
        <f>IF(A442="","",YEAR(A442))</f>
        <v/>
      </c>
      <c r="I442">
        <f>IF(A442="","",DAY(A442))</f>
        <v/>
      </c>
    </row>
    <row r="443">
      <c r="A443" s="43" t="n"/>
      <c r="B443" s="43" t="n"/>
      <c r="C443" s="43" t="n"/>
      <c r="D443" s="43" t="n"/>
      <c r="E443" s="43" t="n"/>
      <c r="F443" s="43" t="n"/>
      <c r="G443">
        <f>IF(A443="","",MONTH(A443))</f>
        <v/>
      </c>
      <c r="H443">
        <f>IF(A443="","",YEAR(A443))</f>
        <v/>
      </c>
      <c r="I443">
        <f>IF(A443="","",DAY(A443))</f>
        <v/>
      </c>
    </row>
    <row r="444">
      <c r="A444" s="18" t="n"/>
      <c r="B444" s="18" t="n"/>
      <c r="C444" s="18" t="n"/>
      <c r="D444" s="18" t="n"/>
      <c r="E444" s="18" t="n"/>
      <c r="F444" s="18" t="n"/>
      <c r="G444">
        <f>IF(A444="","",MONTH(A444))</f>
        <v/>
      </c>
      <c r="H444">
        <f>IF(A444="","",YEAR(A444))</f>
        <v/>
      </c>
      <c r="I444">
        <f>IF(A444="","",DAY(A444))</f>
        <v/>
      </c>
    </row>
    <row r="445">
      <c r="A445" s="43" t="n"/>
      <c r="B445" s="43" t="n"/>
      <c r="C445" s="43" t="n"/>
      <c r="D445" s="43" t="n"/>
      <c r="E445" s="43" t="n"/>
      <c r="F445" s="43" t="n"/>
      <c r="G445">
        <f>IF(A445="","",MONTH(A445))</f>
        <v/>
      </c>
      <c r="H445">
        <f>IF(A445="","",YEAR(A445))</f>
        <v/>
      </c>
      <c r="I445">
        <f>IF(A445="","",DAY(A445))</f>
        <v/>
      </c>
    </row>
    <row r="446">
      <c r="A446" s="18" t="n"/>
      <c r="B446" s="18" t="n"/>
      <c r="C446" s="18" t="n"/>
      <c r="D446" s="18" t="n"/>
      <c r="E446" s="18" t="n"/>
      <c r="F446" s="18" t="n"/>
      <c r="G446">
        <f>IF(A446="","",MONTH(A446))</f>
        <v/>
      </c>
      <c r="H446">
        <f>IF(A446="","",YEAR(A446))</f>
        <v/>
      </c>
      <c r="I446">
        <f>IF(A446="","",DAY(A446))</f>
        <v/>
      </c>
    </row>
    <row r="447">
      <c r="A447" s="43" t="n"/>
      <c r="B447" s="43" t="n"/>
      <c r="C447" s="43" t="n"/>
      <c r="D447" s="43" t="n"/>
      <c r="E447" s="43" t="n"/>
      <c r="F447" s="43" t="n"/>
      <c r="G447">
        <f>IF(A447="","",MONTH(A447))</f>
        <v/>
      </c>
      <c r="H447">
        <f>IF(A447="","",YEAR(A447))</f>
        <v/>
      </c>
      <c r="I447">
        <f>IF(A447="","",DAY(A447))</f>
        <v/>
      </c>
    </row>
    <row r="448">
      <c r="A448" s="18" t="n"/>
      <c r="B448" s="18" t="n"/>
      <c r="C448" s="18" t="n"/>
      <c r="D448" s="18" t="n"/>
      <c r="E448" s="18" t="n"/>
      <c r="F448" s="18" t="n"/>
      <c r="G448">
        <f>IF(A448="","",MONTH(A448))</f>
        <v/>
      </c>
      <c r="H448">
        <f>IF(A448="","",YEAR(A448))</f>
        <v/>
      </c>
      <c r="I448">
        <f>IF(A448="","",DAY(A448))</f>
        <v/>
      </c>
    </row>
    <row r="449">
      <c r="A449" s="43" t="n"/>
      <c r="B449" s="43" t="n"/>
      <c r="C449" s="43" t="n"/>
      <c r="D449" s="43" t="n"/>
      <c r="E449" s="43" t="n"/>
      <c r="F449" s="43" t="n"/>
      <c r="G449">
        <f>IF(A449="","",MONTH(A449))</f>
        <v/>
      </c>
      <c r="H449">
        <f>IF(A449="","",YEAR(A449))</f>
        <v/>
      </c>
      <c r="I449">
        <f>IF(A449="","",DAY(A449))</f>
        <v/>
      </c>
    </row>
    <row r="450">
      <c r="A450" s="18" t="n"/>
      <c r="B450" s="18" t="n"/>
      <c r="C450" s="18" t="n"/>
      <c r="D450" s="18" t="n"/>
      <c r="E450" s="18" t="n"/>
      <c r="F450" s="18" t="n"/>
      <c r="G450">
        <f>IF(A450="","",MONTH(A450))</f>
        <v/>
      </c>
      <c r="H450">
        <f>IF(A450="","",YEAR(A450))</f>
        <v/>
      </c>
      <c r="I450">
        <f>IF(A450="","",DAY(A450))</f>
        <v/>
      </c>
    </row>
    <row r="451">
      <c r="A451" s="43" t="n"/>
      <c r="B451" s="43" t="n"/>
      <c r="C451" s="43" t="n"/>
      <c r="D451" s="43" t="n"/>
      <c r="E451" s="43" t="n"/>
      <c r="F451" s="43" t="n"/>
      <c r="G451">
        <f>IF(A451="","",MONTH(A451))</f>
        <v/>
      </c>
      <c r="H451">
        <f>IF(A451="","",YEAR(A451))</f>
        <v/>
      </c>
      <c r="I451">
        <f>IF(A451="","",DAY(A451))</f>
        <v/>
      </c>
    </row>
    <row r="452">
      <c r="A452" s="18" t="n"/>
      <c r="B452" s="18" t="n"/>
      <c r="C452" s="18" t="n"/>
      <c r="D452" s="18" t="n"/>
      <c r="E452" s="18" t="n"/>
      <c r="F452" s="18" t="n"/>
      <c r="G452">
        <f>IF(A452="","",MONTH(A452))</f>
        <v/>
      </c>
      <c r="H452">
        <f>IF(A452="","",YEAR(A452))</f>
        <v/>
      </c>
      <c r="I452">
        <f>IF(A452="","",DAY(A452))</f>
        <v/>
      </c>
    </row>
    <row r="453">
      <c r="A453" s="43" t="n"/>
      <c r="B453" s="43" t="n"/>
      <c r="C453" s="43" t="n"/>
      <c r="D453" s="43" t="n"/>
      <c r="E453" s="43" t="n"/>
      <c r="F453" s="43" t="n"/>
      <c r="G453">
        <f>IF(A453="","",MONTH(A453))</f>
        <v/>
      </c>
      <c r="H453">
        <f>IF(A453="","",YEAR(A453))</f>
        <v/>
      </c>
      <c r="I453">
        <f>IF(A453="","",DAY(A453))</f>
        <v/>
      </c>
    </row>
    <row r="454">
      <c r="A454" s="18" t="n"/>
      <c r="B454" s="18" t="n"/>
      <c r="C454" s="18" t="n"/>
      <c r="D454" s="18" t="n"/>
      <c r="E454" s="18" t="n"/>
      <c r="F454" s="18" t="n"/>
      <c r="G454">
        <f>IF(A454="","",MONTH(A454))</f>
        <v/>
      </c>
      <c r="H454">
        <f>IF(A454="","",YEAR(A454))</f>
        <v/>
      </c>
      <c r="I454">
        <f>IF(A454="","",DAY(A454))</f>
        <v/>
      </c>
    </row>
    <row r="455">
      <c r="A455" s="43" t="n"/>
      <c r="B455" s="43" t="n"/>
      <c r="C455" s="43" t="n"/>
      <c r="D455" s="43" t="n"/>
      <c r="E455" s="43" t="n"/>
      <c r="F455" s="43" t="n"/>
      <c r="G455">
        <f>IF(A455="","",MONTH(A455))</f>
        <v/>
      </c>
      <c r="H455">
        <f>IF(A455="","",YEAR(A455))</f>
        <v/>
      </c>
      <c r="I455">
        <f>IF(A455="","",DAY(A455))</f>
        <v/>
      </c>
    </row>
    <row r="456">
      <c r="A456" s="18" t="n"/>
      <c r="B456" s="18" t="n"/>
      <c r="C456" s="18" t="n"/>
      <c r="D456" s="18" t="n"/>
      <c r="E456" s="18" t="n"/>
      <c r="F456" s="18" t="n"/>
      <c r="G456">
        <f>IF(A456="","",MONTH(A456))</f>
        <v/>
      </c>
      <c r="H456">
        <f>IF(A456="","",YEAR(A456))</f>
        <v/>
      </c>
      <c r="I456">
        <f>IF(A456="","",DAY(A456))</f>
        <v/>
      </c>
    </row>
    <row r="457">
      <c r="A457" s="43" t="n"/>
      <c r="B457" s="43" t="n"/>
      <c r="C457" s="43" t="n"/>
      <c r="D457" s="43" t="n"/>
      <c r="E457" s="43" t="n"/>
      <c r="F457" s="43" t="n"/>
      <c r="G457">
        <f>IF(A457="","",MONTH(A457))</f>
        <v/>
      </c>
      <c r="H457">
        <f>IF(A457="","",YEAR(A457))</f>
        <v/>
      </c>
      <c r="I457">
        <f>IF(A457="","",DAY(A457))</f>
        <v/>
      </c>
    </row>
    <row r="458">
      <c r="A458" s="18" t="n"/>
      <c r="B458" s="18" t="n"/>
      <c r="C458" s="18" t="n"/>
      <c r="D458" s="18" t="n"/>
      <c r="E458" s="18" t="n"/>
      <c r="F458" s="18" t="n"/>
      <c r="G458">
        <f>IF(A458="","",MONTH(A458))</f>
        <v/>
      </c>
      <c r="H458">
        <f>IF(A458="","",YEAR(A458))</f>
        <v/>
      </c>
      <c r="I458">
        <f>IF(A458="","",DAY(A458))</f>
        <v/>
      </c>
    </row>
    <row r="459">
      <c r="A459" s="43" t="n"/>
      <c r="B459" s="43" t="n"/>
      <c r="C459" s="43" t="n"/>
      <c r="D459" s="43" t="n"/>
      <c r="E459" s="43" t="n"/>
      <c r="F459" s="43" t="n"/>
      <c r="G459">
        <f>IF(A459="","",MONTH(A459))</f>
        <v/>
      </c>
      <c r="H459">
        <f>IF(A459="","",YEAR(A459))</f>
        <v/>
      </c>
      <c r="I459">
        <f>IF(A459="","",DAY(A459))</f>
        <v/>
      </c>
    </row>
    <row r="460">
      <c r="A460" s="18" t="n"/>
      <c r="B460" s="18" t="n"/>
      <c r="C460" s="18" t="n"/>
      <c r="D460" s="18" t="n"/>
      <c r="E460" s="18" t="n"/>
      <c r="F460" s="18" t="n"/>
      <c r="G460">
        <f>IF(A460="","",MONTH(A460))</f>
        <v/>
      </c>
      <c r="H460">
        <f>IF(A460="","",YEAR(A460))</f>
        <v/>
      </c>
      <c r="I460">
        <f>IF(A460="","",DAY(A460))</f>
        <v/>
      </c>
    </row>
    <row r="461">
      <c r="A461" s="43" t="n"/>
      <c r="B461" s="43" t="n"/>
      <c r="C461" s="43" t="n"/>
      <c r="D461" s="43" t="n"/>
      <c r="E461" s="43" t="n"/>
      <c r="F461" s="43" t="n"/>
      <c r="G461">
        <f>IF(A461="","",MONTH(A461))</f>
        <v/>
      </c>
      <c r="H461">
        <f>IF(A461="","",YEAR(A461))</f>
        <v/>
      </c>
      <c r="I461">
        <f>IF(A461="","",DAY(A461))</f>
        <v/>
      </c>
    </row>
    <row r="462">
      <c r="A462" s="18" t="n"/>
      <c r="B462" s="18" t="n"/>
      <c r="C462" s="18" t="n"/>
      <c r="D462" s="18" t="n"/>
      <c r="E462" s="18" t="n"/>
      <c r="F462" s="18" t="n"/>
      <c r="G462">
        <f>IF(A462="","",MONTH(A462))</f>
        <v/>
      </c>
      <c r="H462">
        <f>IF(A462="","",YEAR(A462))</f>
        <v/>
      </c>
      <c r="I462">
        <f>IF(A462="","",DAY(A462))</f>
        <v/>
      </c>
    </row>
    <row r="463">
      <c r="A463" s="43" t="n"/>
      <c r="B463" s="43" t="n"/>
      <c r="C463" s="43" t="n"/>
      <c r="D463" s="43" t="n"/>
      <c r="E463" s="43" t="n"/>
      <c r="F463" s="43" t="n"/>
      <c r="G463">
        <f>IF(A463="","",MONTH(A463))</f>
        <v/>
      </c>
      <c r="H463">
        <f>IF(A463="","",YEAR(A463))</f>
        <v/>
      </c>
      <c r="I463">
        <f>IF(A463="","",DAY(A463))</f>
        <v/>
      </c>
    </row>
    <row r="464">
      <c r="A464" s="18" t="n"/>
      <c r="B464" s="18" t="n"/>
      <c r="C464" s="18" t="n"/>
      <c r="D464" s="18" t="n"/>
      <c r="E464" s="18" t="n"/>
      <c r="F464" s="18" t="n"/>
      <c r="G464">
        <f>IF(A464="","",MONTH(A464))</f>
        <v/>
      </c>
      <c r="H464">
        <f>IF(A464="","",YEAR(A464))</f>
        <v/>
      </c>
      <c r="I464">
        <f>IF(A464="","",DAY(A464))</f>
        <v/>
      </c>
    </row>
    <row r="465">
      <c r="A465" s="43" t="n"/>
      <c r="B465" s="43" t="n"/>
      <c r="C465" s="43" t="n"/>
      <c r="D465" s="43" t="n"/>
      <c r="E465" s="43" t="n"/>
      <c r="F465" s="43" t="n"/>
      <c r="G465">
        <f>IF(A465="","",MONTH(A465))</f>
        <v/>
      </c>
      <c r="H465">
        <f>IF(A465="","",YEAR(A465))</f>
        <v/>
      </c>
      <c r="I465">
        <f>IF(A465="","",DAY(A465))</f>
        <v/>
      </c>
    </row>
    <row r="466">
      <c r="A466" s="18" t="n"/>
      <c r="B466" s="18" t="n"/>
      <c r="C466" s="18" t="n"/>
      <c r="D466" s="18" t="n"/>
      <c r="E466" s="18" t="n"/>
      <c r="F466" s="18" t="n"/>
      <c r="G466">
        <f>IF(A466="","",MONTH(A466))</f>
        <v/>
      </c>
      <c r="H466">
        <f>IF(A466="","",YEAR(A466))</f>
        <v/>
      </c>
      <c r="I466">
        <f>IF(A466="","",DAY(A466))</f>
        <v/>
      </c>
    </row>
    <row r="467">
      <c r="A467" s="43" t="n"/>
      <c r="B467" s="43" t="n"/>
      <c r="C467" s="43" t="n"/>
      <c r="D467" s="43" t="n"/>
      <c r="E467" s="43" t="n"/>
      <c r="F467" s="43" t="n"/>
      <c r="G467">
        <f>IF(A467="","",MONTH(A467))</f>
        <v/>
      </c>
      <c r="H467">
        <f>IF(A467="","",YEAR(A467))</f>
        <v/>
      </c>
      <c r="I467">
        <f>IF(A467="","",DAY(A467))</f>
        <v/>
      </c>
    </row>
    <row r="468">
      <c r="A468" s="18" t="n"/>
      <c r="B468" s="18" t="n"/>
      <c r="C468" s="18" t="n"/>
      <c r="D468" s="18" t="n"/>
      <c r="E468" s="18" t="n"/>
      <c r="F468" s="18" t="n"/>
      <c r="G468">
        <f>IF(A468="","",MONTH(A468))</f>
        <v/>
      </c>
      <c r="H468">
        <f>IF(A468="","",YEAR(A468))</f>
        <v/>
      </c>
      <c r="I468">
        <f>IF(A468="","",DAY(A468))</f>
        <v/>
      </c>
    </row>
    <row r="469">
      <c r="A469" s="43" t="n"/>
      <c r="B469" s="43" t="n"/>
      <c r="C469" s="43" t="n"/>
      <c r="D469" s="43" t="n"/>
      <c r="E469" s="43" t="n"/>
      <c r="F469" s="43" t="n"/>
      <c r="G469">
        <f>IF(A469="","",MONTH(A469))</f>
        <v/>
      </c>
      <c r="H469">
        <f>IF(A469="","",YEAR(A469))</f>
        <v/>
      </c>
      <c r="I469">
        <f>IF(A469="","",DAY(A469))</f>
        <v/>
      </c>
    </row>
    <row r="470">
      <c r="A470" s="18" t="n"/>
      <c r="B470" s="18" t="n"/>
      <c r="C470" s="18" t="n"/>
      <c r="D470" s="18" t="n"/>
      <c r="E470" s="18" t="n"/>
      <c r="F470" s="18" t="n"/>
      <c r="G470">
        <f>IF(A470="","",MONTH(A470))</f>
        <v/>
      </c>
      <c r="H470">
        <f>IF(A470="","",YEAR(A470))</f>
        <v/>
      </c>
      <c r="I470">
        <f>IF(A470="","",DAY(A470))</f>
        <v/>
      </c>
    </row>
    <row r="471">
      <c r="A471" s="43" t="n"/>
      <c r="B471" s="43" t="n"/>
      <c r="C471" s="43" t="n"/>
      <c r="D471" s="43" t="n"/>
      <c r="E471" s="43" t="n"/>
      <c r="F471" s="43" t="n"/>
      <c r="G471">
        <f>IF(A471="","",MONTH(A471))</f>
        <v/>
      </c>
      <c r="H471">
        <f>IF(A471="","",YEAR(A471))</f>
        <v/>
      </c>
      <c r="I471">
        <f>IF(A471="","",DAY(A471))</f>
        <v/>
      </c>
    </row>
    <row r="472">
      <c r="A472" s="18" t="n"/>
      <c r="B472" s="18" t="n"/>
      <c r="C472" s="18" t="n"/>
      <c r="D472" s="18" t="n"/>
      <c r="E472" s="18" t="n"/>
      <c r="F472" s="18" t="n"/>
      <c r="G472">
        <f>IF(A472="","",MONTH(A472))</f>
        <v/>
      </c>
      <c r="H472">
        <f>IF(A472="","",YEAR(A472))</f>
        <v/>
      </c>
      <c r="I472">
        <f>IF(A472="","",DAY(A472))</f>
        <v/>
      </c>
    </row>
    <row r="473">
      <c r="A473" s="43" t="n"/>
      <c r="B473" s="43" t="n"/>
      <c r="C473" s="43" t="n"/>
      <c r="D473" s="43" t="n"/>
      <c r="E473" s="43" t="n"/>
      <c r="F473" s="43" t="n"/>
      <c r="G473">
        <f>IF(A473="","",MONTH(A473))</f>
        <v/>
      </c>
      <c r="H473">
        <f>IF(A473="","",YEAR(A473))</f>
        <v/>
      </c>
      <c r="I473">
        <f>IF(A473="","",DAY(A473))</f>
        <v/>
      </c>
    </row>
    <row r="474">
      <c r="A474" s="18" t="n"/>
      <c r="B474" s="18" t="n"/>
      <c r="C474" s="18" t="n"/>
      <c r="D474" s="18" t="n"/>
      <c r="E474" s="18" t="n"/>
      <c r="F474" s="18" t="n"/>
      <c r="G474">
        <f>IF(A474="","",MONTH(A474))</f>
        <v/>
      </c>
      <c r="H474">
        <f>IF(A474="","",YEAR(A474))</f>
        <v/>
      </c>
      <c r="I474">
        <f>IF(A474="","",DAY(A474))</f>
        <v/>
      </c>
    </row>
    <row r="475">
      <c r="A475" s="43" t="n"/>
      <c r="B475" s="43" t="n"/>
      <c r="C475" s="43" t="n"/>
      <c r="D475" s="43" t="n"/>
      <c r="E475" s="43" t="n"/>
      <c r="F475" s="43" t="n"/>
      <c r="G475">
        <f>IF(A475="","",MONTH(A475))</f>
        <v/>
      </c>
      <c r="H475">
        <f>IF(A475="","",YEAR(A475))</f>
        <v/>
      </c>
      <c r="I475">
        <f>IF(A475="","",DAY(A475))</f>
        <v/>
      </c>
    </row>
    <row r="476">
      <c r="A476" s="18" t="n"/>
      <c r="B476" s="18" t="n"/>
      <c r="C476" s="18" t="n"/>
      <c r="D476" s="18" t="n"/>
      <c r="E476" s="18" t="n"/>
      <c r="F476" s="18" t="n"/>
      <c r="G476">
        <f>IF(A476="","",MONTH(A476))</f>
        <v/>
      </c>
      <c r="H476">
        <f>IF(A476="","",YEAR(A476))</f>
        <v/>
      </c>
      <c r="I476">
        <f>IF(A476="","",DAY(A476))</f>
        <v/>
      </c>
    </row>
    <row r="477">
      <c r="A477" s="43" t="n"/>
      <c r="B477" s="43" t="n"/>
      <c r="C477" s="43" t="n"/>
      <c r="D477" s="43" t="n"/>
      <c r="E477" s="43" t="n"/>
      <c r="F477" s="43" t="n"/>
      <c r="G477">
        <f>IF(A477="","",MONTH(A477))</f>
        <v/>
      </c>
      <c r="H477">
        <f>IF(A477="","",YEAR(A477))</f>
        <v/>
      </c>
      <c r="I477">
        <f>IF(A477="","",DAY(A477))</f>
        <v/>
      </c>
    </row>
    <row r="478">
      <c r="A478" s="18" t="n"/>
      <c r="B478" s="18" t="n"/>
      <c r="C478" s="18" t="n"/>
      <c r="D478" s="18" t="n"/>
      <c r="E478" s="18" t="n"/>
      <c r="F478" s="18" t="n"/>
      <c r="G478">
        <f>IF(A478="","",MONTH(A478))</f>
        <v/>
      </c>
      <c r="H478">
        <f>IF(A478="","",YEAR(A478))</f>
        <v/>
      </c>
      <c r="I478">
        <f>IF(A478="","",DAY(A478))</f>
        <v/>
      </c>
    </row>
    <row r="479">
      <c r="A479" s="43" t="n"/>
      <c r="B479" s="43" t="n"/>
      <c r="C479" s="43" t="n"/>
      <c r="D479" s="43" t="n"/>
      <c r="E479" s="43" t="n"/>
      <c r="F479" s="43" t="n"/>
      <c r="G479">
        <f>IF(A479="","",MONTH(A479))</f>
        <v/>
      </c>
      <c r="H479">
        <f>IF(A479="","",YEAR(A479))</f>
        <v/>
      </c>
      <c r="I479">
        <f>IF(A479="","",DAY(A479))</f>
        <v/>
      </c>
    </row>
    <row r="480">
      <c r="A480" s="18" t="n"/>
      <c r="B480" s="18" t="n"/>
      <c r="C480" s="18" t="n"/>
      <c r="D480" s="18" t="n"/>
      <c r="E480" s="18" t="n"/>
      <c r="F480" s="18" t="n"/>
      <c r="G480">
        <f>IF(A480="","",MONTH(A480))</f>
        <v/>
      </c>
      <c r="H480">
        <f>IF(A480="","",YEAR(A480))</f>
        <v/>
      </c>
      <c r="I480">
        <f>IF(A480="","",DAY(A480))</f>
        <v/>
      </c>
    </row>
    <row r="481">
      <c r="A481" s="43" t="n"/>
      <c r="B481" s="43" t="n"/>
      <c r="C481" s="43" t="n"/>
      <c r="D481" s="43" t="n"/>
      <c r="E481" s="43" t="n"/>
      <c r="F481" s="43" t="n"/>
      <c r="G481">
        <f>IF(A481="","",MONTH(A481))</f>
        <v/>
      </c>
      <c r="H481">
        <f>IF(A481="","",YEAR(A481))</f>
        <v/>
      </c>
      <c r="I481">
        <f>IF(A481="","",DAY(A481))</f>
        <v/>
      </c>
    </row>
    <row r="482">
      <c r="A482" s="18" t="n"/>
      <c r="B482" s="18" t="n"/>
      <c r="C482" s="18" t="n"/>
      <c r="D482" s="18" t="n"/>
      <c r="E482" s="18" t="n"/>
      <c r="F482" s="18" t="n"/>
      <c r="G482">
        <f>IF(A482="","",MONTH(A482))</f>
        <v/>
      </c>
      <c r="H482">
        <f>IF(A482="","",YEAR(A482))</f>
        <v/>
      </c>
      <c r="I482">
        <f>IF(A482="","",DAY(A482))</f>
        <v/>
      </c>
    </row>
    <row r="483">
      <c r="A483" s="43" t="n"/>
      <c r="B483" s="43" t="n"/>
      <c r="C483" s="43" t="n"/>
      <c r="D483" s="43" t="n"/>
      <c r="E483" s="43" t="n"/>
      <c r="F483" s="43" t="n"/>
      <c r="G483">
        <f>IF(A483="","",MONTH(A483))</f>
        <v/>
      </c>
      <c r="H483">
        <f>IF(A483="","",YEAR(A483))</f>
        <v/>
      </c>
      <c r="I483">
        <f>IF(A483="","",DAY(A483))</f>
        <v/>
      </c>
    </row>
    <row r="484">
      <c r="A484" s="18" t="n"/>
      <c r="B484" s="18" t="n"/>
      <c r="C484" s="18" t="n"/>
      <c r="D484" s="18" t="n"/>
      <c r="E484" s="18" t="n"/>
      <c r="F484" s="18" t="n"/>
      <c r="G484">
        <f>IF(A484="","",MONTH(A484))</f>
        <v/>
      </c>
      <c r="H484">
        <f>IF(A484="","",YEAR(A484))</f>
        <v/>
      </c>
      <c r="I484">
        <f>IF(A484="","",DAY(A484))</f>
        <v/>
      </c>
    </row>
    <row r="485">
      <c r="A485" s="43" t="n"/>
      <c r="B485" s="43" t="n"/>
      <c r="C485" s="43" t="n"/>
      <c r="D485" s="43" t="n"/>
      <c r="E485" s="43" t="n"/>
      <c r="F485" s="43" t="n"/>
      <c r="G485">
        <f>IF(A485="","",MONTH(A485))</f>
        <v/>
      </c>
      <c r="H485">
        <f>IF(A485="","",YEAR(A485))</f>
        <v/>
      </c>
      <c r="I485">
        <f>IF(A485="","",DAY(A485))</f>
        <v/>
      </c>
    </row>
    <row r="486">
      <c r="A486" s="18" t="n"/>
      <c r="B486" s="18" t="n"/>
      <c r="C486" s="18" t="n"/>
      <c r="D486" s="18" t="n"/>
      <c r="E486" s="18" t="n"/>
      <c r="F486" s="18" t="n"/>
      <c r="G486">
        <f>IF(A486="","",MONTH(A486))</f>
        <v/>
      </c>
      <c r="H486">
        <f>IF(A486="","",YEAR(A486))</f>
        <v/>
      </c>
      <c r="I486">
        <f>IF(A486="","",DAY(A486))</f>
        <v/>
      </c>
    </row>
    <row r="487">
      <c r="A487" s="43" t="n"/>
      <c r="B487" s="43" t="n"/>
      <c r="C487" s="43" t="n"/>
      <c r="D487" s="43" t="n"/>
      <c r="E487" s="43" t="n"/>
      <c r="F487" s="43" t="n"/>
      <c r="G487">
        <f>IF(A487="","",MONTH(A487))</f>
        <v/>
      </c>
      <c r="H487">
        <f>IF(A487="","",YEAR(A487))</f>
        <v/>
      </c>
      <c r="I487">
        <f>IF(A487="","",DAY(A487))</f>
        <v/>
      </c>
    </row>
    <row r="488">
      <c r="A488" s="18" t="n"/>
      <c r="B488" s="18" t="n"/>
      <c r="C488" s="18" t="n"/>
      <c r="D488" s="18" t="n"/>
      <c r="E488" s="18" t="n"/>
      <c r="F488" s="18" t="n"/>
      <c r="G488">
        <f>IF(A488="","",MONTH(A488))</f>
        <v/>
      </c>
      <c r="H488">
        <f>IF(A488="","",YEAR(A488))</f>
        <v/>
      </c>
      <c r="I488">
        <f>IF(A488="","",DAY(A488))</f>
        <v/>
      </c>
    </row>
    <row r="489">
      <c r="A489" s="43" t="n"/>
      <c r="B489" s="43" t="n"/>
      <c r="C489" s="43" t="n"/>
      <c r="D489" s="43" t="n"/>
      <c r="E489" s="43" t="n"/>
      <c r="F489" s="43" t="n"/>
      <c r="G489">
        <f>IF(A489="","",MONTH(A489))</f>
        <v/>
      </c>
      <c r="H489">
        <f>IF(A489="","",YEAR(A489))</f>
        <v/>
      </c>
      <c r="I489">
        <f>IF(A489="","",DAY(A489))</f>
        <v/>
      </c>
    </row>
    <row r="490">
      <c r="A490" s="18" t="n"/>
      <c r="B490" s="18" t="n"/>
      <c r="C490" s="18" t="n"/>
      <c r="D490" s="18" t="n"/>
      <c r="E490" s="18" t="n"/>
      <c r="F490" s="18" t="n"/>
      <c r="G490">
        <f>IF(A490="","",MONTH(A490))</f>
        <v/>
      </c>
      <c r="H490">
        <f>IF(A490="","",YEAR(A490))</f>
        <v/>
      </c>
      <c r="I490">
        <f>IF(A490="","",DAY(A490))</f>
        <v/>
      </c>
    </row>
    <row r="491">
      <c r="A491" s="43" t="n"/>
      <c r="B491" s="43" t="n"/>
      <c r="C491" s="43" t="n"/>
      <c r="D491" s="43" t="n"/>
      <c r="E491" s="43" t="n"/>
      <c r="F491" s="43" t="n"/>
      <c r="G491">
        <f>IF(A491="","",MONTH(A491))</f>
        <v/>
      </c>
      <c r="H491">
        <f>IF(A491="","",YEAR(A491))</f>
        <v/>
      </c>
      <c r="I491">
        <f>IF(A491="","",DAY(A491))</f>
        <v/>
      </c>
    </row>
    <row r="492">
      <c r="A492" s="18" t="n"/>
      <c r="B492" s="18" t="n"/>
      <c r="C492" s="18" t="n"/>
      <c r="D492" s="18" t="n"/>
      <c r="E492" s="18" t="n"/>
      <c r="F492" s="18" t="n"/>
      <c r="G492">
        <f>IF(A492="","",MONTH(A492))</f>
        <v/>
      </c>
      <c r="H492">
        <f>IF(A492="","",YEAR(A492))</f>
        <v/>
      </c>
      <c r="I492">
        <f>IF(A492="","",DAY(A492))</f>
        <v/>
      </c>
    </row>
    <row r="493">
      <c r="A493" s="43" t="n"/>
      <c r="B493" s="43" t="n"/>
      <c r="C493" s="43" t="n"/>
      <c r="D493" s="43" t="n"/>
      <c r="E493" s="43" t="n"/>
      <c r="F493" s="43" t="n"/>
      <c r="G493">
        <f>IF(A493="","",MONTH(A493))</f>
        <v/>
      </c>
      <c r="H493">
        <f>IF(A493="","",YEAR(A493))</f>
        <v/>
      </c>
      <c r="I493">
        <f>IF(A493="","",DAY(A493))</f>
        <v/>
      </c>
    </row>
    <row r="494">
      <c r="A494" s="18" t="n"/>
      <c r="B494" s="18" t="n"/>
      <c r="C494" s="18" t="n"/>
      <c r="D494" s="18" t="n"/>
      <c r="E494" s="18" t="n"/>
      <c r="F494" s="18" t="n"/>
      <c r="G494">
        <f>IF(A494="","",MONTH(A494))</f>
        <v/>
      </c>
      <c r="H494">
        <f>IF(A494="","",YEAR(A494))</f>
        <v/>
      </c>
      <c r="I494">
        <f>IF(A494="","",DAY(A494))</f>
        <v/>
      </c>
    </row>
    <row r="495">
      <c r="A495" s="43" t="n"/>
      <c r="B495" s="43" t="n"/>
      <c r="C495" s="43" t="n"/>
      <c r="D495" s="43" t="n"/>
      <c r="E495" s="43" t="n"/>
      <c r="F495" s="43" t="n"/>
      <c r="G495">
        <f>IF(A495="","",MONTH(A495))</f>
        <v/>
      </c>
      <c r="H495">
        <f>IF(A495="","",YEAR(A495))</f>
        <v/>
      </c>
      <c r="I495">
        <f>IF(A495="","",DAY(A495))</f>
        <v/>
      </c>
    </row>
    <row r="496">
      <c r="A496" s="18" t="n"/>
      <c r="B496" s="18" t="n"/>
      <c r="C496" s="18" t="n"/>
      <c r="D496" s="18" t="n"/>
      <c r="E496" s="18" t="n"/>
      <c r="F496" s="18" t="n"/>
      <c r="G496">
        <f>IF(A496="","",MONTH(A496))</f>
        <v/>
      </c>
      <c r="H496">
        <f>IF(A496="","",YEAR(A496))</f>
        <v/>
      </c>
      <c r="I496">
        <f>IF(A496="","",DAY(A496))</f>
        <v/>
      </c>
    </row>
    <row r="497">
      <c r="A497" s="43" t="n"/>
      <c r="B497" s="43" t="n"/>
      <c r="C497" s="43" t="n"/>
      <c r="D497" s="43" t="n"/>
      <c r="E497" s="43" t="n"/>
      <c r="F497" s="43" t="n"/>
      <c r="G497">
        <f>IF(A497="","",MONTH(A497))</f>
        <v/>
      </c>
      <c r="H497">
        <f>IF(A497="","",YEAR(A497))</f>
        <v/>
      </c>
      <c r="I497">
        <f>IF(A497="","",DAY(A497))</f>
        <v/>
      </c>
    </row>
    <row r="498">
      <c r="A498" s="18" t="n"/>
      <c r="B498" s="18" t="n"/>
      <c r="C498" s="18" t="n"/>
      <c r="D498" s="18" t="n"/>
      <c r="E498" s="18" t="n"/>
      <c r="F498" s="18" t="n"/>
      <c r="G498">
        <f>IF(A498="","",MONTH(A498))</f>
        <v/>
      </c>
      <c r="H498">
        <f>IF(A498="","",YEAR(A498))</f>
        <v/>
      </c>
      <c r="I498">
        <f>IF(A498="","",DAY(A498))</f>
        <v/>
      </c>
    </row>
    <row r="499">
      <c r="A499" s="43" t="n"/>
      <c r="B499" s="43" t="n"/>
      <c r="C499" s="43" t="n"/>
      <c r="D499" s="43" t="n"/>
      <c r="E499" s="43" t="n"/>
      <c r="F499" s="43" t="n"/>
      <c r="G499">
        <f>IF(A499="","",MONTH(A499))</f>
        <v/>
      </c>
      <c r="H499">
        <f>IF(A499="","",YEAR(A499))</f>
        <v/>
      </c>
      <c r="I499">
        <f>IF(A499="","",DAY(A499))</f>
        <v/>
      </c>
    </row>
    <row r="500">
      <c r="A500" s="18" t="n"/>
      <c r="B500" s="18" t="n"/>
      <c r="C500" s="18" t="n"/>
      <c r="D500" s="18" t="n"/>
      <c r="E500" s="18" t="n"/>
      <c r="F500" s="18" t="n"/>
      <c r="G500">
        <f>IF(A500="","",MONTH(A500))</f>
        <v/>
      </c>
      <c r="H500">
        <f>IF(A500="","",YEAR(A500))</f>
        <v/>
      </c>
      <c r="I500">
        <f>IF(A500="","",DAY(A500))</f>
        <v/>
      </c>
    </row>
    <row r="501">
      <c r="A501" s="43" t="n"/>
      <c r="B501" s="43" t="n"/>
      <c r="C501" s="43" t="n"/>
      <c r="D501" s="43" t="n"/>
      <c r="E501" s="43" t="n"/>
      <c r="F501" s="43" t="n"/>
      <c r="G501">
        <f>IF(A501="","",MONTH(A501))</f>
        <v/>
      </c>
      <c r="H501">
        <f>IF(A501="","",YEAR(A501))</f>
        <v/>
      </c>
      <c r="I501">
        <f>IF(A501="","",DAY(A501))</f>
        <v/>
      </c>
    </row>
    <row r="502">
      <c r="A502" s="18" t="n"/>
      <c r="B502" s="18" t="n"/>
      <c r="C502" s="18" t="n"/>
      <c r="D502" s="18" t="n"/>
      <c r="E502" s="18" t="n"/>
      <c r="F502" s="18" t="n"/>
      <c r="G502">
        <f>IF(A502="","",MONTH(A502))</f>
        <v/>
      </c>
      <c r="H502">
        <f>IF(A502="","",YEAR(A502))</f>
        <v/>
      </c>
      <c r="I502">
        <f>IF(A502="","",DAY(A502))</f>
        <v/>
      </c>
    </row>
    <row r="503">
      <c r="A503" s="43" t="n"/>
      <c r="B503" s="43" t="n"/>
      <c r="C503" s="43" t="n"/>
      <c r="D503" s="43" t="n"/>
      <c r="E503" s="43" t="n"/>
      <c r="F503" s="43" t="n"/>
      <c r="G503">
        <f>IF(A503="","",MONTH(A503))</f>
        <v/>
      </c>
      <c r="H503">
        <f>IF(A503="","",YEAR(A503))</f>
        <v/>
      </c>
      <c r="I503">
        <f>IF(A503="","",DAY(A503))</f>
        <v/>
      </c>
    </row>
    <row r="504">
      <c r="A504" s="18" t="n"/>
      <c r="B504" s="18" t="n"/>
      <c r="C504" s="18" t="n"/>
      <c r="D504" s="18" t="n"/>
      <c r="E504" s="18" t="n"/>
      <c r="F504" s="18" t="n"/>
      <c r="G504">
        <f>IF(A504="","",MONTH(A504))</f>
        <v/>
      </c>
      <c r="H504">
        <f>IF(A504="","",YEAR(A504))</f>
        <v/>
      </c>
      <c r="I504">
        <f>IF(A504="","",DAY(A504))</f>
        <v/>
      </c>
    </row>
    <row r="505">
      <c r="A505" s="43" t="n"/>
      <c r="B505" s="43" t="n"/>
      <c r="C505" s="43" t="n"/>
      <c r="D505" s="43" t="n"/>
      <c r="E505" s="43" t="n"/>
      <c r="F505" s="43" t="n"/>
      <c r="G505">
        <f>IF(A505="","",MONTH(A505))</f>
        <v/>
      </c>
      <c r="H505">
        <f>IF(A505="","",YEAR(A505))</f>
        <v/>
      </c>
      <c r="I505">
        <f>IF(A505="","",DAY(A505))</f>
        <v/>
      </c>
    </row>
    <row r="506">
      <c r="A506" s="18" t="n"/>
      <c r="B506" s="18" t="n"/>
      <c r="C506" s="18" t="n"/>
      <c r="D506" s="18" t="n"/>
      <c r="E506" s="18" t="n"/>
      <c r="F506" s="18" t="n"/>
      <c r="G506">
        <f>IF(A506="","",MONTH(A506))</f>
        <v/>
      </c>
      <c r="H506">
        <f>IF(A506="","",YEAR(A506))</f>
        <v/>
      </c>
      <c r="I506">
        <f>IF(A506="","",DAY(A506))</f>
        <v/>
      </c>
    </row>
    <row r="507">
      <c r="A507" s="43" t="n"/>
      <c r="B507" s="43" t="n"/>
      <c r="C507" s="43" t="n"/>
      <c r="D507" s="43" t="n"/>
      <c r="E507" s="43" t="n"/>
      <c r="F507" s="43" t="n"/>
      <c r="G507">
        <f>IF(A507="","",MONTH(A507))</f>
        <v/>
      </c>
      <c r="H507">
        <f>IF(A507="","",YEAR(A507))</f>
        <v/>
      </c>
      <c r="I507">
        <f>IF(A507="","",DAY(A507))</f>
        <v/>
      </c>
    </row>
    <row r="508">
      <c r="A508" s="18" t="n"/>
      <c r="B508" s="18" t="n"/>
      <c r="C508" s="18" t="n"/>
      <c r="D508" s="18" t="n"/>
      <c r="E508" s="18" t="n"/>
      <c r="F508" s="18" t="n"/>
      <c r="G508">
        <f>IF(A508="","",MONTH(A508))</f>
        <v/>
      </c>
      <c r="H508">
        <f>IF(A508="","",YEAR(A508))</f>
        <v/>
      </c>
      <c r="I508">
        <f>IF(A508="","",DAY(A508))</f>
        <v/>
      </c>
    </row>
    <row r="509">
      <c r="A509" s="43" t="n"/>
      <c r="B509" s="43" t="n"/>
      <c r="C509" s="43" t="n"/>
      <c r="D509" s="43" t="n"/>
      <c r="E509" s="43" t="n"/>
      <c r="F509" s="43" t="n"/>
      <c r="G509">
        <f>IF(A509="","",MONTH(A509))</f>
        <v/>
      </c>
      <c r="H509">
        <f>IF(A509="","",YEAR(A509))</f>
        <v/>
      </c>
      <c r="I509">
        <f>IF(A509="","",DAY(A509))</f>
        <v/>
      </c>
    </row>
    <row r="510">
      <c r="A510" s="18" t="n"/>
      <c r="B510" s="18" t="n"/>
      <c r="C510" s="18" t="n"/>
      <c r="D510" s="18" t="n"/>
      <c r="E510" s="18" t="n"/>
      <c r="F510" s="18" t="n"/>
      <c r="G510">
        <f>IF(A510="","",MONTH(A510))</f>
        <v/>
      </c>
      <c r="H510">
        <f>IF(A510="","",YEAR(A510))</f>
        <v/>
      </c>
      <c r="I510">
        <f>IF(A510="","",DAY(A510))</f>
        <v/>
      </c>
    </row>
    <row r="511">
      <c r="A511" s="43" t="n"/>
      <c r="B511" s="43" t="n"/>
      <c r="C511" s="43" t="n"/>
      <c r="D511" s="43" t="n"/>
      <c r="E511" s="43" t="n"/>
      <c r="F511" s="43" t="n"/>
      <c r="G511">
        <f>IF(A511="","",MONTH(A511))</f>
        <v/>
      </c>
      <c r="H511">
        <f>IF(A511="","",YEAR(A511))</f>
        <v/>
      </c>
      <c r="I511">
        <f>IF(A511="","",DAY(A511))</f>
        <v/>
      </c>
    </row>
    <row r="512">
      <c r="A512" s="18" t="n"/>
      <c r="B512" s="18" t="n"/>
      <c r="C512" s="18" t="n"/>
      <c r="D512" s="18" t="n"/>
      <c r="E512" s="18" t="n"/>
      <c r="F512" s="18" t="n"/>
      <c r="G512">
        <f>IF(A512="","",MONTH(A512))</f>
        <v/>
      </c>
      <c r="H512">
        <f>IF(A512="","",YEAR(A512))</f>
        <v/>
      </c>
      <c r="I512">
        <f>IF(A512="","",DAY(A512))</f>
        <v/>
      </c>
    </row>
    <row r="513">
      <c r="A513" s="43" t="n"/>
      <c r="B513" s="43" t="n"/>
      <c r="C513" s="43" t="n"/>
      <c r="D513" s="43" t="n"/>
      <c r="E513" s="43" t="n"/>
      <c r="F513" s="43" t="n"/>
      <c r="G513">
        <f>IF(A513="","",MONTH(A513))</f>
        <v/>
      </c>
      <c r="H513">
        <f>IF(A513="","",YEAR(A513))</f>
        <v/>
      </c>
      <c r="I513">
        <f>IF(A513="","",DAY(A513))</f>
        <v/>
      </c>
    </row>
    <row r="514">
      <c r="A514" s="18" t="n"/>
      <c r="B514" s="18" t="n"/>
      <c r="C514" s="18" t="n"/>
      <c r="D514" s="18" t="n"/>
      <c r="E514" s="18" t="n"/>
      <c r="F514" s="18" t="n"/>
      <c r="G514">
        <f>IF(A514="","",MONTH(A514))</f>
        <v/>
      </c>
      <c r="H514">
        <f>IF(A514="","",YEAR(A514))</f>
        <v/>
      </c>
      <c r="I514">
        <f>IF(A514="","",DAY(A514))</f>
        <v/>
      </c>
    </row>
    <row r="515">
      <c r="A515" s="43" t="n"/>
      <c r="B515" s="43" t="n"/>
      <c r="C515" s="43" t="n"/>
      <c r="D515" s="43" t="n"/>
      <c r="E515" s="43" t="n"/>
      <c r="F515" s="43" t="n"/>
      <c r="G515">
        <f>IF(A515="","",MONTH(A515))</f>
        <v/>
      </c>
      <c r="H515">
        <f>IF(A515="","",YEAR(A515))</f>
        <v/>
      </c>
      <c r="I515">
        <f>IF(A515="","",DAY(A515))</f>
        <v/>
      </c>
    </row>
    <row r="516">
      <c r="A516" s="18" t="n"/>
      <c r="B516" s="18" t="n"/>
      <c r="C516" s="18" t="n"/>
      <c r="D516" s="18" t="n"/>
      <c r="E516" s="18" t="n"/>
      <c r="F516" s="18" t="n"/>
      <c r="G516">
        <f>IF(A516="","",MONTH(A516))</f>
        <v/>
      </c>
      <c r="H516">
        <f>IF(A516="","",YEAR(A516))</f>
        <v/>
      </c>
      <c r="I516">
        <f>IF(A516="","",DAY(A516))</f>
        <v/>
      </c>
    </row>
    <row r="517">
      <c r="A517" s="43" t="n"/>
      <c r="B517" s="43" t="n"/>
      <c r="C517" s="43" t="n"/>
      <c r="D517" s="43" t="n"/>
      <c r="E517" s="43" t="n"/>
      <c r="F517" s="43" t="n"/>
      <c r="G517">
        <f>IF(A517="","",MONTH(A517))</f>
        <v/>
      </c>
      <c r="H517">
        <f>IF(A517="","",YEAR(A517))</f>
        <v/>
      </c>
      <c r="I517">
        <f>IF(A517="","",DAY(A517))</f>
        <v/>
      </c>
    </row>
    <row r="518">
      <c r="A518" s="18" t="n"/>
      <c r="B518" s="18" t="n"/>
      <c r="C518" s="18" t="n"/>
      <c r="D518" s="18" t="n"/>
      <c r="E518" s="18" t="n"/>
      <c r="F518" s="18" t="n"/>
      <c r="G518">
        <f>IF(A518="","",MONTH(A518))</f>
        <v/>
      </c>
      <c r="H518">
        <f>IF(A518="","",YEAR(A518))</f>
        <v/>
      </c>
      <c r="I518">
        <f>IF(A518="","",DAY(A518))</f>
        <v/>
      </c>
    </row>
    <row r="519">
      <c r="A519" s="43" t="n"/>
      <c r="B519" s="43" t="n"/>
      <c r="C519" s="43" t="n"/>
      <c r="D519" s="43" t="n"/>
      <c r="E519" s="43" t="n"/>
      <c r="F519" s="43" t="n"/>
      <c r="G519">
        <f>IF(A519="","",MONTH(A519))</f>
        <v/>
      </c>
      <c r="H519">
        <f>IF(A519="","",YEAR(A519))</f>
        <v/>
      </c>
      <c r="I519">
        <f>IF(A519="","",DAY(A519))</f>
        <v/>
      </c>
    </row>
    <row r="520">
      <c r="A520" s="18" t="n"/>
      <c r="B520" s="18" t="n"/>
      <c r="C520" s="18" t="n"/>
      <c r="D520" s="18" t="n"/>
      <c r="E520" s="18" t="n"/>
      <c r="F520" s="18" t="n"/>
      <c r="G520">
        <f>IF(A520="","",MONTH(A520))</f>
        <v/>
      </c>
      <c r="H520">
        <f>IF(A520="","",YEAR(A520))</f>
        <v/>
      </c>
      <c r="I520">
        <f>IF(A520="","",DAY(A520))</f>
        <v/>
      </c>
    </row>
    <row r="521">
      <c r="A521" s="43" t="n"/>
      <c r="B521" s="43" t="n"/>
      <c r="C521" s="43" t="n"/>
      <c r="D521" s="43" t="n"/>
      <c r="E521" s="43" t="n"/>
      <c r="F521" s="43" t="n"/>
      <c r="G521">
        <f>IF(A521="","",MONTH(A521))</f>
        <v/>
      </c>
      <c r="H521">
        <f>IF(A521="","",YEAR(A521))</f>
        <v/>
      </c>
      <c r="I521">
        <f>IF(A521="","",DAY(A521))</f>
        <v/>
      </c>
    </row>
    <row r="522">
      <c r="A522" s="18" t="n"/>
      <c r="B522" s="18" t="n"/>
      <c r="C522" s="18" t="n"/>
      <c r="D522" s="18" t="n"/>
      <c r="E522" s="18" t="n"/>
      <c r="F522" s="18" t="n"/>
      <c r="G522">
        <f>IF(A522="","",MONTH(A522))</f>
        <v/>
      </c>
      <c r="H522">
        <f>IF(A522="","",YEAR(A522))</f>
        <v/>
      </c>
      <c r="I522">
        <f>IF(A522="","",DAY(A522))</f>
        <v/>
      </c>
    </row>
    <row r="523">
      <c r="A523" s="43" t="n"/>
      <c r="B523" s="43" t="n"/>
      <c r="C523" s="43" t="n"/>
      <c r="D523" s="43" t="n"/>
      <c r="E523" s="43" t="n"/>
      <c r="F523" s="43" t="n"/>
      <c r="G523">
        <f>IF(A523="","",MONTH(A523))</f>
        <v/>
      </c>
      <c r="H523">
        <f>IF(A523="","",YEAR(A523))</f>
        <v/>
      </c>
      <c r="I523">
        <f>IF(A523="","",DAY(A523))</f>
        <v/>
      </c>
    </row>
    <row r="524">
      <c r="A524" s="18" t="n"/>
      <c r="B524" s="18" t="n"/>
      <c r="C524" s="18" t="n"/>
      <c r="D524" s="18" t="n"/>
      <c r="E524" s="18" t="n"/>
      <c r="F524" s="18" t="n"/>
      <c r="G524">
        <f>IF(A524="","",MONTH(A524))</f>
        <v/>
      </c>
      <c r="H524">
        <f>IF(A524="","",YEAR(A524))</f>
        <v/>
      </c>
      <c r="I524">
        <f>IF(A524="","",DAY(A524))</f>
        <v/>
      </c>
    </row>
    <row r="525">
      <c r="A525" s="43" t="n"/>
      <c r="B525" s="43" t="n"/>
      <c r="C525" s="43" t="n"/>
      <c r="D525" s="43" t="n"/>
      <c r="E525" s="43" t="n"/>
      <c r="F525" s="43" t="n"/>
      <c r="G525">
        <f>IF(A525="","",MONTH(A525))</f>
        <v/>
      </c>
      <c r="H525">
        <f>IF(A525="","",YEAR(A525))</f>
        <v/>
      </c>
      <c r="I525">
        <f>IF(A525="","",DAY(A525))</f>
        <v/>
      </c>
    </row>
    <row r="526">
      <c r="A526" s="18" t="n"/>
      <c r="B526" s="18" t="n"/>
      <c r="C526" s="18" t="n"/>
      <c r="D526" s="18" t="n"/>
      <c r="E526" s="18" t="n"/>
      <c r="F526" s="18" t="n"/>
      <c r="G526">
        <f>IF(A526="","",MONTH(A526))</f>
        <v/>
      </c>
      <c r="H526">
        <f>IF(A526="","",YEAR(A526))</f>
        <v/>
      </c>
      <c r="I526">
        <f>IF(A526="","",DAY(A526))</f>
        <v/>
      </c>
    </row>
    <row r="527">
      <c r="A527" s="43" t="n"/>
      <c r="B527" s="43" t="n"/>
      <c r="C527" s="43" t="n"/>
      <c r="D527" s="43" t="n"/>
      <c r="E527" s="43" t="n"/>
      <c r="F527" s="43" t="n"/>
      <c r="G527">
        <f>IF(A527="","",MONTH(A527))</f>
        <v/>
      </c>
      <c r="H527">
        <f>IF(A527="","",YEAR(A527))</f>
        <v/>
      </c>
      <c r="I527">
        <f>IF(A527="","",DAY(A527))</f>
        <v/>
      </c>
    </row>
    <row r="528">
      <c r="A528" s="18" t="n"/>
      <c r="B528" s="18" t="n"/>
      <c r="C528" s="18" t="n"/>
      <c r="D528" s="18" t="n"/>
      <c r="E528" s="18" t="n"/>
      <c r="F528" s="18" t="n"/>
      <c r="G528">
        <f>IF(A528="","",MONTH(A528))</f>
        <v/>
      </c>
      <c r="H528">
        <f>IF(A528="","",YEAR(A528))</f>
        <v/>
      </c>
      <c r="I528">
        <f>IF(A528="","",DAY(A528))</f>
        <v/>
      </c>
    </row>
    <row r="529">
      <c r="A529" s="43" t="n"/>
      <c r="B529" s="43" t="n"/>
      <c r="C529" s="43" t="n"/>
      <c r="D529" s="43" t="n"/>
      <c r="E529" s="43" t="n"/>
      <c r="F529" s="43" t="n"/>
      <c r="G529">
        <f>IF(A529="","",MONTH(A529))</f>
        <v/>
      </c>
      <c r="H529">
        <f>IF(A529="","",YEAR(A529))</f>
        <v/>
      </c>
      <c r="I529">
        <f>IF(A529="","",DAY(A529))</f>
        <v/>
      </c>
    </row>
    <row r="530">
      <c r="A530" s="18" t="n"/>
      <c r="B530" s="18" t="n"/>
      <c r="C530" s="18" t="n"/>
      <c r="D530" s="18" t="n"/>
      <c r="E530" s="18" t="n"/>
      <c r="F530" s="18" t="n"/>
      <c r="G530">
        <f>IF(A530="","",MONTH(A530))</f>
        <v/>
      </c>
      <c r="H530">
        <f>IF(A530="","",YEAR(A530))</f>
        <v/>
      </c>
      <c r="I530">
        <f>IF(A530="","",DAY(A530))</f>
        <v/>
      </c>
    </row>
    <row r="531">
      <c r="A531" s="43" t="n"/>
      <c r="B531" s="43" t="n"/>
      <c r="C531" s="43" t="n"/>
      <c r="D531" s="43" t="n"/>
      <c r="E531" s="43" t="n"/>
      <c r="F531" s="43" t="n"/>
      <c r="G531">
        <f>IF(A531="","",MONTH(A531))</f>
        <v/>
      </c>
      <c r="H531">
        <f>IF(A531="","",YEAR(A531))</f>
        <v/>
      </c>
      <c r="I531">
        <f>IF(A531="","",DAY(A531))</f>
        <v/>
      </c>
    </row>
    <row r="532">
      <c r="A532" s="18" t="n"/>
      <c r="B532" s="18" t="n"/>
      <c r="C532" s="18" t="n"/>
      <c r="D532" s="18" t="n"/>
      <c r="E532" s="18" t="n"/>
      <c r="F532" s="18" t="n"/>
      <c r="G532">
        <f>IF(A532="","",MONTH(A532))</f>
        <v/>
      </c>
      <c r="H532">
        <f>IF(A532="","",YEAR(A532))</f>
        <v/>
      </c>
      <c r="I532">
        <f>IF(A532="","",DAY(A532))</f>
        <v/>
      </c>
    </row>
    <row r="533">
      <c r="A533" s="43" t="n"/>
      <c r="B533" s="43" t="n"/>
      <c r="C533" s="43" t="n"/>
      <c r="D533" s="43" t="n"/>
      <c r="E533" s="43" t="n"/>
      <c r="F533" s="43" t="n"/>
      <c r="G533">
        <f>IF(A533="","",MONTH(A533))</f>
        <v/>
      </c>
      <c r="H533">
        <f>IF(A533="","",YEAR(A533))</f>
        <v/>
      </c>
      <c r="I533">
        <f>IF(A533="","",DAY(A533))</f>
        <v/>
      </c>
    </row>
    <row r="534">
      <c r="A534" s="18" t="n"/>
      <c r="B534" s="18" t="n"/>
      <c r="C534" s="18" t="n"/>
      <c r="D534" s="18" t="n"/>
      <c r="E534" s="18" t="n"/>
      <c r="F534" s="18" t="n"/>
      <c r="G534">
        <f>IF(A534="","",MONTH(A534))</f>
        <v/>
      </c>
      <c r="H534">
        <f>IF(A534="","",YEAR(A534))</f>
        <v/>
      </c>
      <c r="I534">
        <f>IF(A534="","",DAY(A534))</f>
        <v/>
      </c>
    </row>
    <row r="535">
      <c r="A535" s="43" t="n"/>
      <c r="B535" s="43" t="n"/>
      <c r="C535" s="43" t="n"/>
      <c r="D535" s="43" t="n"/>
      <c r="E535" s="43" t="n"/>
      <c r="F535" s="43" t="n"/>
      <c r="G535">
        <f>IF(A535="","",MONTH(A535))</f>
        <v/>
      </c>
      <c r="H535">
        <f>IF(A535="","",YEAR(A535))</f>
        <v/>
      </c>
      <c r="I535">
        <f>IF(A535="","",DAY(A535))</f>
        <v/>
      </c>
    </row>
    <row r="536">
      <c r="A536" s="18" t="n"/>
      <c r="B536" s="18" t="n"/>
      <c r="C536" s="18" t="n"/>
      <c r="D536" s="18" t="n"/>
      <c r="E536" s="18" t="n"/>
      <c r="F536" s="18" t="n"/>
      <c r="G536">
        <f>IF(A536="","",MONTH(A536))</f>
        <v/>
      </c>
      <c r="H536">
        <f>IF(A536="","",YEAR(A536))</f>
        <v/>
      </c>
      <c r="I536">
        <f>IF(A536="","",DAY(A536))</f>
        <v/>
      </c>
    </row>
    <row r="537">
      <c r="A537" s="43" t="n"/>
      <c r="B537" s="43" t="n"/>
      <c r="C537" s="43" t="n"/>
      <c r="D537" s="43" t="n"/>
      <c r="E537" s="43" t="n"/>
      <c r="F537" s="43" t="n"/>
      <c r="G537">
        <f>IF(A537="","",MONTH(A537))</f>
        <v/>
      </c>
      <c r="H537">
        <f>IF(A537="","",YEAR(A537))</f>
        <v/>
      </c>
      <c r="I537">
        <f>IF(A537="","",DAY(A537))</f>
        <v/>
      </c>
    </row>
    <row r="538">
      <c r="A538" s="18" t="n"/>
      <c r="B538" s="18" t="n"/>
      <c r="C538" s="18" t="n"/>
      <c r="D538" s="18" t="n"/>
      <c r="E538" s="18" t="n"/>
      <c r="F538" s="18" t="n"/>
      <c r="G538">
        <f>IF(A538="","",MONTH(A538))</f>
        <v/>
      </c>
      <c r="H538">
        <f>IF(A538="","",YEAR(A538))</f>
        <v/>
      </c>
      <c r="I538">
        <f>IF(A538="","",DAY(A538))</f>
        <v/>
      </c>
    </row>
    <row r="539">
      <c r="A539" s="43" t="n"/>
      <c r="B539" s="43" t="n"/>
      <c r="C539" s="43" t="n"/>
      <c r="D539" s="43" t="n"/>
      <c r="E539" s="43" t="n"/>
      <c r="F539" s="43" t="n"/>
      <c r="G539">
        <f>IF(A539="","",MONTH(A539))</f>
        <v/>
      </c>
      <c r="H539">
        <f>IF(A539="","",YEAR(A539))</f>
        <v/>
      </c>
      <c r="I539">
        <f>IF(A539="","",DAY(A539))</f>
        <v/>
      </c>
    </row>
    <row r="540">
      <c r="A540" s="18" t="n"/>
      <c r="B540" s="18" t="n"/>
      <c r="C540" s="18" t="n"/>
      <c r="D540" s="18" t="n"/>
      <c r="E540" s="18" t="n"/>
      <c r="F540" s="18" t="n"/>
      <c r="G540">
        <f>IF(A540="","",MONTH(A540))</f>
        <v/>
      </c>
      <c r="H540">
        <f>IF(A540="","",YEAR(A540))</f>
        <v/>
      </c>
      <c r="I540">
        <f>IF(A540="","",DAY(A540))</f>
        <v/>
      </c>
    </row>
    <row r="541">
      <c r="A541" s="43" t="n"/>
      <c r="B541" s="43" t="n"/>
      <c r="C541" s="43" t="n"/>
      <c r="D541" s="43" t="n"/>
      <c r="E541" s="43" t="n"/>
      <c r="F541" s="43" t="n"/>
      <c r="G541">
        <f>IF(A541="","",MONTH(A541))</f>
        <v/>
      </c>
      <c r="H541">
        <f>IF(A541="","",YEAR(A541))</f>
        <v/>
      </c>
      <c r="I541">
        <f>IF(A541="","",DAY(A541))</f>
        <v/>
      </c>
    </row>
    <row r="542">
      <c r="A542" s="18" t="n"/>
      <c r="B542" s="18" t="n"/>
      <c r="C542" s="18" t="n"/>
      <c r="D542" s="18" t="n"/>
      <c r="E542" s="18" t="n"/>
      <c r="F542" s="18" t="n"/>
      <c r="G542">
        <f>IF(A542="","",MONTH(A542))</f>
        <v/>
      </c>
      <c r="H542">
        <f>IF(A542="","",YEAR(A542))</f>
        <v/>
      </c>
      <c r="I542">
        <f>IF(A542="","",DAY(A542))</f>
        <v/>
      </c>
    </row>
    <row r="543">
      <c r="A543" s="43" t="n"/>
      <c r="B543" s="43" t="n"/>
      <c r="C543" s="43" t="n"/>
      <c r="D543" s="43" t="n"/>
      <c r="E543" s="43" t="n"/>
      <c r="F543" s="43" t="n"/>
      <c r="G543">
        <f>IF(A543="","",MONTH(A543))</f>
        <v/>
      </c>
      <c r="H543">
        <f>IF(A543="","",YEAR(A543))</f>
        <v/>
      </c>
      <c r="I543">
        <f>IF(A543="","",DAY(A543))</f>
        <v/>
      </c>
    </row>
    <row r="544">
      <c r="A544" s="18" t="n"/>
      <c r="B544" s="18" t="n"/>
      <c r="C544" s="18" t="n"/>
      <c r="D544" s="18" t="n"/>
      <c r="E544" s="18" t="n"/>
      <c r="F544" s="18" t="n"/>
      <c r="G544">
        <f>IF(A544="","",MONTH(A544))</f>
        <v/>
      </c>
      <c r="H544">
        <f>IF(A544="","",YEAR(A544))</f>
        <v/>
      </c>
      <c r="I544">
        <f>IF(A544="","",DAY(A544))</f>
        <v/>
      </c>
    </row>
    <row r="545">
      <c r="A545" s="43" t="n"/>
      <c r="B545" s="43" t="n"/>
      <c r="C545" s="43" t="n"/>
      <c r="D545" s="43" t="n"/>
      <c r="E545" s="43" t="n"/>
      <c r="F545" s="43" t="n"/>
      <c r="G545">
        <f>IF(A545="","",MONTH(A545))</f>
        <v/>
      </c>
      <c r="H545">
        <f>IF(A545="","",YEAR(A545))</f>
        <v/>
      </c>
      <c r="I545">
        <f>IF(A545="","",DAY(A545))</f>
        <v/>
      </c>
    </row>
    <row r="546">
      <c r="A546" s="18" t="n"/>
      <c r="B546" s="18" t="n"/>
      <c r="C546" s="18" t="n"/>
      <c r="D546" s="18" t="n"/>
      <c r="E546" s="18" t="n"/>
      <c r="F546" s="18" t="n"/>
      <c r="G546">
        <f>IF(A546="","",MONTH(A546))</f>
        <v/>
      </c>
      <c r="H546">
        <f>IF(A546="","",YEAR(A546))</f>
        <v/>
      </c>
      <c r="I546">
        <f>IF(A546="","",DAY(A546))</f>
        <v/>
      </c>
    </row>
    <row r="547">
      <c r="A547" s="43" t="n"/>
      <c r="B547" s="43" t="n"/>
      <c r="C547" s="43" t="n"/>
      <c r="D547" s="43" t="n"/>
      <c r="E547" s="43" t="n"/>
      <c r="F547" s="43" t="n"/>
      <c r="G547">
        <f>IF(A547="","",MONTH(A547))</f>
        <v/>
      </c>
      <c r="H547">
        <f>IF(A547="","",YEAR(A547))</f>
        <v/>
      </c>
      <c r="I547">
        <f>IF(A547="","",DAY(A547))</f>
        <v/>
      </c>
    </row>
    <row r="548">
      <c r="A548" s="18" t="n"/>
      <c r="B548" s="18" t="n"/>
      <c r="C548" s="18" t="n"/>
      <c r="D548" s="18" t="n"/>
      <c r="E548" s="18" t="n"/>
      <c r="F548" s="18" t="n"/>
      <c r="G548">
        <f>IF(A548="","",MONTH(A548))</f>
        <v/>
      </c>
      <c r="H548">
        <f>IF(A548="","",YEAR(A548))</f>
        <v/>
      </c>
      <c r="I548">
        <f>IF(A548="","",DAY(A548))</f>
        <v/>
      </c>
    </row>
    <row r="549">
      <c r="A549" s="43" t="n"/>
      <c r="B549" s="43" t="n"/>
      <c r="C549" s="43" t="n"/>
      <c r="D549" s="43" t="n"/>
      <c r="E549" s="43" t="n"/>
      <c r="F549" s="43" t="n"/>
      <c r="G549">
        <f>IF(A549="","",MONTH(A549))</f>
        <v/>
      </c>
      <c r="H549">
        <f>IF(A549="","",YEAR(A549))</f>
        <v/>
      </c>
      <c r="I549">
        <f>IF(A549="","",DAY(A549))</f>
        <v/>
      </c>
    </row>
    <row r="550">
      <c r="A550" s="18" t="n"/>
      <c r="B550" s="18" t="n"/>
      <c r="C550" s="18" t="n"/>
      <c r="D550" s="18" t="n"/>
      <c r="E550" s="18" t="n"/>
      <c r="F550" s="18" t="n"/>
      <c r="G550">
        <f>IF(A550="","",MONTH(A550))</f>
        <v/>
      </c>
      <c r="H550">
        <f>IF(A550="","",YEAR(A550))</f>
        <v/>
      </c>
      <c r="I550">
        <f>IF(A550="","",DAY(A550))</f>
        <v/>
      </c>
    </row>
    <row r="551">
      <c r="A551" s="43" t="n"/>
      <c r="B551" s="43" t="n"/>
      <c r="C551" s="43" t="n"/>
      <c r="D551" s="43" t="n"/>
      <c r="E551" s="43" t="n"/>
      <c r="F551" s="43" t="n"/>
      <c r="G551">
        <f>IF(A551="","",MONTH(A551))</f>
        <v/>
      </c>
      <c r="H551">
        <f>IF(A551="","",YEAR(A551))</f>
        <v/>
      </c>
      <c r="I551">
        <f>IF(A551="","",DAY(A551))</f>
        <v/>
      </c>
    </row>
    <row r="552">
      <c r="A552" s="18" t="n"/>
      <c r="B552" s="18" t="n"/>
      <c r="C552" s="18" t="n"/>
      <c r="D552" s="18" t="n"/>
      <c r="E552" s="18" t="n"/>
      <c r="F552" s="18" t="n"/>
      <c r="G552">
        <f>IF(A552="","",MONTH(A552))</f>
        <v/>
      </c>
      <c r="H552">
        <f>IF(A552="","",YEAR(A552))</f>
        <v/>
      </c>
      <c r="I552">
        <f>IF(A552="","",DAY(A552))</f>
        <v/>
      </c>
    </row>
    <row r="553">
      <c r="A553" s="43" t="n"/>
      <c r="B553" s="43" t="n"/>
      <c r="C553" s="43" t="n"/>
      <c r="D553" s="43" t="n"/>
      <c r="E553" s="43" t="n"/>
      <c r="F553" s="43" t="n"/>
      <c r="G553">
        <f>IF(A553="","",MONTH(A553))</f>
        <v/>
      </c>
      <c r="H553">
        <f>IF(A553="","",YEAR(A553))</f>
        <v/>
      </c>
      <c r="I553">
        <f>IF(A553="","",DAY(A553))</f>
        <v/>
      </c>
    </row>
    <row r="554">
      <c r="A554" s="18" t="n"/>
      <c r="B554" s="18" t="n"/>
      <c r="C554" s="18" t="n"/>
      <c r="D554" s="18" t="n"/>
      <c r="E554" s="18" t="n"/>
      <c r="F554" s="18" t="n"/>
      <c r="G554">
        <f>IF(A554="","",MONTH(A554))</f>
        <v/>
      </c>
      <c r="H554">
        <f>IF(A554="","",YEAR(A554))</f>
        <v/>
      </c>
      <c r="I554">
        <f>IF(A554="","",DAY(A554))</f>
        <v/>
      </c>
    </row>
    <row r="555">
      <c r="A555" s="43" t="n"/>
      <c r="B555" s="43" t="n"/>
      <c r="C555" s="43" t="n"/>
      <c r="D555" s="43" t="n"/>
      <c r="E555" s="43" t="n"/>
      <c r="F555" s="43" t="n"/>
      <c r="G555">
        <f>IF(A555="","",MONTH(A555))</f>
        <v/>
      </c>
      <c r="H555">
        <f>IF(A555="","",YEAR(A555))</f>
        <v/>
      </c>
      <c r="I555">
        <f>IF(A555="","",DAY(A555))</f>
        <v/>
      </c>
    </row>
    <row r="556">
      <c r="A556" s="18" t="n"/>
      <c r="B556" s="18" t="n"/>
      <c r="C556" s="18" t="n"/>
      <c r="D556" s="18" t="n"/>
      <c r="E556" s="18" t="n"/>
      <c r="F556" s="18" t="n"/>
      <c r="G556">
        <f>IF(A556="","",MONTH(A556))</f>
        <v/>
      </c>
      <c r="H556">
        <f>IF(A556="","",YEAR(A556))</f>
        <v/>
      </c>
      <c r="I556">
        <f>IF(A556="","",DAY(A556))</f>
        <v/>
      </c>
    </row>
    <row r="557">
      <c r="A557" s="43" t="n"/>
      <c r="B557" s="43" t="n"/>
      <c r="C557" s="43" t="n"/>
      <c r="D557" s="43" t="n"/>
      <c r="E557" s="43" t="n"/>
      <c r="F557" s="43" t="n"/>
      <c r="G557">
        <f>IF(A557="","",MONTH(A557))</f>
        <v/>
      </c>
      <c r="H557">
        <f>IF(A557="","",YEAR(A557))</f>
        <v/>
      </c>
      <c r="I557">
        <f>IF(A557="","",DAY(A557))</f>
        <v/>
      </c>
    </row>
    <row r="558">
      <c r="A558" s="18" t="n"/>
      <c r="B558" s="18" t="n"/>
      <c r="C558" s="18" t="n"/>
      <c r="D558" s="18" t="n"/>
      <c r="E558" s="18" t="n"/>
      <c r="F558" s="18" t="n"/>
      <c r="G558">
        <f>IF(A558="","",MONTH(A558))</f>
        <v/>
      </c>
      <c r="H558">
        <f>IF(A558="","",YEAR(A558))</f>
        <v/>
      </c>
      <c r="I558">
        <f>IF(A558="","",DAY(A558))</f>
        <v/>
      </c>
    </row>
    <row r="559">
      <c r="A559" s="43" t="n"/>
      <c r="B559" s="43" t="n"/>
      <c r="C559" s="43" t="n"/>
      <c r="D559" s="43" t="n"/>
      <c r="E559" s="43" t="n"/>
      <c r="F559" s="43" t="n"/>
      <c r="G559">
        <f>IF(A559="","",MONTH(A559))</f>
        <v/>
      </c>
      <c r="H559">
        <f>IF(A559="","",YEAR(A559))</f>
        <v/>
      </c>
      <c r="I559">
        <f>IF(A559="","",DAY(A559))</f>
        <v/>
      </c>
    </row>
    <row r="560">
      <c r="A560" s="18" t="n"/>
      <c r="B560" s="18" t="n"/>
      <c r="C560" s="18" t="n"/>
      <c r="D560" s="18" t="n"/>
      <c r="E560" s="18" t="n"/>
      <c r="F560" s="18" t="n"/>
      <c r="G560">
        <f>IF(A560="","",MONTH(A560))</f>
        <v/>
      </c>
      <c r="H560">
        <f>IF(A560="","",YEAR(A560))</f>
        <v/>
      </c>
      <c r="I560">
        <f>IF(A560="","",DAY(A560))</f>
        <v/>
      </c>
    </row>
    <row r="561">
      <c r="A561" s="43" t="n"/>
      <c r="B561" s="43" t="n"/>
      <c r="C561" s="43" t="n"/>
      <c r="D561" s="43" t="n"/>
      <c r="E561" s="43" t="n"/>
      <c r="F561" s="43" t="n"/>
      <c r="G561">
        <f>IF(A561="","",MONTH(A561))</f>
        <v/>
      </c>
      <c r="H561">
        <f>IF(A561="","",YEAR(A561))</f>
        <v/>
      </c>
      <c r="I561">
        <f>IF(A561="","",DAY(A561))</f>
        <v/>
      </c>
    </row>
    <row r="562">
      <c r="A562" s="18" t="n"/>
      <c r="B562" s="18" t="n"/>
      <c r="C562" s="18" t="n"/>
      <c r="D562" s="18" t="n"/>
      <c r="E562" s="18" t="n"/>
      <c r="F562" s="18" t="n"/>
      <c r="G562">
        <f>IF(A562="","",MONTH(A562))</f>
        <v/>
      </c>
      <c r="H562">
        <f>IF(A562="","",YEAR(A562))</f>
        <v/>
      </c>
      <c r="I562">
        <f>IF(A562="","",DAY(A562))</f>
        <v/>
      </c>
    </row>
    <row r="563">
      <c r="A563" s="43" t="n"/>
      <c r="B563" s="43" t="n"/>
      <c r="C563" s="43" t="n"/>
      <c r="D563" s="43" t="n"/>
      <c r="E563" s="43" t="n"/>
      <c r="F563" s="43" t="n"/>
      <c r="G563">
        <f>IF(A563="","",MONTH(A563))</f>
        <v/>
      </c>
      <c r="H563">
        <f>IF(A563="","",YEAR(A563))</f>
        <v/>
      </c>
      <c r="I563">
        <f>IF(A563="","",DAY(A563))</f>
        <v/>
      </c>
    </row>
    <row r="564">
      <c r="A564" s="18" t="n"/>
      <c r="B564" s="18" t="n"/>
      <c r="C564" s="18" t="n"/>
      <c r="D564" s="18" t="n"/>
      <c r="E564" s="18" t="n"/>
      <c r="F564" s="18" t="n"/>
      <c r="G564">
        <f>IF(A564="","",MONTH(A564))</f>
        <v/>
      </c>
      <c r="H564">
        <f>IF(A564="","",YEAR(A564))</f>
        <v/>
      </c>
      <c r="I564">
        <f>IF(A564="","",DAY(A564))</f>
        <v/>
      </c>
    </row>
    <row r="565">
      <c r="A565" s="43" t="n"/>
      <c r="B565" s="43" t="n"/>
      <c r="C565" s="43" t="n"/>
      <c r="D565" s="43" t="n"/>
      <c r="E565" s="43" t="n"/>
      <c r="F565" s="43" t="n"/>
      <c r="G565">
        <f>IF(A565="","",MONTH(A565))</f>
        <v/>
      </c>
      <c r="H565">
        <f>IF(A565="","",YEAR(A565))</f>
        <v/>
      </c>
      <c r="I565">
        <f>IF(A565="","",DAY(A565))</f>
        <v/>
      </c>
    </row>
    <row r="566">
      <c r="A566" s="18" t="n"/>
      <c r="B566" s="18" t="n"/>
      <c r="C566" s="18" t="n"/>
      <c r="D566" s="18" t="n"/>
      <c r="E566" s="18" t="n"/>
      <c r="F566" s="18" t="n"/>
      <c r="G566">
        <f>IF(A566="","",MONTH(A566))</f>
        <v/>
      </c>
      <c r="H566">
        <f>IF(A566="","",YEAR(A566))</f>
        <v/>
      </c>
      <c r="I566">
        <f>IF(A566="","",DAY(A566))</f>
        <v/>
      </c>
    </row>
    <row r="567">
      <c r="A567" s="43" t="n"/>
      <c r="B567" s="43" t="n"/>
      <c r="C567" s="43" t="n"/>
      <c r="D567" s="43" t="n"/>
      <c r="E567" s="43" t="n"/>
      <c r="F567" s="43" t="n"/>
      <c r="G567">
        <f>IF(A567="","",MONTH(A567))</f>
        <v/>
      </c>
      <c r="H567">
        <f>IF(A567="","",YEAR(A567))</f>
        <v/>
      </c>
      <c r="I567">
        <f>IF(A567="","",DAY(A567))</f>
        <v/>
      </c>
    </row>
    <row r="568">
      <c r="A568" s="18" t="n"/>
      <c r="B568" s="18" t="n"/>
      <c r="C568" s="18" t="n"/>
      <c r="D568" s="18" t="n"/>
      <c r="E568" s="18" t="n"/>
      <c r="F568" s="18" t="n"/>
      <c r="G568">
        <f>IF(A568="","",MONTH(A568))</f>
        <v/>
      </c>
      <c r="H568">
        <f>IF(A568="","",YEAR(A568))</f>
        <v/>
      </c>
      <c r="I568">
        <f>IF(A568="","",DAY(A568))</f>
        <v/>
      </c>
    </row>
    <row r="569">
      <c r="A569" s="43" t="n"/>
      <c r="B569" s="43" t="n"/>
      <c r="C569" s="43" t="n"/>
      <c r="D569" s="43" t="n"/>
      <c r="E569" s="43" t="n"/>
      <c r="F569" s="43" t="n"/>
      <c r="G569">
        <f>IF(A569="","",MONTH(A569))</f>
        <v/>
      </c>
      <c r="H569">
        <f>IF(A569="","",YEAR(A569))</f>
        <v/>
      </c>
      <c r="I569">
        <f>IF(A569="","",DAY(A569))</f>
        <v/>
      </c>
    </row>
    <row r="570">
      <c r="A570" s="18" t="n"/>
      <c r="B570" s="18" t="n"/>
      <c r="C570" s="18" t="n"/>
      <c r="D570" s="18" t="n"/>
      <c r="E570" s="18" t="n"/>
      <c r="F570" s="18" t="n"/>
      <c r="G570">
        <f>IF(A570="","",MONTH(A570))</f>
        <v/>
      </c>
      <c r="H570">
        <f>IF(A570="","",YEAR(A570))</f>
        <v/>
      </c>
      <c r="I570">
        <f>IF(A570="","",DAY(A570))</f>
        <v/>
      </c>
    </row>
    <row r="571">
      <c r="A571" s="43" t="n"/>
      <c r="B571" s="43" t="n"/>
      <c r="C571" s="43" t="n"/>
      <c r="D571" s="43" t="n"/>
      <c r="E571" s="43" t="n"/>
      <c r="F571" s="43" t="n"/>
      <c r="G571">
        <f>IF(A571="","",MONTH(A571))</f>
        <v/>
      </c>
      <c r="H571">
        <f>IF(A571="","",YEAR(A571))</f>
        <v/>
      </c>
      <c r="I571">
        <f>IF(A571="","",DAY(A571))</f>
        <v/>
      </c>
    </row>
    <row r="572">
      <c r="A572" s="18" t="n"/>
      <c r="B572" s="18" t="n"/>
      <c r="C572" s="18" t="n"/>
      <c r="D572" s="18" t="n"/>
      <c r="E572" s="18" t="n"/>
      <c r="F572" s="18" t="n"/>
      <c r="G572">
        <f>IF(A572="","",MONTH(A572))</f>
        <v/>
      </c>
      <c r="H572">
        <f>IF(A572="","",YEAR(A572))</f>
        <v/>
      </c>
      <c r="I572">
        <f>IF(A572="","",DAY(A572))</f>
        <v/>
      </c>
    </row>
    <row r="573">
      <c r="A573" s="43" t="n"/>
      <c r="B573" s="43" t="n"/>
      <c r="C573" s="43" t="n"/>
      <c r="D573" s="43" t="n"/>
      <c r="E573" s="43" t="n"/>
      <c r="F573" s="43" t="n"/>
      <c r="G573">
        <f>IF(A573="","",MONTH(A573))</f>
        <v/>
      </c>
      <c r="H573">
        <f>IF(A573="","",YEAR(A573))</f>
        <v/>
      </c>
      <c r="I573">
        <f>IF(A573="","",DAY(A573))</f>
        <v/>
      </c>
    </row>
    <row r="574">
      <c r="A574" s="18" t="n"/>
      <c r="B574" s="18" t="n"/>
      <c r="C574" s="18" t="n"/>
      <c r="D574" s="18" t="n"/>
      <c r="E574" s="18" t="n"/>
      <c r="F574" s="18" t="n"/>
      <c r="G574">
        <f>IF(A574="","",MONTH(A574))</f>
        <v/>
      </c>
      <c r="H574">
        <f>IF(A574="","",YEAR(A574))</f>
        <v/>
      </c>
      <c r="I574">
        <f>IF(A574="","",DAY(A574))</f>
        <v/>
      </c>
    </row>
    <row r="575">
      <c r="A575" s="43" t="n"/>
      <c r="B575" s="43" t="n"/>
      <c r="C575" s="43" t="n"/>
      <c r="D575" s="43" t="n"/>
      <c r="E575" s="43" t="n"/>
      <c r="F575" s="43" t="n"/>
      <c r="G575">
        <f>IF(A575="","",MONTH(A575))</f>
        <v/>
      </c>
      <c r="H575">
        <f>IF(A575="","",YEAR(A575))</f>
        <v/>
      </c>
      <c r="I575">
        <f>IF(A575="","",DAY(A575))</f>
        <v/>
      </c>
    </row>
    <row r="576">
      <c r="A576" s="18" t="n"/>
      <c r="B576" s="18" t="n"/>
      <c r="C576" s="18" t="n"/>
      <c r="D576" s="18" t="n"/>
      <c r="E576" s="18" t="n"/>
      <c r="F576" s="18" t="n"/>
      <c r="G576">
        <f>IF(A576="","",MONTH(A576))</f>
        <v/>
      </c>
      <c r="H576">
        <f>IF(A576="","",YEAR(A576))</f>
        <v/>
      </c>
      <c r="I576">
        <f>IF(A576="","",DAY(A576))</f>
        <v/>
      </c>
    </row>
    <row r="577">
      <c r="A577" s="43" t="n"/>
      <c r="B577" s="43" t="n"/>
      <c r="C577" s="43" t="n"/>
      <c r="D577" s="43" t="n"/>
      <c r="E577" s="43" t="n"/>
      <c r="F577" s="43" t="n"/>
      <c r="G577">
        <f>IF(A577="","",MONTH(A577))</f>
        <v/>
      </c>
      <c r="H577">
        <f>IF(A577="","",YEAR(A577))</f>
        <v/>
      </c>
      <c r="I577">
        <f>IF(A577="","",DAY(A577))</f>
        <v/>
      </c>
    </row>
    <row r="578">
      <c r="A578" s="18" t="n"/>
      <c r="B578" s="18" t="n"/>
      <c r="C578" s="18" t="n"/>
      <c r="D578" s="18" t="n"/>
      <c r="E578" s="18" t="n"/>
      <c r="F578" s="18" t="n"/>
      <c r="G578">
        <f>IF(A578="","",MONTH(A578))</f>
        <v/>
      </c>
      <c r="H578">
        <f>IF(A578="","",YEAR(A578))</f>
        <v/>
      </c>
      <c r="I578">
        <f>IF(A578="","",DAY(A578))</f>
        <v/>
      </c>
    </row>
    <row r="579">
      <c r="A579" s="43" t="n"/>
      <c r="B579" s="43" t="n"/>
      <c r="C579" s="43" t="n"/>
      <c r="D579" s="43" t="n"/>
      <c r="E579" s="43" t="n"/>
      <c r="F579" s="43" t="n"/>
      <c r="G579">
        <f>IF(A579="","",MONTH(A579))</f>
        <v/>
      </c>
      <c r="H579">
        <f>IF(A579="","",YEAR(A579))</f>
        <v/>
      </c>
      <c r="I579">
        <f>IF(A579="","",DAY(A579))</f>
        <v/>
      </c>
    </row>
    <row r="580">
      <c r="A580" s="18" t="n"/>
      <c r="B580" s="18" t="n"/>
      <c r="C580" s="18" t="n"/>
      <c r="D580" s="18" t="n"/>
      <c r="E580" s="18" t="n"/>
      <c r="F580" s="18" t="n"/>
      <c r="G580">
        <f>IF(A580="","",MONTH(A580))</f>
        <v/>
      </c>
      <c r="H580">
        <f>IF(A580="","",YEAR(A580))</f>
        <v/>
      </c>
      <c r="I580">
        <f>IF(A580="","",DAY(A580))</f>
        <v/>
      </c>
    </row>
    <row r="581">
      <c r="A581" s="43" t="n"/>
      <c r="B581" s="43" t="n"/>
      <c r="C581" s="43" t="n"/>
      <c r="D581" s="43" t="n"/>
      <c r="E581" s="43" t="n"/>
      <c r="F581" s="43" t="n"/>
      <c r="G581">
        <f>IF(A581="","",MONTH(A581))</f>
        <v/>
      </c>
      <c r="H581">
        <f>IF(A581="","",YEAR(A581))</f>
        <v/>
      </c>
      <c r="I581">
        <f>IF(A581="","",DAY(A581))</f>
        <v/>
      </c>
    </row>
    <row r="582">
      <c r="A582" s="18" t="n"/>
      <c r="B582" s="18" t="n"/>
      <c r="C582" s="18" t="n"/>
      <c r="D582" s="18" t="n"/>
      <c r="E582" s="18" t="n"/>
      <c r="F582" s="18" t="n"/>
      <c r="G582">
        <f>IF(A582="","",MONTH(A582))</f>
        <v/>
      </c>
      <c r="H582">
        <f>IF(A582="","",YEAR(A582))</f>
        <v/>
      </c>
      <c r="I582">
        <f>IF(A582="","",DAY(A582))</f>
        <v/>
      </c>
    </row>
    <row r="583">
      <c r="A583" s="43" t="n"/>
      <c r="B583" s="43" t="n"/>
      <c r="C583" s="43" t="n"/>
      <c r="D583" s="43" t="n"/>
      <c r="E583" s="43" t="n"/>
      <c r="F583" s="43" t="n"/>
      <c r="G583">
        <f>IF(A583="","",MONTH(A583))</f>
        <v/>
      </c>
      <c r="H583">
        <f>IF(A583="","",YEAR(A583))</f>
        <v/>
      </c>
      <c r="I583">
        <f>IF(A583="","",DAY(A583))</f>
        <v/>
      </c>
    </row>
    <row r="584">
      <c r="A584" s="18" t="n"/>
      <c r="B584" s="18" t="n"/>
      <c r="C584" s="18" t="n"/>
      <c r="D584" s="18" t="n"/>
      <c r="E584" s="18" t="n"/>
      <c r="F584" s="18" t="n"/>
      <c r="G584">
        <f>IF(A584="","",MONTH(A584))</f>
        <v/>
      </c>
      <c r="H584">
        <f>IF(A584="","",YEAR(A584))</f>
        <v/>
      </c>
      <c r="I584">
        <f>IF(A584="","",DAY(A584))</f>
        <v/>
      </c>
    </row>
    <row r="585">
      <c r="A585" s="43" t="n"/>
      <c r="B585" s="43" t="n"/>
      <c r="C585" s="43" t="n"/>
      <c r="D585" s="43" t="n"/>
      <c r="E585" s="43" t="n"/>
      <c r="F585" s="43" t="n"/>
      <c r="G585">
        <f>IF(A585="","",MONTH(A585))</f>
        <v/>
      </c>
      <c r="H585">
        <f>IF(A585="","",YEAR(A585))</f>
        <v/>
      </c>
      <c r="I585">
        <f>IF(A585="","",DAY(A585))</f>
        <v/>
      </c>
    </row>
    <row r="586">
      <c r="A586" s="18" t="n"/>
      <c r="B586" s="18" t="n"/>
      <c r="C586" s="18" t="n"/>
      <c r="D586" s="18" t="n"/>
      <c r="E586" s="18" t="n"/>
      <c r="F586" s="18" t="n"/>
      <c r="G586">
        <f>IF(A586="","",MONTH(A586))</f>
        <v/>
      </c>
      <c r="H586">
        <f>IF(A586="","",YEAR(A586))</f>
        <v/>
      </c>
      <c r="I586">
        <f>IF(A586="","",DAY(A586))</f>
        <v/>
      </c>
    </row>
    <row r="587">
      <c r="A587" s="43" t="n"/>
      <c r="B587" s="43" t="n"/>
      <c r="C587" s="43" t="n"/>
      <c r="D587" s="43" t="n"/>
      <c r="E587" s="43" t="n"/>
      <c r="F587" s="43" t="n"/>
      <c r="G587">
        <f>IF(A587="","",MONTH(A587))</f>
        <v/>
      </c>
      <c r="H587">
        <f>IF(A587="","",YEAR(A587))</f>
        <v/>
      </c>
      <c r="I587">
        <f>IF(A587="","",DAY(A587))</f>
        <v/>
      </c>
    </row>
    <row r="588">
      <c r="A588" s="18" t="n"/>
      <c r="B588" s="18" t="n"/>
      <c r="C588" s="18" t="n"/>
      <c r="D588" s="18" t="n"/>
      <c r="E588" s="18" t="n"/>
      <c r="F588" s="18" t="n"/>
      <c r="G588">
        <f>IF(A588="","",MONTH(A588))</f>
        <v/>
      </c>
      <c r="H588">
        <f>IF(A588="","",YEAR(A588))</f>
        <v/>
      </c>
      <c r="I588">
        <f>IF(A588="","",DAY(A588))</f>
        <v/>
      </c>
    </row>
    <row r="589">
      <c r="A589" s="43" t="n"/>
      <c r="B589" s="43" t="n"/>
      <c r="C589" s="43" t="n"/>
      <c r="D589" s="43" t="n"/>
      <c r="E589" s="43" t="n"/>
      <c r="F589" s="43" t="n"/>
      <c r="G589">
        <f>IF(A589="","",MONTH(A589))</f>
        <v/>
      </c>
      <c r="H589">
        <f>IF(A589="","",YEAR(A589))</f>
        <v/>
      </c>
      <c r="I589">
        <f>IF(A589="","",DAY(A589))</f>
        <v/>
      </c>
    </row>
    <row r="590">
      <c r="A590" s="18" t="n"/>
      <c r="B590" s="18" t="n"/>
      <c r="C590" s="18" t="n"/>
      <c r="D590" s="18" t="n"/>
      <c r="E590" s="18" t="n"/>
      <c r="F590" s="18" t="n"/>
      <c r="G590">
        <f>IF(A590="","",MONTH(A590))</f>
        <v/>
      </c>
      <c r="H590">
        <f>IF(A590="","",YEAR(A590))</f>
        <v/>
      </c>
      <c r="I590">
        <f>IF(A590="","",DAY(A590))</f>
        <v/>
      </c>
    </row>
    <row r="591">
      <c r="A591" s="43" t="n"/>
      <c r="B591" s="43" t="n"/>
      <c r="C591" s="43" t="n"/>
      <c r="D591" s="43" t="n"/>
      <c r="E591" s="43" t="n"/>
      <c r="F591" s="43" t="n"/>
      <c r="G591">
        <f>IF(A591="","",MONTH(A591))</f>
        <v/>
      </c>
      <c r="H591">
        <f>IF(A591="","",YEAR(A591))</f>
        <v/>
      </c>
      <c r="I591">
        <f>IF(A591="","",DAY(A591))</f>
        <v/>
      </c>
    </row>
    <row r="592">
      <c r="A592" s="18" t="n"/>
      <c r="B592" s="18" t="n"/>
      <c r="C592" s="18" t="n"/>
      <c r="D592" s="18" t="n"/>
      <c r="E592" s="18" t="n"/>
      <c r="F592" s="18" t="n"/>
      <c r="G592">
        <f>IF(A592="","",MONTH(A592))</f>
        <v/>
      </c>
      <c r="H592">
        <f>IF(A592="","",YEAR(A592))</f>
        <v/>
      </c>
      <c r="I592">
        <f>IF(A592="","",DAY(A592))</f>
        <v/>
      </c>
    </row>
    <row r="593">
      <c r="A593" s="43" t="n"/>
      <c r="B593" s="43" t="n"/>
      <c r="C593" s="43" t="n"/>
      <c r="D593" s="43" t="n"/>
      <c r="E593" s="43" t="n"/>
      <c r="F593" s="43" t="n"/>
      <c r="G593">
        <f>IF(A593="","",MONTH(A593))</f>
        <v/>
      </c>
      <c r="H593">
        <f>IF(A593="","",YEAR(A593))</f>
        <v/>
      </c>
      <c r="I593">
        <f>IF(A593="","",DAY(A593))</f>
        <v/>
      </c>
    </row>
    <row r="594">
      <c r="A594" s="18" t="n"/>
      <c r="B594" s="18" t="n"/>
      <c r="C594" s="18" t="n"/>
      <c r="D594" s="18" t="n"/>
      <c r="E594" s="18" t="n"/>
      <c r="F594" s="18" t="n"/>
      <c r="G594">
        <f>IF(A594="","",MONTH(A594))</f>
        <v/>
      </c>
      <c r="H594">
        <f>IF(A594="","",YEAR(A594))</f>
        <v/>
      </c>
      <c r="I594">
        <f>IF(A594="","",DAY(A594))</f>
        <v/>
      </c>
    </row>
    <row r="595">
      <c r="A595" s="43" t="n"/>
      <c r="B595" s="43" t="n"/>
      <c r="C595" s="43" t="n"/>
      <c r="D595" s="43" t="n"/>
      <c r="E595" s="43" t="n"/>
      <c r="F595" s="43" t="n"/>
      <c r="G595">
        <f>IF(A595="","",MONTH(A595))</f>
        <v/>
      </c>
      <c r="H595">
        <f>IF(A595="","",YEAR(A595))</f>
        <v/>
      </c>
      <c r="I595">
        <f>IF(A595="","",DAY(A595))</f>
        <v/>
      </c>
    </row>
    <row r="596">
      <c r="A596" s="18" t="n"/>
      <c r="B596" s="18" t="n"/>
      <c r="C596" s="18" t="n"/>
      <c r="D596" s="18" t="n"/>
      <c r="E596" s="18" t="n"/>
      <c r="F596" s="18" t="n"/>
      <c r="G596">
        <f>IF(A596="","",MONTH(A596))</f>
        <v/>
      </c>
      <c r="H596">
        <f>IF(A596="","",YEAR(A596))</f>
        <v/>
      </c>
      <c r="I596">
        <f>IF(A596="","",DAY(A596))</f>
        <v/>
      </c>
    </row>
    <row r="597">
      <c r="A597" s="43" t="n"/>
      <c r="B597" s="43" t="n"/>
      <c r="C597" s="43" t="n"/>
      <c r="D597" s="43" t="n"/>
      <c r="E597" s="43" t="n"/>
      <c r="F597" s="43" t="n"/>
      <c r="G597">
        <f>IF(A597="","",MONTH(A597))</f>
        <v/>
      </c>
      <c r="H597">
        <f>IF(A597="","",YEAR(A597))</f>
        <v/>
      </c>
      <c r="I597">
        <f>IF(A597="","",DAY(A597))</f>
        <v/>
      </c>
    </row>
    <row r="598">
      <c r="A598" s="18" t="n"/>
      <c r="B598" s="18" t="n"/>
      <c r="C598" s="18" t="n"/>
      <c r="D598" s="18" t="n"/>
      <c r="E598" s="18" t="n"/>
      <c r="F598" s="18" t="n"/>
      <c r="G598">
        <f>IF(A598="","",MONTH(A598))</f>
        <v/>
      </c>
      <c r="H598">
        <f>IF(A598="","",YEAR(A598))</f>
        <v/>
      </c>
      <c r="I598">
        <f>IF(A598="","",DAY(A598))</f>
        <v/>
      </c>
    </row>
    <row r="599">
      <c r="A599" s="43" t="n"/>
      <c r="B599" s="43" t="n"/>
      <c r="C599" s="43" t="n"/>
      <c r="D599" s="43" t="n"/>
      <c r="E599" s="43" t="n"/>
      <c r="F599" s="43" t="n"/>
      <c r="G599">
        <f>IF(A599="","",MONTH(A599))</f>
        <v/>
      </c>
      <c r="H599">
        <f>IF(A599="","",YEAR(A599))</f>
        <v/>
      </c>
      <c r="I599">
        <f>IF(A599="","",DAY(A599))</f>
        <v/>
      </c>
    </row>
    <row r="600">
      <c r="A600" s="18" t="n"/>
      <c r="B600" s="18" t="n"/>
      <c r="C600" s="18" t="n"/>
      <c r="D600" s="18" t="n"/>
      <c r="E600" s="18" t="n"/>
      <c r="F600" s="18" t="n"/>
      <c r="G600">
        <f>IF(A600="","",MONTH(A600))</f>
        <v/>
      </c>
      <c r="H600">
        <f>IF(A600="","",YEAR(A600))</f>
        <v/>
      </c>
      <c r="I600">
        <f>IF(A600="","",DAY(A600))</f>
        <v/>
      </c>
    </row>
    <row r="601">
      <c r="A601" s="43" t="n"/>
      <c r="B601" s="43" t="n"/>
      <c r="C601" s="43" t="n"/>
      <c r="D601" s="43" t="n"/>
      <c r="E601" s="43" t="n"/>
      <c r="F601" s="43" t="n"/>
      <c r="G601">
        <f>IF(A601="","",MONTH(A601))</f>
        <v/>
      </c>
      <c r="H601">
        <f>IF(A601="","",YEAR(A601))</f>
        <v/>
      </c>
      <c r="I601">
        <f>IF(A601="","",DAY(A601))</f>
        <v/>
      </c>
    </row>
  </sheetData>
  <dataValidations count="3">
    <dataValidation sqref="B2:B601" showDropDown="0" showInputMessage="0" showErrorMessage="0" allowBlank="1" type="list">
      <formula1>"Income,Expense"</formula1>
    </dataValidation>
    <dataValidation sqref="C2:C601" showDropDown="0" showInputMessage="0" showErrorMessage="0" allowBlank="1" type="list">
      <formula1>CatList</formula1>
    </dataValidation>
    <dataValidation sqref="D2:D601" showDropDown="0" showInputMessage="0" showErrorMessage="0" allowBlank="1" type="list">
      <formula1>AcctList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9A7A"/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</cols>
  <sheetData>
    <row r="1">
      <c r="A1" s="29" t="inlineStr">
        <is>
          <t>Recurring Bills &amp; Subscriptions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4" t="inlineStr">
        <is>
          <t>Name</t>
        </is>
      </c>
      <c r="B2" s="44" t="inlineStr">
        <is>
          <t>Category</t>
        </is>
      </c>
      <c r="C2" s="44" t="inlineStr">
        <is>
          <t>Amount</t>
        </is>
      </c>
      <c r="D2" s="44" t="inlineStr">
        <is>
          <t>Frequency</t>
        </is>
      </c>
      <c r="E2" s="44" t="inlineStr">
        <is>
          <t>Due Day</t>
        </is>
      </c>
      <c r="F2" s="44" t="inlineStr">
        <is>
          <t>Account</t>
        </is>
      </c>
      <c r="G2" s="44" t="inlineStr">
        <is>
          <t>Status</t>
        </is>
      </c>
      <c r="H2" s="44" t="inlineStr">
        <is>
          <t>Next Due</t>
        </is>
      </c>
    </row>
    <row r="3">
      <c r="A3" s="35" t="inlineStr">
        <is>
          <t>Rent</t>
        </is>
      </c>
      <c r="B3" s="35" t="inlineStr">
        <is>
          <t>Rent/Mortgage</t>
        </is>
      </c>
      <c r="C3" s="35" t="n">
        <v>1500</v>
      </c>
      <c r="D3" s="35" t="inlineStr">
        <is>
          <t>Monthly</t>
        </is>
      </c>
      <c r="E3" s="35" t="n">
        <v>1</v>
      </c>
      <c r="F3" s="35" t="inlineStr">
        <is>
          <t>Checking</t>
        </is>
      </c>
      <c r="G3" s="38" t="inlineStr">
        <is>
          <t>Unpaid</t>
        </is>
      </c>
      <c r="H3" s="35" t="inlineStr">
        <is>
          <t>2026-02-01</t>
        </is>
      </c>
    </row>
    <row r="4">
      <c r="A4" s="35" t="inlineStr">
        <is>
          <t>Netflix</t>
        </is>
      </c>
      <c r="B4" s="35" t="inlineStr">
        <is>
          <t>Subscriptions</t>
        </is>
      </c>
      <c r="C4" s="35" t="n">
        <v>16</v>
      </c>
      <c r="D4" s="35" t="inlineStr">
        <is>
          <t>Monthly</t>
        </is>
      </c>
      <c r="E4" s="35" t="n">
        <v>5</v>
      </c>
      <c r="F4" s="35" t="inlineStr">
        <is>
          <t>Credit Card</t>
        </is>
      </c>
      <c r="G4" s="38" t="inlineStr">
        <is>
          <t>Paid</t>
        </is>
      </c>
      <c r="H4" s="35" t="inlineStr">
        <is>
          <t>2026-02-05</t>
        </is>
      </c>
    </row>
    <row r="5">
      <c r="A5" s="35" t="inlineStr">
        <is>
          <t>Gym</t>
        </is>
      </c>
      <c r="B5" s="35" t="inlineStr">
        <is>
          <t>Gym/Fitness</t>
        </is>
      </c>
      <c r="C5" s="35" t="n">
        <v>50</v>
      </c>
      <c r="D5" s="35" t="inlineStr">
        <is>
          <t>Monthly</t>
        </is>
      </c>
      <c r="E5" s="35" t="n">
        <v>3</v>
      </c>
      <c r="F5" s="35" t="inlineStr">
        <is>
          <t>Credit Card</t>
        </is>
      </c>
      <c r="G5" s="38" t="inlineStr">
        <is>
          <t>Paid</t>
        </is>
      </c>
      <c r="H5" s="35" t="inlineStr">
        <is>
          <t>2026-02-03</t>
        </is>
      </c>
    </row>
    <row r="6">
      <c r="A6" s="35" t="inlineStr">
        <is>
          <t>Phone</t>
        </is>
      </c>
      <c r="B6" s="35" t="inlineStr">
        <is>
          <t>Phone</t>
        </is>
      </c>
      <c r="C6" s="35" t="n">
        <v>80</v>
      </c>
      <c r="D6" s="35" t="inlineStr">
        <is>
          <t>Monthly</t>
        </is>
      </c>
      <c r="E6" s="35" t="n">
        <v>10</v>
      </c>
      <c r="F6" s="35" t="inlineStr">
        <is>
          <t>Checking</t>
        </is>
      </c>
      <c r="G6" s="38" t="inlineStr">
        <is>
          <t>Unpaid</t>
        </is>
      </c>
      <c r="H6" s="35" t="inlineStr">
        <is>
          <t>2026-02-10</t>
        </is>
      </c>
    </row>
    <row r="7">
      <c r="A7" s="35" t="inlineStr">
        <is>
          <t>Internet</t>
        </is>
      </c>
      <c r="B7" s="35" t="inlineStr">
        <is>
          <t>Internet</t>
        </is>
      </c>
      <c r="C7" s="35" t="n">
        <v>60</v>
      </c>
      <c r="D7" s="35" t="inlineStr">
        <is>
          <t>Monthly</t>
        </is>
      </c>
      <c r="E7" s="35" t="n">
        <v>15</v>
      </c>
      <c r="F7" s="35" t="inlineStr">
        <is>
          <t>Checking</t>
        </is>
      </c>
      <c r="G7" s="38" t="inlineStr">
        <is>
          <t>Unpaid</t>
        </is>
      </c>
      <c r="H7" s="35" t="inlineStr">
        <is>
          <t>2026-02-15</t>
        </is>
      </c>
    </row>
    <row r="8">
      <c r="A8" s="35" t="inlineStr">
        <is>
          <t>Car Insurance</t>
        </is>
      </c>
      <c r="B8" s="35" t="inlineStr">
        <is>
          <t>Insurance</t>
        </is>
      </c>
      <c r="C8" s="35" t="n">
        <v>120</v>
      </c>
      <c r="D8" s="35" t="inlineStr">
        <is>
          <t>Monthly</t>
        </is>
      </c>
      <c r="E8" s="35" t="n">
        <v>20</v>
      </c>
      <c r="F8" s="35" t="inlineStr">
        <is>
          <t>Checking</t>
        </is>
      </c>
      <c r="G8" s="38" t="inlineStr">
        <is>
          <t>Unpaid</t>
        </is>
      </c>
      <c r="H8" s="35" t="inlineStr">
        <is>
          <t>2026-02-20</t>
        </is>
      </c>
    </row>
    <row r="9">
      <c r="A9" s="35" t="inlineStr">
        <is>
          <t>Spotify</t>
        </is>
      </c>
      <c r="B9" s="35" t="inlineStr">
        <is>
          <t>Subscriptions</t>
        </is>
      </c>
      <c r="C9" s="35" t="n">
        <v>10</v>
      </c>
      <c r="D9" s="35" t="inlineStr">
        <is>
          <t>Monthly</t>
        </is>
      </c>
      <c r="E9" s="35" t="n">
        <v>8</v>
      </c>
      <c r="F9" s="35" t="inlineStr">
        <is>
          <t>Credit Card</t>
        </is>
      </c>
      <c r="G9" s="38" t="inlineStr">
        <is>
          <t>Paid</t>
        </is>
      </c>
      <c r="H9" s="35" t="inlineStr">
        <is>
          <t>2026-02-08</t>
        </is>
      </c>
    </row>
    <row r="10">
      <c r="A10" s="35" t="inlineStr">
        <is>
          <t>Amazon Prime</t>
        </is>
      </c>
      <c r="B10" s="35" t="inlineStr">
        <is>
          <t>Subscriptions</t>
        </is>
      </c>
      <c r="C10" s="35" t="n">
        <v>15</v>
      </c>
      <c r="D10" s="35" t="inlineStr">
        <is>
          <t>Monthly</t>
        </is>
      </c>
      <c r="E10" s="35" t="n">
        <v>12</v>
      </c>
      <c r="F10" s="35" t="inlineStr">
        <is>
          <t>Credit Card</t>
        </is>
      </c>
      <c r="G10" s="38" t="inlineStr">
        <is>
          <t>Unpaid</t>
        </is>
      </c>
      <c r="H10" s="35" t="inlineStr">
        <is>
          <t>2026-02-12</t>
        </is>
      </c>
    </row>
    <row r="11">
      <c r="A11" s="35" t="inlineStr">
        <is>
          <t>Health Ins</t>
        </is>
      </c>
      <c r="B11" s="35" t="inlineStr">
        <is>
          <t>Insurance</t>
        </is>
      </c>
      <c r="C11" s="35" t="n">
        <v>200</v>
      </c>
      <c r="D11" s="35" t="inlineStr">
        <is>
          <t>Monthly</t>
        </is>
      </c>
      <c r="E11" s="35" t="n">
        <v>25</v>
      </c>
      <c r="F11" s="35" t="inlineStr">
        <is>
          <t>Checking</t>
        </is>
      </c>
      <c r="G11" s="38" t="inlineStr">
        <is>
          <t>Unpaid</t>
        </is>
      </c>
      <c r="H11" s="35" t="inlineStr">
        <is>
          <t>2026-02-25</t>
        </is>
      </c>
    </row>
    <row r="12">
      <c r="A12" s="35" t="inlineStr">
        <is>
          <t>Electric Bill</t>
        </is>
      </c>
      <c r="B12" s="35" t="inlineStr">
        <is>
          <t>Utilities</t>
        </is>
      </c>
      <c r="C12" s="35" t="n">
        <v>80</v>
      </c>
      <c r="D12" s="35" t="inlineStr">
        <is>
          <t>Monthly</t>
        </is>
      </c>
      <c r="E12" s="35" t="n">
        <v>18</v>
      </c>
      <c r="F12" s="35" t="inlineStr">
        <is>
          <t>Checking</t>
        </is>
      </c>
      <c r="G12" s="38" t="inlineStr">
        <is>
          <t>Overdue</t>
        </is>
      </c>
      <c r="H12" s="35" t="inlineStr">
        <is>
          <t>2026-01-18</t>
        </is>
      </c>
    </row>
    <row r="13">
      <c r="A13" s="35" t="inlineStr"/>
      <c r="B13" s="35" t="inlineStr"/>
      <c r="C13" s="35" t="inlineStr"/>
      <c r="D13" s="35" t="inlineStr"/>
      <c r="E13" s="35" t="inlineStr"/>
      <c r="F13" s="35" t="inlineStr"/>
      <c r="G13" s="38" t="inlineStr"/>
      <c r="H13" s="35" t="inlineStr"/>
    </row>
    <row r="14">
      <c r="A14" s="35" t="inlineStr"/>
      <c r="B14" s="35" t="inlineStr"/>
      <c r="C14" s="35" t="inlineStr"/>
      <c r="D14" s="35" t="inlineStr"/>
      <c r="E14" s="35" t="inlineStr"/>
      <c r="F14" s="35" t="inlineStr"/>
      <c r="G14" s="38" t="inlineStr"/>
      <c r="H14" s="35" t="inlineStr"/>
    </row>
    <row r="15">
      <c r="A15" s="35" t="inlineStr"/>
      <c r="B15" s="35" t="inlineStr"/>
      <c r="C15" s="35" t="inlineStr"/>
      <c r="D15" s="35" t="inlineStr"/>
      <c r="E15" s="35" t="inlineStr"/>
      <c r="F15" s="35" t="inlineStr"/>
      <c r="G15" s="38" t="inlineStr"/>
      <c r="H15" s="35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  <c r="G16" s="38" t="inlineStr"/>
      <c r="H16" s="35" t="inlineStr"/>
    </row>
    <row r="17">
      <c r="A17" s="35" t="inlineStr"/>
      <c r="B17" s="35" t="inlineStr"/>
      <c r="C17" s="35" t="inlineStr"/>
      <c r="D17" s="35" t="inlineStr"/>
      <c r="E17" s="35" t="inlineStr"/>
      <c r="F17" s="35" t="inlineStr"/>
      <c r="G17" s="38" t="inlineStr"/>
      <c r="H17" s="35" t="inlineStr"/>
    </row>
    <row r="18">
      <c r="A18" s="35" t="inlineStr"/>
      <c r="B18" s="35" t="inlineStr"/>
      <c r="C18" s="35" t="inlineStr"/>
      <c r="D18" s="35" t="inlineStr"/>
      <c r="E18" s="35" t="inlineStr"/>
      <c r="F18" s="35" t="inlineStr"/>
      <c r="G18" s="38" t="inlineStr"/>
      <c r="H18" s="35" t="inlineStr"/>
    </row>
    <row r="19">
      <c r="A19" s="35" t="inlineStr"/>
      <c r="B19" s="35" t="inlineStr"/>
      <c r="C19" s="35" t="inlineStr"/>
      <c r="D19" s="35" t="inlineStr"/>
      <c r="E19" s="35" t="inlineStr"/>
      <c r="F19" s="35" t="inlineStr"/>
      <c r="G19" s="38" t="inlineStr"/>
      <c r="H19" s="35" t="inlineStr"/>
    </row>
    <row r="20">
      <c r="A20" s="35" t="inlineStr"/>
      <c r="B20" s="35" t="inlineStr"/>
      <c r="C20" s="35" t="inlineStr"/>
      <c r="D20" s="35" t="inlineStr"/>
      <c r="E20" s="35" t="inlineStr"/>
      <c r="F20" s="35" t="inlineStr"/>
      <c r="G20" s="38" t="inlineStr"/>
      <c r="H20" s="35" t="inlineStr"/>
    </row>
    <row r="21">
      <c r="A21" s="35" t="inlineStr"/>
      <c r="B21" s="35" t="inlineStr"/>
      <c r="C21" s="35" t="inlineStr"/>
      <c r="D21" s="35" t="inlineStr"/>
      <c r="E21" s="35" t="inlineStr"/>
      <c r="F21" s="35" t="inlineStr"/>
      <c r="G21" s="38" t="inlineStr"/>
      <c r="H21" s="35" t="inlineStr"/>
    </row>
    <row r="22">
      <c r="A22" s="35" t="inlineStr"/>
      <c r="B22" s="35" t="inlineStr"/>
      <c r="C22" s="35" t="inlineStr"/>
      <c r="D22" s="35" t="inlineStr"/>
      <c r="E22" s="35" t="inlineStr"/>
      <c r="F22" s="35" t="inlineStr"/>
      <c r="G22" s="38" t="inlineStr"/>
      <c r="H22" s="35" t="inlineStr"/>
    </row>
    <row r="23">
      <c r="A23" s="35" t="inlineStr"/>
      <c r="B23" s="35" t="inlineStr"/>
      <c r="C23" s="35" t="inlineStr"/>
      <c r="D23" s="35" t="inlineStr"/>
      <c r="E23" s="35" t="inlineStr"/>
      <c r="F23" s="35" t="inlineStr"/>
      <c r="G23" s="38" t="inlineStr"/>
      <c r="H23" s="35" t="inlineStr"/>
    </row>
    <row r="24">
      <c r="A24" s="35" t="inlineStr"/>
      <c r="B24" s="35" t="inlineStr"/>
      <c r="C24" s="35" t="inlineStr"/>
      <c r="D24" s="35" t="inlineStr"/>
      <c r="E24" s="35" t="inlineStr"/>
      <c r="F24" s="35" t="inlineStr"/>
      <c r="G24" s="38" t="inlineStr"/>
      <c r="H24" s="35" t="inlineStr"/>
    </row>
    <row r="25">
      <c r="A25" s="35" t="inlineStr"/>
      <c r="B25" s="35" t="inlineStr"/>
      <c r="C25" s="35" t="inlineStr"/>
      <c r="D25" s="35" t="inlineStr"/>
      <c r="E25" s="35" t="inlineStr"/>
      <c r="F25" s="35" t="inlineStr"/>
      <c r="G25" s="38" t="inlineStr"/>
      <c r="H25" s="35" t="inlineStr"/>
    </row>
    <row r="26">
      <c r="A26" s="35" t="inlineStr"/>
      <c r="B26" s="35" t="inlineStr"/>
      <c r="C26" s="35" t="inlineStr"/>
      <c r="D26" s="35" t="inlineStr"/>
      <c r="E26" s="35" t="inlineStr"/>
      <c r="F26" s="35" t="inlineStr"/>
      <c r="G26" s="38" t="inlineStr"/>
      <c r="H26" s="35" t="inlineStr"/>
    </row>
    <row r="27">
      <c r="A27" s="35" t="inlineStr"/>
      <c r="B27" s="35" t="inlineStr"/>
      <c r="C27" s="35" t="inlineStr"/>
      <c r="D27" s="35" t="inlineStr"/>
      <c r="E27" s="35" t="inlineStr"/>
      <c r="F27" s="35" t="inlineStr"/>
      <c r="G27" s="38" t="inlineStr"/>
      <c r="H27" s="35" t="inlineStr"/>
    </row>
  </sheetData>
  <mergeCells count="1">
    <mergeCell ref="A1:H1"/>
  </mergeCells>
  <conditionalFormatting sqref="G3:G102">
    <cfRule type="cellIs" priority="1" operator="equal" dxfId="0">
      <formula>"Paid"</formula>
    </cfRule>
    <cfRule type="cellIs" priority="2" operator="equal" dxfId="1">
      <formula>"Unpaid"</formula>
    </cfRule>
    <cfRule type="cellIs" priority="3" operator="equal" dxfId="2">
      <formula>"Overdue"</formula>
    </cfRule>
  </conditionalFormatting>
  <dataValidations count="1">
    <dataValidation sqref="G3:G102" showDropDown="0" showInputMessage="0" showErrorMessage="0" allowBlank="1" type="list">
      <formula1>"Paid,Unpaid,Overdue"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9A7A"/>
    <outlinePr summaryBelow="1" summaryRight="1"/>
    <pageSetUpPr/>
  </sheetPr>
  <dimension ref="A1:Q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29" t="inlineStr">
        <is>
          <t>Annual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5" t="inlineStr">
        <is>
          <t>Category</t>
        </is>
      </c>
      <c r="B2" s="44" t="inlineStr">
        <is>
          <t>Jan</t>
        </is>
      </c>
      <c r="C2" s="44" t="inlineStr">
        <is>
          <t>Feb</t>
        </is>
      </c>
      <c r="D2" s="44" t="inlineStr">
        <is>
          <t>Mar</t>
        </is>
      </c>
      <c r="E2" s="44" t="inlineStr">
        <is>
          <t>Apr</t>
        </is>
      </c>
      <c r="F2" s="44" t="inlineStr">
        <is>
          <t>May</t>
        </is>
      </c>
      <c r="G2" s="44" t="inlineStr">
        <is>
          <t>Jun</t>
        </is>
      </c>
      <c r="H2" s="44" t="inlineStr">
        <is>
          <t>Jul</t>
        </is>
      </c>
      <c r="I2" s="44" t="inlineStr">
        <is>
          <t>Aug</t>
        </is>
      </c>
      <c r="J2" s="44" t="inlineStr">
        <is>
          <t>Sep</t>
        </is>
      </c>
      <c r="K2" s="44" t="inlineStr">
        <is>
          <t>Oct</t>
        </is>
      </c>
      <c r="L2" s="44" t="inlineStr">
        <is>
          <t>Nov</t>
        </is>
      </c>
      <c r="M2" s="44" t="inlineStr">
        <is>
          <t>Dec</t>
        </is>
      </c>
      <c r="N2" s="46" t="inlineStr">
        <is>
          <t>YTD</t>
        </is>
      </c>
    </row>
    <row r="3">
      <c r="A3" s="36" t="inlineStr">
        <is>
          <t>Total Income</t>
        </is>
      </c>
      <c r="B3" s="47">
        <f>IFERROR(SUMIFS(Transactions!$F$2:$F$601,Transactions!$H$2:$H$601,Settings!$B$2,Transactions!$G$2:$G$601,1,Transactions!$B$2:$B$601,"Income"),0)</f>
        <v/>
      </c>
      <c r="C3" s="47">
        <f>IFERROR(SUMIFS(Transactions!$F$2:$F$601,Transactions!$H$2:$H$601,Settings!$B$2,Transactions!$G$2:$G$601,2,Transactions!$B$2:$B$601,"Income"),0)</f>
        <v/>
      </c>
      <c r="D3" s="47">
        <f>IFERROR(SUMIFS(Transactions!$F$2:$F$601,Transactions!$H$2:$H$601,Settings!$B$2,Transactions!$G$2:$G$601,3,Transactions!$B$2:$B$601,"Income"),0)</f>
        <v/>
      </c>
      <c r="E3" s="47">
        <f>IFERROR(SUMIFS(Transactions!$F$2:$F$601,Transactions!$H$2:$H$601,Settings!$B$2,Transactions!$G$2:$G$601,4,Transactions!$B$2:$B$601,"Income"),0)</f>
        <v/>
      </c>
      <c r="F3" s="47">
        <f>IFERROR(SUMIFS(Transactions!$F$2:$F$601,Transactions!$H$2:$H$601,Settings!$B$2,Transactions!$G$2:$G$601,5,Transactions!$B$2:$B$601,"Income"),0)</f>
        <v/>
      </c>
      <c r="G3" s="47">
        <f>IFERROR(SUMIFS(Transactions!$F$2:$F$601,Transactions!$H$2:$H$601,Settings!$B$2,Transactions!$G$2:$G$601,6,Transactions!$B$2:$B$601,"Income"),0)</f>
        <v/>
      </c>
      <c r="H3" s="47">
        <f>IFERROR(SUMIFS(Transactions!$F$2:$F$601,Transactions!$H$2:$H$601,Settings!$B$2,Transactions!$G$2:$G$601,7,Transactions!$B$2:$B$601,"Income"),0)</f>
        <v/>
      </c>
      <c r="I3" s="47">
        <f>IFERROR(SUMIFS(Transactions!$F$2:$F$601,Transactions!$H$2:$H$601,Settings!$B$2,Transactions!$G$2:$G$601,8,Transactions!$B$2:$B$601,"Income"),0)</f>
        <v/>
      </c>
      <c r="J3" s="47">
        <f>IFERROR(SUMIFS(Transactions!$F$2:$F$601,Transactions!$H$2:$H$601,Settings!$B$2,Transactions!$G$2:$G$601,9,Transactions!$B$2:$B$601,"Income"),0)</f>
        <v/>
      </c>
      <c r="K3" s="47">
        <f>IFERROR(SUMIFS(Transactions!$F$2:$F$601,Transactions!$H$2:$H$601,Settings!$B$2,Transactions!$G$2:$G$601,10,Transactions!$B$2:$B$601,"Income"),0)</f>
        <v/>
      </c>
      <c r="L3" s="47">
        <f>IFERROR(SUMIFS(Transactions!$F$2:$F$601,Transactions!$H$2:$H$601,Settings!$B$2,Transactions!$G$2:$G$601,11,Transactions!$B$2:$B$601,"Income"),0)</f>
        <v/>
      </c>
      <c r="M3" s="47">
        <f>IFERROR(SUMIFS(Transactions!$F$2:$F$601,Transactions!$H$2:$H$601,Settings!$B$2,Transactions!$G$2:$G$601,12,Transactions!$B$2:$B$601,"Income"),0)</f>
        <v/>
      </c>
      <c r="N3" s="48">
        <f>IFERROR(SUM(B3:M3),0)</f>
        <v/>
      </c>
      <c r="Q3" s="34" t="inlineStr">
        <is>
          <t>Recurring Bills</t>
        </is>
      </c>
    </row>
    <row r="4">
      <c r="A4" s="36" t="inlineStr">
        <is>
          <t>Total Expenses</t>
        </is>
      </c>
      <c r="B4" s="47">
        <f>IFERROR(SUMIFS(Transactions!$F$2:$F$601,Transactions!$H$2:$H$601,Settings!$B$2,Transactions!$G$2:$G$601,1,Transactions!$B$2:$B$601,"Expense"),0)</f>
        <v/>
      </c>
      <c r="C4" s="47">
        <f>IFERROR(SUMIFS(Transactions!$F$2:$F$601,Transactions!$H$2:$H$601,Settings!$B$2,Transactions!$G$2:$G$601,2,Transactions!$B$2:$B$601,"Expense"),0)</f>
        <v/>
      </c>
      <c r="D4" s="47">
        <f>IFERROR(SUMIFS(Transactions!$F$2:$F$601,Transactions!$H$2:$H$601,Settings!$B$2,Transactions!$G$2:$G$601,3,Transactions!$B$2:$B$601,"Expense"),0)</f>
        <v/>
      </c>
      <c r="E4" s="47">
        <f>IFERROR(SUMIFS(Transactions!$F$2:$F$601,Transactions!$H$2:$H$601,Settings!$B$2,Transactions!$G$2:$G$601,4,Transactions!$B$2:$B$601,"Expense"),0)</f>
        <v/>
      </c>
      <c r="F4" s="47">
        <f>IFERROR(SUMIFS(Transactions!$F$2:$F$601,Transactions!$H$2:$H$601,Settings!$B$2,Transactions!$G$2:$G$601,5,Transactions!$B$2:$B$601,"Expense"),0)</f>
        <v/>
      </c>
      <c r="G4" s="47">
        <f>IFERROR(SUMIFS(Transactions!$F$2:$F$601,Transactions!$H$2:$H$601,Settings!$B$2,Transactions!$G$2:$G$601,6,Transactions!$B$2:$B$601,"Expense"),0)</f>
        <v/>
      </c>
      <c r="H4" s="47">
        <f>IFERROR(SUMIFS(Transactions!$F$2:$F$601,Transactions!$H$2:$H$601,Settings!$B$2,Transactions!$G$2:$G$601,7,Transactions!$B$2:$B$601,"Expense"),0)</f>
        <v/>
      </c>
      <c r="I4" s="47">
        <f>IFERROR(SUMIFS(Transactions!$F$2:$F$601,Transactions!$H$2:$H$601,Settings!$B$2,Transactions!$G$2:$G$601,8,Transactions!$B$2:$B$601,"Expense"),0)</f>
        <v/>
      </c>
      <c r="J4" s="47">
        <f>IFERROR(SUMIFS(Transactions!$F$2:$F$601,Transactions!$H$2:$H$601,Settings!$B$2,Transactions!$G$2:$G$601,9,Transactions!$B$2:$B$601,"Expense"),0)</f>
        <v/>
      </c>
      <c r="K4" s="47">
        <f>IFERROR(SUMIFS(Transactions!$F$2:$F$601,Transactions!$H$2:$H$601,Settings!$B$2,Transactions!$G$2:$G$601,10,Transactions!$B$2:$B$601,"Expense"),0)</f>
        <v/>
      </c>
      <c r="L4" s="47">
        <f>IFERROR(SUMIFS(Transactions!$F$2:$F$601,Transactions!$H$2:$H$601,Settings!$B$2,Transactions!$G$2:$G$601,11,Transactions!$B$2:$B$601,"Expense"),0)</f>
        <v/>
      </c>
      <c r="M4" s="47">
        <f>IFERROR(SUMIFS(Transactions!$F$2:$F$601,Transactions!$H$2:$H$601,Settings!$B$2,Transactions!$G$2:$G$601,12,Transactions!$B$2:$B$601,"Expense"),0)</f>
        <v/>
      </c>
      <c r="N4" s="48">
        <f>IFERROR(SUM(B4:M4),0)</f>
        <v/>
      </c>
    </row>
    <row r="5">
      <c r="A5" s="36" t="inlineStr">
        <is>
          <t>Net Savings</t>
        </is>
      </c>
      <c r="B5" s="47">
        <f>B3-B4</f>
        <v/>
      </c>
      <c r="C5" s="47">
        <f>C3-C4</f>
        <v/>
      </c>
      <c r="D5" s="47">
        <f>D3-D4</f>
        <v/>
      </c>
      <c r="E5" s="47">
        <f>E3-E4</f>
        <v/>
      </c>
      <c r="F5" s="47">
        <f>F3-F4</f>
        <v/>
      </c>
      <c r="G5" s="47">
        <f>G3-G4</f>
        <v/>
      </c>
      <c r="H5" s="47">
        <f>H3-H4</f>
        <v/>
      </c>
      <c r="I5" s="47">
        <f>I3-I4</f>
        <v/>
      </c>
      <c r="J5" s="47">
        <f>J3-J4</f>
        <v/>
      </c>
      <c r="K5" s="47">
        <f>K3-K4</f>
        <v/>
      </c>
      <c r="L5" s="47">
        <f>L3-L4</f>
        <v/>
      </c>
      <c r="M5" s="47">
        <f>M3-M4</f>
        <v/>
      </c>
      <c r="N5" s="48">
        <f>IFERROR(SUM(B5:M5),0)</f>
        <v/>
      </c>
    </row>
    <row r="7">
      <c r="A7" s="30" t="inlineStr">
        <is>
          <t>Category Actual vs Budget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O7" s="30" t="inlineStr">
        <is>
          <t>Budget/Mo</t>
        </is>
      </c>
    </row>
    <row r="8">
      <c r="A8" s="35" t="inlineStr">
        <is>
          <t>Salary</t>
        </is>
      </c>
      <c r="B8" s="47">
        <f>IFERROR(SUMIFS(Transactions!$F$2:$F$601,Transactions!$H$2:$H$601,Settings!$B$2,Transactions!$G$2:$G$601,1,Transactions!$C$2:$C$601,A8),0)</f>
        <v/>
      </c>
      <c r="C8" s="47">
        <f>IFERROR(SUMIFS(Transactions!$F$2:$F$601,Transactions!$H$2:$H$601,Settings!$B$2,Transactions!$G$2:$G$601,2,Transactions!$C$2:$C$601,A8),0)</f>
        <v/>
      </c>
      <c r="D8" s="47">
        <f>IFERROR(SUMIFS(Transactions!$F$2:$F$601,Transactions!$H$2:$H$601,Settings!$B$2,Transactions!$G$2:$G$601,3,Transactions!$C$2:$C$601,A8),0)</f>
        <v/>
      </c>
      <c r="E8" s="47">
        <f>IFERROR(SUMIFS(Transactions!$F$2:$F$601,Transactions!$H$2:$H$601,Settings!$B$2,Transactions!$G$2:$G$601,4,Transactions!$C$2:$C$601,A8),0)</f>
        <v/>
      </c>
      <c r="F8" s="47">
        <f>IFERROR(SUMIFS(Transactions!$F$2:$F$601,Transactions!$H$2:$H$601,Settings!$B$2,Transactions!$G$2:$G$601,5,Transactions!$C$2:$C$601,A8),0)</f>
        <v/>
      </c>
      <c r="G8" s="47">
        <f>IFERROR(SUMIFS(Transactions!$F$2:$F$601,Transactions!$H$2:$H$601,Settings!$B$2,Transactions!$G$2:$G$601,6,Transactions!$C$2:$C$601,A8),0)</f>
        <v/>
      </c>
      <c r="H8" s="47">
        <f>IFERROR(SUMIFS(Transactions!$F$2:$F$601,Transactions!$H$2:$H$601,Settings!$B$2,Transactions!$G$2:$G$601,7,Transactions!$C$2:$C$601,A8),0)</f>
        <v/>
      </c>
      <c r="I8" s="47">
        <f>IFERROR(SUMIFS(Transactions!$F$2:$F$601,Transactions!$H$2:$H$601,Settings!$B$2,Transactions!$G$2:$G$601,8,Transactions!$C$2:$C$601,A8),0)</f>
        <v/>
      </c>
      <c r="J8" s="47">
        <f>IFERROR(SUMIFS(Transactions!$F$2:$F$601,Transactions!$H$2:$H$601,Settings!$B$2,Transactions!$G$2:$G$601,9,Transactions!$C$2:$C$601,A8),0)</f>
        <v/>
      </c>
      <c r="K8" s="47">
        <f>IFERROR(SUMIFS(Transactions!$F$2:$F$601,Transactions!$H$2:$H$601,Settings!$B$2,Transactions!$G$2:$G$601,10,Transactions!$C$2:$C$601,A8),0)</f>
        <v/>
      </c>
      <c r="L8" s="47">
        <f>IFERROR(SUMIFS(Transactions!$F$2:$F$601,Transactions!$H$2:$H$601,Settings!$B$2,Transactions!$G$2:$G$601,11,Transactions!$C$2:$C$601,A8),0)</f>
        <v/>
      </c>
      <c r="M8" s="47">
        <f>IFERROR(SUMIFS(Transactions!$F$2:$F$601,Transactions!$H$2:$H$601,Settings!$B$2,Transactions!$G$2:$G$601,12,Transactions!$C$2:$C$601,A8),0)</f>
        <v/>
      </c>
      <c r="N8" s="48">
        <f>IFERROR(SUM(B8:M8),0)</f>
        <v/>
      </c>
      <c r="O8" s="48">
        <f>IFERROR(VLOOKUP(A8,Settings!$A$30:$C$59,3,FALSE),0)</f>
        <v/>
      </c>
    </row>
    <row r="9">
      <c r="A9" s="35" t="inlineStr">
        <is>
          <t>Partner Income</t>
        </is>
      </c>
      <c r="B9" s="47">
        <f>IFERROR(SUMIFS(Transactions!$F$2:$F$601,Transactions!$H$2:$H$601,Settings!$B$2,Transactions!$G$2:$G$601,1,Transactions!$C$2:$C$601,A9),0)</f>
        <v/>
      </c>
      <c r="C9" s="47">
        <f>IFERROR(SUMIFS(Transactions!$F$2:$F$601,Transactions!$H$2:$H$601,Settings!$B$2,Transactions!$G$2:$G$601,2,Transactions!$C$2:$C$601,A9),0)</f>
        <v/>
      </c>
      <c r="D9" s="47">
        <f>IFERROR(SUMIFS(Transactions!$F$2:$F$601,Transactions!$H$2:$H$601,Settings!$B$2,Transactions!$G$2:$G$601,3,Transactions!$C$2:$C$601,A9),0)</f>
        <v/>
      </c>
      <c r="E9" s="47">
        <f>IFERROR(SUMIFS(Transactions!$F$2:$F$601,Transactions!$H$2:$H$601,Settings!$B$2,Transactions!$G$2:$G$601,4,Transactions!$C$2:$C$601,A9),0)</f>
        <v/>
      </c>
      <c r="F9" s="47">
        <f>IFERROR(SUMIFS(Transactions!$F$2:$F$601,Transactions!$H$2:$H$601,Settings!$B$2,Transactions!$G$2:$G$601,5,Transactions!$C$2:$C$601,A9),0)</f>
        <v/>
      </c>
      <c r="G9" s="47">
        <f>IFERROR(SUMIFS(Transactions!$F$2:$F$601,Transactions!$H$2:$H$601,Settings!$B$2,Transactions!$G$2:$G$601,6,Transactions!$C$2:$C$601,A9),0)</f>
        <v/>
      </c>
      <c r="H9" s="47">
        <f>IFERROR(SUMIFS(Transactions!$F$2:$F$601,Transactions!$H$2:$H$601,Settings!$B$2,Transactions!$G$2:$G$601,7,Transactions!$C$2:$C$601,A9),0)</f>
        <v/>
      </c>
      <c r="I9" s="47">
        <f>IFERROR(SUMIFS(Transactions!$F$2:$F$601,Transactions!$H$2:$H$601,Settings!$B$2,Transactions!$G$2:$G$601,8,Transactions!$C$2:$C$601,A9),0)</f>
        <v/>
      </c>
      <c r="J9" s="47">
        <f>IFERROR(SUMIFS(Transactions!$F$2:$F$601,Transactions!$H$2:$H$601,Settings!$B$2,Transactions!$G$2:$G$601,9,Transactions!$C$2:$C$601,A9),0)</f>
        <v/>
      </c>
      <c r="K9" s="47">
        <f>IFERROR(SUMIFS(Transactions!$F$2:$F$601,Transactions!$H$2:$H$601,Settings!$B$2,Transactions!$G$2:$G$601,10,Transactions!$C$2:$C$601,A9),0)</f>
        <v/>
      </c>
      <c r="L9" s="47">
        <f>IFERROR(SUMIFS(Transactions!$F$2:$F$601,Transactions!$H$2:$H$601,Settings!$B$2,Transactions!$G$2:$G$601,11,Transactions!$C$2:$C$601,A9),0)</f>
        <v/>
      </c>
      <c r="M9" s="47">
        <f>IFERROR(SUMIFS(Transactions!$F$2:$F$601,Transactions!$H$2:$H$601,Settings!$B$2,Transactions!$G$2:$G$601,12,Transactions!$C$2:$C$601,A9),0)</f>
        <v/>
      </c>
      <c r="N9" s="48">
        <f>IFERROR(SUM(B9:M9),0)</f>
        <v/>
      </c>
      <c r="O9" s="48">
        <f>IFERROR(VLOOKUP(A9,Settings!$A$30:$C$59,3,FALSE),0)</f>
        <v/>
      </c>
    </row>
    <row r="10">
      <c r="A10" s="35" t="inlineStr">
        <is>
          <t>Freelance</t>
        </is>
      </c>
      <c r="B10" s="47">
        <f>IFERROR(SUMIFS(Transactions!$F$2:$F$601,Transactions!$H$2:$H$601,Settings!$B$2,Transactions!$G$2:$G$601,1,Transactions!$C$2:$C$601,A10),0)</f>
        <v/>
      </c>
      <c r="C10" s="47">
        <f>IFERROR(SUMIFS(Transactions!$F$2:$F$601,Transactions!$H$2:$H$601,Settings!$B$2,Transactions!$G$2:$G$601,2,Transactions!$C$2:$C$601,A10),0)</f>
        <v/>
      </c>
      <c r="D10" s="47">
        <f>IFERROR(SUMIFS(Transactions!$F$2:$F$601,Transactions!$H$2:$H$601,Settings!$B$2,Transactions!$G$2:$G$601,3,Transactions!$C$2:$C$601,A10),0)</f>
        <v/>
      </c>
      <c r="E10" s="47">
        <f>IFERROR(SUMIFS(Transactions!$F$2:$F$601,Transactions!$H$2:$H$601,Settings!$B$2,Transactions!$G$2:$G$601,4,Transactions!$C$2:$C$601,A10),0)</f>
        <v/>
      </c>
      <c r="F10" s="47">
        <f>IFERROR(SUMIFS(Transactions!$F$2:$F$601,Transactions!$H$2:$H$601,Settings!$B$2,Transactions!$G$2:$G$601,5,Transactions!$C$2:$C$601,A10),0)</f>
        <v/>
      </c>
      <c r="G10" s="47">
        <f>IFERROR(SUMIFS(Transactions!$F$2:$F$601,Transactions!$H$2:$H$601,Settings!$B$2,Transactions!$G$2:$G$601,6,Transactions!$C$2:$C$601,A10),0)</f>
        <v/>
      </c>
      <c r="H10" s="47">
        <f>IFERROR(SUMIFS(Transactions!$F$2:$F$601,Transactions!$H$2:$H$601,Settings!$B$2,Transactions!$G$2:$G$601,7,Transactions!$C$2:$C$601,A10),0)</f>
        <v/>
      </c>
      <c r="I10" s="47">
        <f>IFERROR(SUMIFS(Transactions!$F$2:$F$601,Transactions!$H$2:$H$601,Settings!$B$2,Transactions!$G$2:$G$601,8,Transactions!$C$2:$C$601,A10),0)</f>
        <v/>
      </c>
      <c r="J10" s="47">
        <f>IFERROR(SUMIFS(Transactions!$F$2:$F$601,Transactions!$H$2:$H$601,Settings!$B$2,Transactions!$G$2:$G$601,9,Transactions!$C$2:$C$601,A10),0)</f>
        <v/>
      </c>
      <c r="K10" s="47">
        <f>IFERROR(SUMIFS(Transactions!$F$2:$F$601,Transactions!$H$2:$H$601,Settings!$B$2,Transactions!$G$2:$G$601,10,Transactions!$C$2:$C$601,A10),0)</f>
        <v/>
      </c>
      <c r="L10" s="47">
        <f>IFERROR(SUMIFS(Transactions!$F$2:$F$601,Transactions!$H$2:$H$601,Settings!$B$2,Transactions!$G$2:$G$601,11,Transactions!$C$2:$C$601,A10),0)</f>
        <v/>
      </c>
      <c r="M10" s="47">
        <f>IFERROR(SUMIFS(Transactions!$F$2:$F$601,Transactions!$H$2:$H$601,Settings!$B$2,Transactions!$G$2:$G$601,12,Transactions!$C$2:$C$601,A10),0)</f>
        <v/>
      </c>
      <c r="N10" s="48">
        <f>IFERROR(SUM(B10:M10),0)</f>
        <v/>
      </c>
      <c r="O10" s="48">
        <f>IFERROR(VLOOKUP(A10,Settings!$A$30:$C$59,3,FALSE),0)</f>
        <v/>
      </c>
    </row>
    <row r="11">
      <c r="A11" s="35" t="inlineStr">
        <is>
          <t>Business</t>
        </is>
      </c>
      <c r="B11" s="47">
        <f>IFERROR(SUMIFS(Transactions!$F$2:$F$601,Transactions!$H$2:$H$601,Settings!$B$2,Transactions!$G$2:$G$601,1,Transactions!$C$2:$C$601,A11),0)</f>
        <v/>
      </c>
      <c r="C11" s="47">
        <f>IFERROR(SUMIFS(Transactions!$F$2:$F$601,Transactions!$H$2:$H$601,Settings!$B$2,Transactions!$G$2:$G$601,2,Transactions!$C$2:$C$601,A11),0)</f>
        <v/>
      </c>
      <c r="D11" s="47">
        <f>IFERROR(SUMIFS(Transactions!$F$2:$F$601,Transactions!$H$2:$H$601,Settings!$B$2,Transactions!$G$2:$G$601,3,Transactions!$C$2:$C$601,A11),0)</f>
        <v/>
      </c>
      <c r="E11" s="47">
        <f>IFERROR(SUMIFS(Transactions!$F$2:$F$601,Transactions!$H$2:$H$601,Settings!$B$2,Transactions!$G$2:$G$601,4,Transactions!$C$2:$C$601,A11),0)</f>
        <v/>
      </c>
      <c r="F11" s="47">
        <f>IFERROR(SUMIFS(Transactions!$F$2:$F$601,Transactions!$H$2:$H$601,Settings!$B$2,Transactions!$G$2:$G$601,5,Transactions!$C$2:$C$601,A11),0)</f>
        <v/>
      </c>
      <c r="G11" s="47">
        <f>IFERROR(SUMIFS(Transactions!$F$2:$F$601,Transactions!$H$2:$H$601,Settings!$B$2,Transactions!$G$2:$G$601,6,Transactions!$C$2:$C$601,A11),0)</f>
        <v/>
      </c>
      <c r="H11" s="47">
        <f>IFERROR(SUMIFS(Transactions!$F$2:$F$601,Transactions!$H$2:$H$601,Settings!$B$2,Transactions!$G$2:$G$601,7,Transactions!$C$2:$C$601,A11),0)</f>
        <v/>
      </c>
      <c r="I11" s="47">
        <f>IFERROR(SUMIFS(Transactions!$F$2:$F$601,Transactions!$H$2:$H$601,Settings!$B$2,Transactions!$G$2:$G$601,8,Transactions!$C$2:$C$601,A11),0)</f>
        <v/>
      </c>
      <c r="J11" s="47">
        <f>IFERROR(SUMIFS(Transactions!$F$2:$F$601,Transactions!$H$2:$H$601,Settings!$B$2,Transactions!$G$2:$G$601,9,Transactions!$C$2:$C$601,A11),0)</f>
        <v/>
      </c>
      <c r="K11" s="47">
        <f>IFERROR(SUMIFS(Transactions!$F$2:$F$601,Transactions!$H$2:$H$601,Settings!$B$2,Transactions!$G$2:$G$601,10,Transactions!$C$2:$C$601,A11),0)</f>
        <v/>
      </c>
      <c r="L11" s="47">
        <f>IFERROR(SUMIFS(Transactions!$F$2:$F$601,Transactions!$H$2:$H$601,Settings!$B$2,Transactions!$G$2:$G$601,11,Transactions!$C$2:$C$601,A11),0)</f>
        <v/>
      </c>
      <c r="M11" s="47">
        <f>IFERROR(SUMIFS(Transactions!$F$2:$F$601,Transactions!$H$2:$H$601,Settings!$B$2,Transactions!$G$2:$G$601,12,Transactions!$C$2:$C$601,A11),0)</f>
        <v/>
      </c>
      <c r="N11" s="48">
        <f>IFERROR(SUM(B11:M11),0)</f>
        <v/>
      </c>
      <c r="O11" s="48">
        <f>IFERROR(VLOOKUP(A11,Settings!$A$30:$C$59,3,FALSE),0)</f>
        <v/>
      </c>
    </row>
    <row r="12">
      <c r="A12" s="35" t="inlineStr">
        <is>
          <t>Investments</t>
        </is>
      </c>
      <c r="B12" s="47">
        <f>IFERROR(SUMIFS(Transactions!$F$2:$F$601,Transactions!$H$2:$H$601,Settings!$B$2,Transactions!$G$2:$G$601,1,Transactions!$C$2:$C$601,A12),0)</f>
        <v/>
      </c>
      <c r="C12" s="47">
        <f>IFERROR(SUMIFS(Transactions!$F$2:$F$601,Transactions!$H$2:$H$601,Settings!$B$2,Transactions!$G$2:$G$601,2,Transactions!$C$2:$C$601,A12),0)</f>
        <v/>
      </c>
      <c r="D12" s="47">
        <f>IFERROR(SUMIFS(Transactions!$F$2:$F$601,Transactions!$H$2:$H$601,Settings!$B$2,Transactions!$G$2:$G$601,3,Transactions!$C$2:$C$601,A12),0)</f>
        <v/>
      </c>
      <c r="E12" s="47">
        <f>IFERROR(SUMIFS(Transactions!$F$2:$F$601,Transactions!$H$2:$H$601,Settings!$B$2,Transactions!$G$2:$G$601,4,Transactions!$C$2:$C$601,A12),0)</f>
        <v/>
      </c>
      <c r="F12" s="47">
        <f>IFERROR(SUMIFS(Transactions!$F$2:$F$601,Transactions!$H$2:$H$601,Settings!$B$2,Transactions!$G$2:$G$601,5,Transactions!$C$2:$C$601,A12),0)</f>
        <v/>
      </c>
      <c r="G12" s="47">
        <f>IFERROR(SUMIFS(Transactions!$F$2:$F$601,Transactions!$H$2:$H$601,Settings!$B$2,Transactions!$G$2:$G$601,6,Transactions!$C$2:$C$601,A12),0)</f>
        <v/>
      </c>
      <c r="H12" s="47">
        <f>IFERROR(SUMIFS(Transactions!$F$2:$F$601,Transactions!$H$2:$H$601,Settings!$B$2,Transactions!$G$2:$G$601,7,Transactions!$C$2:$C$601,A12),0)</f>
        <v/>
      </c>
      <c r="I12" s="47">
        <f>IFERROR(SUMIFS(Transactions!$F$2:$F$601,Transactions!$H$2:$H$601,Settings!$B$2,Transactions!$G$2:$G$601,8,Transactions!$C$2:$C$601,A12),0)</f>
        <v/>
      </c>
      <c r="J12" s="47">
        <f>IFERROR(SUMIFS(Transactions!$F$2:$F$601,Transactions!$H$2:$H$601,Settings!$B$2,Transactions!$G$2:$G$601,9,Transactions!$C$2:$C$601,A12),0)</f>
        <v/>
      </c>
      <c r="K12" s="47">
        <f>IFERROR(SUMIFS(Transactions!$F$2:$F$601,Transactions!$H$2:$H$601,Settings!$B$2,Transactions!$G$2:$G$601,10,Transactions!$C$2:$C$601,A12),0)</f>
        <v/>
      </c>
      <c r="L12" s="47">
        <f>IFERROR(SUMIFS(Transactions!$F$2:$F$601,Transactions!$H$2:$H$601,Settings!$B$2,Transactions!$G$2:$G$601,11,Transactions!$C$2:$C$601,A12),0)</f>
        <v/>
      </c>
      <c r="M12" s="47">
        <f>IFERROR(SUMIFS(Transactions!$F$2:$F$601,Transactions!$H$2:$H$601,Settings!$B$2,Transactions!$G$2:$G$601,12,Transactions!$C$2:$C$601,A12),0)</f>
        <v/>
      </c>
      <c r="N12" s="48">
        <f>IFERROR(SUM(B12:M12),0)</f>
        <v/>
      </c>
      <c r="O12" s="48">
        <f>IFERROR(VLOOKUP(A12,Settings!$A$30:$C$59,3,FALSE),0)</f>
        <v/>
      </c>
    </row>
    <row r="13">
      <c r="A13" s="35" t="inlineStr">
        <is>
          <t>Rental Income</t>
        </is>
      </c>
      <c r="B13" s="47">
        <f>IFERROR(SUMIFS(Transactions!$F$2:$F$601,Transactions!$H$2:$H$601,Settings!$B$2,Transactions!$G$2:$G$601,1,Transactions!$C$2:$C$601,A13),0)</f>
        <v/>
      </c>
      <c r="C13" s="47">
        <f>IFERROR(SUMIFS(Transactions!$F$2:$F$601,Transactions!$H$2:$H$601,Settings!$B$2,Transactions!$G$2:$G$601,2,Transactions!$C$2:$C$601,A13),0)</f>
        <v/>
      </c>
      <c r="D13" s="47">
        <f>IFERROR(SUMIFS(Transactions!$F$2:$F$601,Transactions!$H$2:$H$601,Settings!$B$2,Transactions!$G$2:$G$601,3,Transactions!$C$2:$C$601,A13),0)</f>
        <v/>
      </c>
      <c r="E13" s="47">
        <f>IFERROR(SUMIFS(Transactions!$F$2:$F$601,Transactions!$H$2:$H$601,Settings!$B$2,Transactions!$G$2:$G$601,4,Transactions!$C$2:$C$601,A13),0)</f>
        <v/>
      </c>
      <c r="F13" s="47">
        <f>IFERROR(SUMIFS(Transactions!$F$2:$F$601,Transactions!$H$2:$H$601,Settings!$B$2,Transactions!$G$2:$G$601,5,Transactions!$C$2:$C$601,A13),0)</f>
        <v/>
      </c>
      <c r="G13" s="47">
        <f>IFERROR(SUMIFS(Transactions!$F$2:$F$601,Transactions!$H$2:$H$601,Settings!$B$2,Transactions!$G$2:$G$601,6,Transactions!$C$2:$C$601,A13),0)</f>
        <v/>
      </c>
      <c r="H13" s="47">
        <f>IFERROR(SUMIFS(Transactions!$F$2:$F$601,Transactions!$H$2:$H$601,Settings!$B$2,Transactions!$G$2:$G$601,7,Transactions!$C$2:$C$601,A13),0)</f>
        <v/>
      </c>
      <c r="I13" s="47">
        <f>IFERROR(SUMIFS(Transactions!$F$2:$F$601,Transactions!$H$2:$H$601,Settings!$B$2,Transactions!$G$2:$G$601,8,Transactions!$C$2:$C$601,A13),0)</f>
        <v/>
      </c>
      <c r="J13" s="47">
        <f>IFERROR(SUMIFS(Transactions!$F$2:$F$601,Transactions!$H$2:$H$601,Settings!$B$2,Transactions!$G$2:$G$601,9,Transactions!$C$2:$C$601,A13),0)</f>
        <v/>
      </c>
      <c r="K13" s="47">
        <f>IFERROR(SUMIFS(Transactions!$F$2:$F$601,Transactions!$H$2:$H$601,Settings!$B$2,Transactions!$G$2:$G$601,10,Transactions!$C$2:$C$601,A13),0)</f>
        <v/>
      </c>
      <c r="L13" s="47">
        <f>IFERROR(SUMIFS(Transactions!$F$2:$F$601,Transactions!$H$2:$H$601,Settings!$B$2,Transactions!$G$2:$G$601,11,Transactions!$C$2:$C$601,A13),0)</f>
        <v/>
      </c>
      <c r="M13" s="47">
        <f>IFERROR(SUMIFS(Transactions!$F$2:$F$601,Transactions!$H$2:$H$601,Settings!$B$2,Transactions!$G$2:$G$601,12,Transactions!$C$2:$C$601,A13),0)</f>
        <v/>
      </c>
      <c r="N13" s="48">
        <f>IFERROR(SUM(B13:M13),0)</f>
        <v/>
      </c>
      <c r="O13" s="48">
        <f>IFERROR(VLOOKUP(A13,Settings!$A$30:$C$59,3,FALSE),0)</f>
        <v/>
      </c>
    </row>
    <row r="14">
      <c r="A14" s="35" t="inlineStr">
        <is>
          <t>Refunds</t>
        </is>
      </c>
      <c r="B14" s="47">
        <f>IFERROR(SUMIFS(Transactions!$F$2:$F$601,Transactions!$H$2:$H$601,Settings!$B$2,Transactions!$G$2:$G$601,1,Transactions!$C$2:$C$601,A14),0)</f>
        <v/>
      </c>
      <c r="C14" s="47">
        <f>IFERROR(SUMIFS(Transactions!$F$2:$F$601,Transactions!$H$2:$H$601,Settings!$B$2,Transactions!$G$2:$G$601,2,Transactions!$C$2:$C$601,A14),0)</f>
        <v/>
      </c>
      <c r="D14" s="47">
        <f>IFERROR(SUMIFS(Transactions!$F$2:$F$601,Transactions!$H$2:$H$601,Settings!$B$2,Transactions!$G$2:$G$601,3,Transactions!$C$2:$C$601,A14),0)</f>
        <v/>
      </c>
      <c r="E14" s="47">
        <f>IFERROR(SUMIFS(Transactions!$F$2:$F$601,Transactions!$H$2:$H$601,Settings!$B$2,Transactions!$G$2:$G$601,4,Transactions!$C$2:$C$601,A14),0)</f>
        <v/>
      </c>
      <c r="F14" s="47">
        <f>IFERROR(SUMIFS(Transactions!$F$2:$F$601,Transactions!$H$2:$H$601,Settings!$B$2,Transactions!$G$2:$G$601,5,Transactions!$C$2:$C$601,A14),0)</f>
        <v/>
      </c>
      <c r="G14" s="47">
        <f>IFERROR(SUMIFS(Transactions!$F$2:$F$601,Transactions!$H$2:$H$601,Settings!$B$2,Transactions!$G$2:$G$601,6,Transactions!$C$2:$C$601,A14),0)</f>
        <v/>
      </c>
      <c r="H14" s="47">
        <f>IFERROR(SUMIFS(Transactions!$F$2:$F$601,Transactions!$H$2:$H$601,Settings!$B$2,Transactions!$G$2:$G$601,7,Transactions!$C$2:$C$601,A14),0)</f>
        <v/>
      </c>
      <c r="I14" s="47">
        <f>IFERROR(SUMIFS(Transactions!$F$2:$F$601,Transactions!$H$2:$H$601,Settings!$B$2,Transactions!$G$2:$G$601,8,Transactions!$C$2:$C$601,A14),0)</f>
        <v/>
      </c>
      <c r="J14" s="47">
        <f>IFERROR(SUMIFS(Transactions!$F$2:$F$601,Transactions!$H$2:$H$601,Settings!$B$2,Transactions!$G$2:$G$601,9,Transactions!$C$2:$C$601,A14),0)</f>
        <v/>
      </c>
      <c r="K14" s="47">
        <f>IFERROR(SUMIFS(Transactions!$F$2:$F$601,Transactions!$H$2:$H$601,Settings!$B$2,Transactions!$G$2:$G$601,10,Transactions!$C$2:$C$601,A14),0)</f>
        <v/>
      </c>
      <c r="L14" s="47">
        <f>IFERROR(SUMIFS(Transactions!$F$2:$F$601,Transactions!$H$2:$H$601,Settings!$B$2,Transactions!$G$2:$G$601,11,Transactions!$C$2:$C$601,A14),0)</f>
        <v/>
      </c>
      <c r="M14" s="47">
        <f>IFERROR(SUMIFS(Transactions!$F$2:$F$601,Transactions!$H$2:$H$601,Settings!$B$2,Transactions!$G$2:$G$601,12,Transactions!$C$2:$C$601,A14),0)</f>
        <v/>
      </c>
      <c r="N14" s="48">
        <f>IFERROR(SUM(B14:M14),0)</f>
        <v/>
      </c>
      <c r="O14" s="48">
        <f>IFERROR(VLOOKUP(A14,Settings!$A$30:$C$59,3,FALSE),0)</f>
        <v/>
      </c>
    </row>
    <row r="15">
      <c r="A15" s="35" t="inlineStr">
        <is>
          <t>Other Income</t>
        </is>
      </c>
      <c r="B15" s="47">
        <f>IFERROR(SUMIFS(Transactions!$F$2:$F$601,Transactions!$H$2:$H$601,Settings!$B$2,Transactions!$G$2:$G$601,1,Transactions!$C$2:$C$601,A15),0)</f>
        <v/>
      </c>
      <c r="C15" s="47">
        <f>IFERROR(SUMIFS(Transactions!$F$2:$F$601,Transactions!$H$2:$H$601,Settings!$B$2,Transactions!$G$2:$G$601,2,Transactions!$C$2:$C$601,A15),0)</f>
        <v/>
      </c>
      <c r="D15" s="47">
        <f>IFERROR(SUMIFS(Transactions!$F$2:$F$601,Transactions!$H$2:$H$601,Settings!$B$2,Transactions!$G$2:$G$601,3,Transactions!$C$2:$C$601,A15),0)</f>
        <v/>
      </c>
      <c r="E15" s="47">
        <f>IFERROR(SUMIFS(Transactions!$F$2:$F$601,Transactions!$H$2:$H$601,Settings!$B$2,Transactions!$G$2:$G$601,4,Transactions!$C$2:$C$601,A15),0)</f>
        <v/>
      </c>
      <c r="F15" s="47">
        <f>IFERROR(SUMIFS(Transactions!$F$2:$F$601,Transactions!$H$2:$H$601,Settings!$B$2,Transactions!$G$2:$G$601,5,Transactions!$C$2:$C$601,A15),0)</f>
        <v/>
      </c>
      <c r="G15" s="47">
        <f>IFERROR(SUMIFS(Transactions!$F$2:$F$601,Transactions!$H$2:$H$601,Settings!$B$2,Transactions!$G$2:$G$601,6,Transactions!$C$2:$C$601,A15),0)</f>
        <v/>
      </c>
      <c r="H15" s="47">
        <f>IFERROR(SUMIFS(Transactions!$F$2:$F$601,Transactions!$H$2:$H$601,Settings!$B$2,Transactions!$G$2:$G$601,7,Transactions!$C$2:$C$601,A15),0)</f>
        <v/>
      </c>
      <c r="I15" s="47">
        <f>IFERROR(SUMIFS(Transactions!$F$2:$F$601,Transactions!$H$2:$H$601,Settings!$B$2,Transactions!$G$2:$G$601,8,Transactions!$C$2:$C$601,A15),0)</f>
        <v/>
      </c>
      <c r="J15" s="47">
        <f>IFERROR(SUMIFS(Transactions!$F$2:$F$601,Transactions!$H$2:$H$601,Settings!$B$2,Transactions!$G$2:$G$601,9,Transactions!$C$2:$C$601,A15),0)</f>
        <v/>
      </c>
      <c r="K15" s="47">
        <f>IFERROR(SUMIFS(Transactions!$F$2:$F$601,Transactions!$H$2:$H$601,Settings!$B$2,Transactions!$G$2:$G$601,10,Transactions!$C$2:$C$601,A15),0)</f>
        <v/>
      </c>
      <c r="L15" s="47">
        <f>IFERROR(SUMIFS(Transactions!$F$2:$F$601,Transactions!$H$2:$H$601,Settings!$B$2,Transactions!$G$2:$G$601,11,Transactions!$C$2:$C$601,A15),0)</f>
        <v/>
      </c>
      <c r="M15" s="47">
        <f>IFERROR(SUMIFS(Transactions!$F$2:$F$601,Transactions!$H$2:$H$601,Settings!$B$2,Transactions!$G$2:$G$601,12,Transactions!$C$2:$C$601,A15),0)</f>
        <v/>
      </c>
      <c r="N15" s="48">
        <f>IFERROR(SUM(B15:M15),0)</f>
        <v/>
      </c>
      <c r="O15" s="48">
        <f>IFERROR(VLOOKUP(A15,Settings!$A$30:$C$59,3,FALSE),0)</f>
        <v/>
      </c>
    </row>
    <row r="16">
      <c r="A16" s="35" t="inlineStr">
        <is>
          <t>Rent/Mortgage</t>
        </is>
      </c>
      <c r="B16" s="47">
        <f>IFERROR(SUMIFS(Transactions!$F$2:$F$601,Transactions!$H$2:$H$601,Settings!$B$2,Transactions!$G$2:$G$601,1,Transactions!$C$2:$C$601,A16),0)</f>
        <v/>
      </c>
      <c r="C16" s="47">
        <f>IFERROR(SUMIFS(Transactions!$F$2:$F$601,Transactions!$H$2:$H$601,Settings!$B$2,Transactions!$G$2:$G$601,2,Transactions!$C$2:$C$601,A16),0)</f>
        <v/>
      </c>
      <c r="D16" s="47">
        <f>IFERROR(SUMIFS(Transactions!$F$2:$F$601,Transactions!$H$2:$H$601,Settings!$B$2,Transactions!$G$2:$G$601,3,Transactions!$C$2:$C$601,A16),0)</f>
        <v/>
      </c>
      <c r="E16" s="47">
        <f>IFERROR(SUMIFS(Transactions!$F$2:$F$601,Transactions!$H$2:$H$601,Settings!$B$2,Transactions!$G$2:$G$601,4,Transactions!$C$2:$C$601,A16),0)</f>
        <v/>
      </c>
      <c r="F16" s="47">
        <f>IFERROR(SUMIFS(Transactions!$F$2:$F$601,Transactions!$H$2:$H$601,Settings!$B$2,Transactions!$G$2:$G$601,5,Transactions!$C$2:$C$601,A16),0)</f>
        <v/>
      </c>
      <c r="G16" s="47">
        <f>IFERROR(SUMIFS(Transactions!$F$2:$F$601,Transactions!$H$2:$H$601,Settings!$B$2,Transactions!$G$2:$G$601,6,Transactions!$C$2:$C$601,A16),0)</f>
        <v/>
      </c>
      <c r="H16" s="47">
        <f>IFERROR(SUMIFS(Transactions!$F$2:$F$601,Transactions!$H$2:$H$601,Settings!$B$2,Transactions!$G$2:$G$601,7,Transactions!$C$2:$C$601,A16),0)</f>
        <v/>
      </c>
      <c r="I16" s="47">
        <f>IFERROR(SUMIFS(Transactions!$F$2:$F$601,Transactions!$H$2:$H$601,Settings!$B$2,Transactions!$G$2:$G$601,8,Transactions!$C$2:$C$601,A16),0)</f>
        <v/>
      </c>
      <c r="J16" s="47">
        <f>IFERROR(SUMIFS(Transactions!$F$2:$F$601,Transactions!$H$2:$H$601,Settings!$B$2,Transactions!$G$2:$G$601,9,Transactions!$C$2:$C$601,A16),0)</f>
        <v/>
      </c>
      <c r="K16" s="47">
        <f>IFERROR(SUMIFS(Transactions!$F$2:$F$601,Transactions!$H$2:$H$601,Settings!$B$2,Transactions!$G$2:$G$601,10,Transactions!$C$2:$C$601,A16),0)</f>
        <v/>
      </c>
      <c r="L16" s="47">
        <f>IFERROR(SUMIFS(Transactions!$F$2:$F$601,Transactions!$H$2:$H$601,Settings!$B$2,Transactions!$G$2:$G$601,11,Transactions!$C$2:$C$601,A16),0)</f>
        <v/>
      </c>
      <c r="M16" s="47">
        <f>IFERROR(SUMIFS(Transactions!$F$2:$F$601,Transactions!$H$2:$H$601,Settings!$B$2,Transactions!$G$2:$G$601,12,Transactions!$C$2:$C$601,A16),0)</f>
        <v/>
      </c>
      <c r="N16" s="48">
        <f>IFERROR(SUM(B16:M16),0)</f>
        <v/>
      </c>
      <c r="O16" s="48">
        <f>IFERROR(VLOOKUP(A16,Settings!$A$30:$C$59,3,FALSE),0)</f>
        <v/>
      </c>
    </row>
    <row r="17">
      <c r="A17" s="35" t="inlineStr">
        <is>
          <t>Utilities</t>
        </is>
      </c>
      <c r="B17" s="47">
        <f>IFERROR(SUMIFS(Transactions!$F$2:$F$601,Transactions!$H$2:$H$601,Settings!$B$2,Transactions!$G$2:$G$601,1,Transactions!$C$2:$C$601,A17),0)</f>
        <v/>
      </c>
      <c r="C17" s="47">
        <f>IFERROR(SUMIFS(Transactions!$F$2:$F$601,Transactions!$H$2:$H$601,Settings!$B$2,Transactions!$G$2:$G$601,2,Transactions!$C$2:$C$601,A17),0)</f>
        <v/>
      </c>
      <c r="D17" s="47">
        <f>IFERROR(SUMIFS(Transactions!$F$2:$F$601,Transactions!$H$2:$H$601,Settings!$B$2,Transactions!$G$2:$G$601,3,Transactions!$C$2:$C$601,A17),0)</f>
        <v/>
      </c>
      <c r="E17" s="47">
        <f>IFERROR(SUMIFS(Transactions!$F$2:$F$601,Transactions!$H$2:$H$601,Settings!$B$2,Transactions!$G$2:$G$601,4,Transactions!$C$2:$C$601,A17),0)</f>
        <v/>
      </c>
      <c r="F17" s="47">
        <f>IFERROR(SUMIFS(Transactions!$F$2:$F$601,Transactions!$H$2:$H$601,Settings!$B$2,Transactions!$G$2:$G$601,5,Transactions!$C$2:$C$601,A17),0)</f>
        <v/>
      </c>
      <c r="G17" s="47">
        <f>IFERROR(SUMIFS(Transactions!$F$2:$F$601,Transactions!$H$2:$H$601,Settings!$B$2,Transactions!$G$2:$G$601,6,Transactions!$C$2:$C$601,A17),0)</f>
        <v/>
      </c>
      <c r="H17" s="47">
        <f>IFERROR(SUMIFS(Transactions!$F$2:$F$601,Transactions!$H$2:$H$601,Settings!$B$2,Transactions!$G$2:$G$601,7,Transactions!$C$2:$C$601,A17),0)</f>
        <v/>
      </c>
      <c r="I17" s="47">
        <f>IFERROR(SUMIFS(Transactions!$F$2:$F$601,Transactions!$H$2:$H$601,Settings!$B$2,Transactions!$G$2:$G$601,8,Transactions!$C$2:$C$601,A17),0)</f>
        <v/>
      </c>
      <c r="J17" s="47">
        <f>IFERROR(SUMIFS(Transactions!$F$2:$F$601,Transactions!$H$2:$H$601,Settings!$B$2,Transactions!$G$2:$G$601,9,Transactions!$C$2:$C$601,A17),0)</f>
        <v/>
      </c>
      <c r="K17" s="47">
        <f>IFERROR(SUMIFS(Transactions!$F$2:$F$601,Transactions!$H$2:$H$601,Settings!$B$2,Transactions!$G$2:$G$601,10,Transactions!$C$2:$C$601,A17),0)</f>
        <v/>
      </c>
      <c r="L17" s="47">
        <f>IFERROR(SUMIFS(Transactions!$F$2:$F$601,Transactions!$H$2:$H$601,Settings!$B$2,Transactions!$G$2:$G$601,11,Transactions!$C$2:$C$601,A17),0)</f>
        <v/>
      </c>
      <c r="M17" s="47">
        <f>IFERROR(SUMIFS(Transactions!$F$2:$F$601,Transactions!$H$2:$H$601,Settings!$B$2,Transactions!$G$2:$G$601,12,Transactions!$C$2:$C$601,A17),0)</f>
        <v/>
      </c>
      <c r="N17" s="48">
        <f>IFERROR(SUM(B17:M17),0)</f>
        <v/>
      </c>
      <c r="O17" s="48">
        <f>IFERROR(VLOOKUP(A17,Settings!$A$30:$C$59,3,FALSE),0)</f>
        <v/>
      </c>
    </row>
    <row r="18">
      <c r="A18" s="35" t="inlineStr">
        <is>
          <t>Groceries</t>
        </is>
      </c>
      <c r="B18" s="47">
        <f>IFERROR(SUMIFS(Transactions!$F$2:$F$601,Transactions!$H$2:$H$601,Settings!$B$2,Transactions!$G$2:$G$601,1,Transactions!$C$2:$C$601,A18),0)</f>
        <v/>
      </c>
      <c r="C18" s="47">
        <f>IFERROR(SUMIFS(Transactions!$F$2:$F$601,Transactions!$H$2:$H$601,Settings!$B$2,Transactions!$G$2:$G$601,2,Transactions!$C$2:$C$601,A18),0)</f>
        <v/>
      </c>
      <c r="D18" s="47">
        <f>IFERROR(SUMIFS(Transactions!$F$2:$F$601,Transactions!$H$2:$H$601,Settings!$B$2,Transactions!$G$2:$G$601,3,Transactions!$C$2:$C$601,A18),0)</f>
        <v/>
      </c>
      <c r="E18" s="47">
        <f>IFERROR(SUMIFS(Transactions!$F$2:$F$601,Transactions!$H$2:$H$601,Settings!$B$2,Transactions!$G$2:$G$601,4,Transactions!$C$2:$C$601,A18),0)</f>
        <v/>
      </c>
      <c r="F18" s="47">
        <f>IFERROR(SUMIFS(Transactions!$F$2:$F$601,Transactions!$H$2:$H$601,Settings!$B$2,Transactions!$G$2:$G$601,5,Transactions!$C$2:$C$601,A18),0)</f>
        <v/>
      </c>
      <c r="G18" s="47">
        <f>IFERROR(SUMIFS(Transactions!$F$2:$F$601,Transactions!$H$2:$H$601,Settings!$B$2,Transactions!$G$2:$G$601,6,Transactions!$C$2:$C$601,A18),0)</f>
        <v/>
      </c>
      <c r="H18" s="47">
        <f>IFERROR(SUMIFS(Transactions!$F$2:$F$601,Transactions!$H$2:$H$601,Settings!$B$2,Transactions!$G$2:$G$601,7,Transactions!$C$2:$C$601,A18),0)</f>
        <v/>
      </c>
      <c r="I18" s="47">
        <f>IFERROR(SUMIFS(Transactions!$F$2:$F$601,Transactions!$H$2:$H$601,Settings!$B$2,Transactions!$G$2:$G$601,8,Transactions!$C$2:$C$601,A18),0)</f>
        <v/>
      </c>
      <c r="J18" s="47">
        <f>IFERROR(SUMIFS(Transactions!$F$2:$F$601,Transactions!$H$2:$H$601,Settings!$B$2,Transactions!$G$2:$G$601,9,Transactions!$C$2:$C$601,A18),0)</f>
        <v/>
      </c>
      <c r="K18" s="47">
        <f>IFERROR(SUMIFS(Transactions!$F$2:$F$601,Transactions!$H$2:$H$601,Settings!$B$2,Transactions!$G$2:$G$601,10,Transactions!$C$2:$C$601,A18),0)</f>
        <v/>
      </c>
      <c r="L18" s="47">
        <f>IFERROR(SUMIFS(Transactions!$F$2:$F$601,Transactions!$H$2:$H$601,Settings!$B$2,Transactions!$G$2:$G$601,11,Transactions!$C$2:$C$601,A18),0)</f>
        <v/>
      </c>
      <c r="M18" s="47">
        <f>IFERROR(SUMIFS(Transactions!$F$2:$F$601,Transactions!$H$2:$H$601,Settings!$B$2,Transactions!$G$2:$G$601,12,Transactions!$C$2:$C$601,A18),0)</f>
        <v/>
      </c>
      <c r="N18" s="48">
        <f>IFERROR(SUM(B18:M18),0)</f>
        <v/>
      </c>
      <c r="O18" s="48">
        <f>IFERROR(VLOOKUP(A18,Settings!$A$30:$C$59,3,FALSE),0)</f>
        <v/>
      </c>
    </row>
    <row r="19">
      <c r="A19" s="35" t="inlineStr">
        <is>
          <t>Dining Out</t>
        </is>
      </c>
      <c r="B19" s="47">
        <f>IFERROR(SUMIFS(Transactions!$F$2:$F$601,Transactions!$H$2:$H$601,Settings!$B$2,Transactions!$G$2:$G$601,1,Transactions!$C$2:$C$601,A19),0)</f>
        <v/>
      </c>
      <c r="C19" s="47">
        <f>IFERROR(SUMIFS(Transactions!$F$2:$F$601,Transactions!$H$2:$H$601,Settings!$B$2,Transactions!$G$2:$G$601,2,Transactions!$C$2:$C$601,A19),0)</f>
        <v/>
      </c>
      <c r="D19" s="47">
        <f>IFERROR(SUMIFS(Transactions!$F$2:$F$601,Transactions!$H$2:$H$601,Settings!$B$2,Transactions!$G$2:$G$601,3,Transactions!$C$2:$C$601,A19),0)</f>
        <v/>
      </c>
      <c r="E19" s="47">
        <f>IFERROR(SUMIFS(Transactions!$F$2:$F$601,Transactions!$H$2:$H$601,Settings!$B$2,Transactions!$G$2:$G$601,4,Transactions!$C$2:$C$601,A19),0)</f>
        <v/>
      </c>
      <c r="F19" s="47">
        <f>IFERROR(SUMIFS(Transactions!$F$2:$F$601,Transactions!$H$2:$H$601,Settings!$B$2,Transactions!$G$2:$G$601,5,Transactions!$C$2:$C$601,A19),0)</f>
        <v/>
      </c>
      <c r="G19" s="47">
        <f>IFERROR(SUMIFS(Transactions!$F$2:$F$601,Transactions!$H$2:$H$601,Settings!$B$2,Transactions!$G$2:$G$601,6,Transactions!$C$2:$C$601,A19),0)</f>
        <v/>
      </c>
      <c r="H19" s="47">
        <f>IFERROR(SUMIFS(Transactions!$F$2:$F$601,Transactions!$H$2:$H$601,Settings!$B$2,Transactions!$G$2:$G$601,7,Transactions!$C$2:$C$601,A19),0)</f>
        <v/>
      </c>
      <c r="I19" s="47">
        <f>IFERROR(SUMIFS(Transactions!$F$2:$F$601,Transactions!$H$2:$H$601,Settings!$B$2,Transactions!$G$2:$G$601,8,Transactions!$C$2:$C$601,A19),0)</f>
        <v/>
      </c>
      <c r="J19" s="47">
        <f>IFERROR(SUMIFS(Transactions!$F$2:$F$601,Transactions!$H$2:$H$601,Settings!$B$2,Transactions!$G$2:$G$601,9,Transactions!$C$2:$C$601,A19),0)</f>
        <v/>
      </c>
      <c r="K19" s="47">
        <f>IFERROR(SUMIFS(Transactions!$F$2:$F$601,Transactions!$H$2:$H$601,Settings!$B$2,Transactions!$G$2:$G$601,10,Transactions!$C$2:$C$601,A19),0)</f>
        <v/>
      </c>
      <c r="L19" s="47">
        <f>IFERROR(SUMIFS(Transactions!$F$2:$F$601,Transactions!$H$2:$H$601,Settings!$B$2,Transactions!$G$2:$G$601,11,Transactions!$C$2:$C$601,A19),0)</f>
        <v/>
      </c>
      <c r="M19" s="47">
        <f>IFERROR(SUMIFS(Transactions!$F$2:$F$601,Transactions!$H$2:$H$601,Settings!$B$2,Transactions!$G$2:$G$601,12,Transactions!$C$2:$C$601,A19),0)</f>
        <v/>
      </c>
      <c r="N19" s="48">
        <f>IFERROR(SUM(B19:M19),0)</f>
        <v/>
      </c>
      <c r="O19" s="48">
        <f>IFERROR(VLOOKUP(A19,Settings!$A$30:$C$59,3,FALSE),0)</f>
        <v/>
      </c>
    </row>
    <row r="20">
      <c r="A20" s="35" t="inlineStr">
        <is>
          <t>Transport</t>
        </is>
      </c>
      <c r="B20" s="47">
        <f>IFERROR(SUMIFS(Transactions!$F$2:$F$601,Transactions!$H$2:$H$601,Settings!$B$2,Transactions!$G$2:$G$601,1,Transactions!$C$2:$C$601,A20),0)</f>
        <v/>
      </c>
      <c r="C20" s="47">
        <f>IFERROR(SUMIFS(Transactions!$F$2:$F$601,Transactions!$H$2:$H$601,Settings!$B$2,Transactions!$G$2:$G$601,2,Transactions!$C$2:$C$601,A20),0)</f>
        <v/>
      </c>
      <c r="D20" s="47">
        <f>IFERROR(SUMIFS(Transactions!$F$2:$F$601,Transactions!$H$2:$H$601,Settings!$B$2,Transactions!$G$2:$G$601,3,Transactions!$C$2:$C$601,A20),0)</f>
        <v/>
      </c>
      <c r="E20" s="47">
        <f>IFERROR(SUMIFS(Transactions!$F$2:$F$601,Transactions!$H$2:$H$601,Settings!$B$2,Transactions!$G$2:$G$601,4,Transactions!$C$2:$C$601,A20),0)</f>
        <v/>
      </c>
      <c r="F20" s="47">
        <f>IFERROR(SUMIFS(Transactions!$F$2:$F$601,Transactions!$H$2:$H$601,Settings!$B$2,Transactions!$G$2:$G$601,5,Transactions!$C$2:$C$601,A20),0)</f>
        <v/>
      </c>
      <c r="G20" s="47">
        <f>IFERROR(SUMIFS(Transactions!$F$2:$F$601,Transactions!$H$2:$H$601,Settings!$B$2,Transactions!$G$2:$G$601,6,Transactions!$C$2:$C$601,A20),0)</f>
        <v/>
      </c>
      <c r="H20" s="47">
        <f>IFERROR(SUMIFS(Transactions!$F$2:$F$601,Transactions!$H$2:$H$601,Settings!$B$2,Transactions!$G$2:$G$601,7,Transactions!$C$2:$C$601,A20),0)</f>
        <v/>
      </c>
      <c r="I20" s="47">
        <f>IFERROR(SUMIFS(Transactions!$F$2:$F$601,Transactions!$H$2:$H$601,Settings!$B$2,Transactions!$G$2:$G$601,8,Transactions!$C$2:$C$601,A20),0)</f>
        <v/>
      </c>
      <c r="J20" s="47">
        <f>IFERROR(SUMIFS(Transactions!$F$2:$F$601,Transactions!$H$2:$H$601,Settings!$B$2,Transactions!$G$2:$G$601,9,Transactions!$C$2:$C$601,A20),0)</f>
        <v/>
      </c>
      <c r="K20" s="47">
        <f>IFERROR(SUMIFS(Transactions!$F$2:$F$601,Transactions!$H$2:$H$601,Settings!$B$2,Transactions!$G$2:$G$601,10,Transactions!$C$2:$C$601,A20),0)</f>
        <v/>
      </c>
      <c r="L20" s="47">
        <f>IFERROR(SUMIFS(Transactions!$F$2:$F$601,Transactions!$H$2:$H$601,Settings!$B$2,Transactions!$G$2:$G$601,11,Transactions!$C$2:$C$601,A20),0)</f>
        <v/>
      </c>
      <c r="M20" s="47">
        <f>IFERROR(SUMIFS(Transactions!$F$2:$F$601,Transactions!$H$2:$H$601,Settings!$B$2,Transactions!$G$2:$G$601,12,Transactions!$C$2:$C$601,A20),0)</f>
        <v/>
      </c>
      <c r="N20" s="48">
        <f>IFERROR(SUM(B20:M20),0)</f>
        <v/>
      </c>
      <c r="O20" s="48">
        <f>IFERROR(VLOOKUP(A20,Settings!$A$30:$C$59,3,FALSE),0)</f>
        <v/>
      </c>
    </row>
    <row r="21">
      <c r="A21" s="35" t="inlineStr">
        <is>
          <t>Fuel</t>
        </is>
      </c>
      <c r="B21" s="47">
        <f>IFERROR(SUMIFS(Transactions!$F$2:$F$601,Transactions!$H$2:$H$601,Settings!$B$2,Transactions!$G$2:$G$601,1,Transactions!$C$2:$C$601,A21),0)</f>
        <v/>
      </c>
      <c r="C21" s="47">
        <f>IFERROR(SUMIFS(Transactions!$F$2:$F$601,Transactions!$H$2:$H$601,Settings!$B$2,Transactions!$G$2:$G$601,2,Transactions!$C$2:$C$601,A21),0)</f>
        <v/>
      </c>
      <c r="D21" s="47">
        <f>IFERROR(SUMIFS(Transactions!$F$2:$F$601,Transactions!$H$2:$H$601,Settings!$B$2,Transactions!$G$2:$G$601,3,Transactions!$C$2:$C$601,A21),0)</f>
        <v/>
      </c>
      <c r="E21" s="47">
        <f>IFERROR(SUMIFS(Transactions!$F$2:$F$601,Transactions!$H$2:$H$601,Settings!$B$2,Transactions!$G$2:$G$601,4,Transactions!$C$2:$C$601,A21),0)</f>
        <v/>
      </c>
      <c r="F21" s="47">
        <f>IFERROR(SUMIFS(Transactions!$F$2:$F$601,Transactions!$H$2:$H$601,Settings!$B$2,Transactions!$G$2:$G$601,5,Transactions!$C$2:$C$601,A21),0)</f>
        <v/>
      </c>
      <c r="G21" s="47">
        <f>IFERROR(SUMIFS(Transactions!$F$2:$F$601,Transactions!$H$2:$H$601,Settings!$B$2,Transactions!$G$2:$G$601,6,Transactions!$C$2:$C$601,A21),0)</f>
        <v/>
      </c>
      <c r="H21" s="47">
        <f>IFERROR(SUMIFS(Transactions!$F$2:$F$601,Transactions!$H$2:$H$601,Settings!$B$2,Transactions!$G$2:$G$601,7,Transactions!$C$2:$C$601,A21),0)</f>
        <v/>
      </c>
      <c r="I21" s="47">
        <f>IFERROR(SUMIFS(Transactions!$F$2:$F$601,Transactions!$H$2:$H$601,Settings!$B$2,Transactions!$G$2:$G$601,8,Transactions!$C$2:$C$601,A21),0)</f>
        <v/>
      </c>
      <c r="J21" s="47">
        <f>IFERROR(SUMIFS(Transactions!$F$2:$F$601,Transactions!$H$2:$H$601,Settings!$B$2,Transactions!$G$2:$G$601,9,Transactions!$C$2:$C$601,A21),0)</f>
        <v/>
      </c>
      <c r="K21" s="47">
        <f>IFERROR(SUMIFS(Transactions!$F$2:$F$601,Transactions!$H$2:$H$601,Settings!$B$2,Transactions!$G$2:$G$601,10,Transactions!$C$2:$C$601,A21),0)</f>
        <v/>
      </c>
      <c r="L21" s="47">
        <f>IFERROR(SUMIFS(Transactions!$F$2:$F$601,Transactions!$H$2:$H$601,Settings!$B$2,Transactions!$G$2:$G$601,11,Transactions!$C$2:$C$601,A21),0)</f>
        <v/>
      </c>
      <c r="M21" s="47">
        <f>IFERROR(SUMIFS(Transactions!$F$2:$F$601,Transactions!$H$2:$H$601,Settings!$B$2,Transactions!$G$2:$G$601,12,Transactions!$C$2:$C$601,A21),0)</f>
        <v/>
      </c>
      <c r="N21" s="48">
        <f>IFERROR(SUM(B21:M21),0)</f>
        <v/>
      </c>
      <c r="O21" s="48">
        <f>IFERROR(VLOOKUP(A21,Settings!$A$30:$C$59,3,FALSE),0)</f>
        <v/>
      </c>
    </row>
    <row r="22">
      <c r="A22" s="35" t="inlineStr">
        <is>
          <t>Car/Auto</t>
        </is>
      </c>
      <c r="B22" s="47">
        <f>IFERROR(SUMIFS(Transactions!$F$2:$F$601,Transactions!$H$2:$H$601,Settings!$B$2,Transactions!$G$2:$G$601,1,Transactions!$C$2:$C$601,A22),0)</f>
        <v/>
      </c>
      <c r="C22" s="47">
        <f>IFERROR(SUMIFS(Transactions!$F$2:$F$601,Transactions!$H$2:$H$601,Settings!$B$2,Transactions!$G$2:$G$601,2,Transactions!$C$2:$C$601,A22),0)</f>
        <v/>
      </c>
      <c r="D22" s="47">
        <f>IFERROR(SUMIFS(Transactions!$F$2:$F$601,Transactions!$H$2:$H$601,Settings!$B$2,Transactions!$G$2:$G$601,3,Transactions!$C$2:$C$601,A22),0)</f>
        <v/>
      </c>
      <c r="E22" s="47">
        <f>IFERROR(SUMIFS(Transactions!$F$2:$F$601,Transactions!$H$2:$H$601,Settings!$B$2,Transactions!$G$2:$G$601,4,Transactions!$C$2:$C$601,A22),0)</f>
        <v/>
      </c>
      <c r="F22" s="47">
        <f>IFERROR(SUMIFS(Transactions!$F$2:$F$601,Transactions!$H$2:$H$601,Settings!$B$2,Transactions!$G$2:$G$601,5,Transactions!$C$2:$C$601,A22),0)</f>
        <v/>
      </c>
      <c r="G22" s="47">
        <f>IFERROR(SUMIFS(Transactions!$F$2:$F$601,Transactions!$H$2:$H$601,Settings!$B$2,Transactions!$G$2:$G$601,6,Transactions!$C$2:$C$601,A22),0)</f>
        <v/>
      </c>
      <c r="H22" s="47">
        <f>IFERROR(SUMIFS(Transactions!$F$2:$F$601,Transactions!$H$2:$H$601,Settings!$B$2,Transactions!$G$2:$G$601,7,Transactions!$C$2:$C$601,A22),0)</f>
        <v/>
      </c>
      <c r="I22" s="47">
        <f>IFERROR(SUMIFS(Transactions!$F$2:$F$601,Transactions!$H$2:$H$601,Settings!$B$2,Transactions!$G$2:$G$601,8,Transactions!$C$2:$C$601,A22),0)</f>
        <v/>
      </c>
      <c r="J22" s="47">
        <f>IFERROR(SUMIFS(Transactions!$F$2:$F$601,Transactions!$H$2:$H$601,Settings!$B$2,Transactions!$G$2:$G$601,9,Transactions!$C$2:$C$601,A22),0)</f>
        <v/>
      </c>
      <c r="K22" s="47">
        <f>IFERROR(SUMIFS(Transactions!$F$2:$F$601,Transactions!$H$2:$H$601,Settings!$B$2,Transactions!$G$2:$G$601,10,Transactions!$C$2:$C$601,A22),0)</f>
        <v/>
      </c>
      <c r="L22" s="47">
        <f>IFERROR(SUMIFS(Transactions!$F$2:$F$601,Transactions!$H$2:$H$601,Settings!$B$2,Transactions!$G$2:$G$601,11,Transactions!$C$2:$C$601,A22),0)</f>
        <v/>
      </c>
      <c r="M22" s="47">
        <f>IFERROR(SUMIFS(Transactions!$F$2:$F$601,Transactions!$H$2:$H$601,Settings!$B$2,Transactions!$G$2:$G$601,12,Transactions!$C$2:$C$601,A22),0)</f>
        <v/>
      </c>
      <c r="N22" s="48">
        <f>IFERROR(SUM(B22:M22),0)</f>
        <v/>
      </c>
      <c r="O22" s="48">
        <f>IFERROR(VLOOKUP(A22,Settings!$A$30:$C$59,3,FALSE),0)</f>
        <v/>
      </c>
    </row>
    <row r="23">
      <c r="A23" s="35" t="inlineStr">
        <is>
          <t>Insurance</t>
        </is>
      </c>
      <c r="B23" s="47">
        <f>IFERROR(SUMIFS(Transactions!$F$2:$F$601,Transactions!$H$2:$H$601,Settings!$B$2,Transactions!$G$2:$G$601,1,Transactions!$C$2:$C$601,A23),0)</f>
        <v/>
      </c>
      <c r="C23" s="47">
        <f>IFERROR(SUMIFS(Transactions!$F$2:$F$601,Transactions!$H$2:$H$601,Settings!$B$2,Transactions!$G$2:$G$601,2,Transactions!$C$2:$C$601,A23),0)</f>
        <v/>
      </c>
      <c r="D23" s="47">
        <f>IFERROR(SUMIFS(Transactions!$F$2:$F$601,Transactions!$H$2:$H$601,Settings!$B$2,Transactions!$G$2:$G$601,3,Transactions!$C$2:$C$601,A23),0)</f>
        <v/>
      </c>
      <c r="E23" s="47">
        <f>IFERROR(SUMIFS(Transactions!$F$2:$F$601,Transactions!$H$2:$H$601,Settings!$B$2,Transactions!$G$2:$G$601,4,Transactions!$C$2:$C$601,A23),0)</f>
        <v/>
      </c>
      <c r="F23" s="47">
        <f>IFERROR(SUMIFS(Transactions!$F$2:$F$601,Transactions!$H$2:$H$601,Settings!$B$2,Transactions!$G$2:$G$601,5,Transactions!$C$2:$C$601,A23),0)</f>
        <v/>
      </c>
      <c r="G23" s="47">
        <f>IFERROR(SUMIFS(Transactions!$F$2:$F$601,Transactions!$H$2:$H$601,Settings!$B$2,Transactions!$G$2:$G$601,6,Transactions!$C$2:$C$601,A23),0)</f>
        <v/>
      </c>
      <c r="H23" s="47">
        <f>IFERROR(SUMIFS(Transactions!$F$2:$F$601,Transactions!$H$2:$H$601,Settings!$B$2,Transactions!$G$2:$G$601,7,Transactions!$C$2:$C$601,A23),0)</f>
        <v/>
      </c>
      <c r="I23" s="47">
        <f>IFERROR(SUMIFS(Transactions!$F$2:$F$601,Transactions!$H$2:$H$601,Settings!$B$2,Transactions!$G$2:$G$601,8,Transactions!$C$2:$C$601,A23),0)</f>
        <v/>
      </c>
      <c r="J23" s="47">
        <f>IFERROR(SUMIFS(Transactions!$F$2:$F$601,Transactions!$H$2:$H$601,Settings!$B$2,Transactions!$G$2:$G$601,9,Transactions!$C$2:$C$601,A23),0)</f>
        <v/>
      </c>
      <c r="K23" s="47">
        <f>IFERROR(SUMIFS(Transactions!$F$2:$F$601,Transactions!$H$2:$H$601,Settings!$B$2,Transactions!$G$2:$G$601,10,Transactions!$C$2:$C$601,A23),0)</f>
        <v/>
      </c>
      <c r="L23" s="47">
        <f>IFERROR(SUMIFS(Transactions!$F$2:$F$601,Transactions!$H$2:$H$601,Settings!$B$2,Transactions!$G$2:$G$601,11,Transactions!$C$2:$C$601,A23),0)</f>
        <v/>
      </c>
      <c r="M23" s="47">
        <f>IFERROR(SUMIFS(Transactions!$F$2:$F$601,Transactions!$H$2:$H$601,Settings!$B$2,Transactions!$G$2:$G$601,12,Transactions!$C$2:$C$601,A23),0)</f>
        <v/>
      </c>
      <c r="N23" s="48">
        <f>IFERROR(SUM(B23:M23),0)</f>
        <v/>
      </c>
      <c r="O23" s="48">
        <f>IFERROR(VLOOKUP(A23,Settings!$A$30:$C$59,3,FALSE),0)</f>
        <v/>
      </c>
    </row>
    <row r="24">
      <c r="A24" s="35" t="inlineStr">
        <is>
          <t>Health</t>
        </is>
      </c>
      <c r="B24" s="47">
        <f>IFERROR(SUMIFS(Transactions!$F$2:$F$601,Transactions!$H$2:$H$601,Settings!$B$2,Transactions!$G$2:$G$601,1,Transactions!$C$2:$C$601,A24),0)</f>
        <v/>
      </c>
      <c r="C24" s="47">
        <f>IFERROR(SUMIFS(Transactions!$F$2:$F$601,Transactions!$H$2:$H$601,Settings!$B$2,Transactions!$G$2:$G$601,2,Transactions!$C$2:$C$601,A24),0)</f>
        <v/>
      </c>
      <c r="D24" s="47">
        <f>IFERROR(SUMIFS(Transactions!$F$2:$F$601,Transactions!$H$2:$H$601,Settings!$B$2,Transactions!$G$2:$G$601,3,Transactions!$C$2:$C$601,A24),0)</f>
        <v/>
      </c>
      <c r="E24" s="47">
        <f>IFERROR(SUMIFS(Transactions!$F$2:$F$601,Transactions!$H$2:$H$601,Settings!$B$2,Transactions!$G$2:$G$601,4,Transactions!$C$2:$C$601,A24),0)</f>
        <v/>
      </c>
      <c r="F24" s="47">
        <f>IFERROR(SUMIFS(Transactions!$F$2:$F$601,Transactions!$H$2:$H$601,Settings!$B$2,Transactions!$G$2:$G$601,5,Transactions!$C$2:$C$601,A24),0)</f>
        <v/>
      </c>
      <c r="G24" s="47">
        <f>IFERROR(SUMIFS(Transactions!$F$2:$F$601,Transactions!$H$2:$H$601,Settings!$B$2,Transactions!$G$2:$G$601,6,Transactions!$C$2:$C$601,A24),0)</f>
        <v/>
      </c>
      <c r="H24" s="47">
        <f>IFERROR(SUMIFS(Transactions!$F$2:$F$601,Transactions!$H$2:$H$601,Settings!$B$2,Transactions!$G$2:$G$601,7,Transactions!$C$2:$C$601,A24),0)</f>
        <v/>
      </c>
      <c r="I24" s="47">
        <f>IFERROR(SUMIFS(Transactions!$F$2:$F$601,Transactions!$H$2:$H$601,Settings!$B$2,Transactions!$G$2:$G$601,8,Transactions!$C$2:$C$601,A24),0)</f>
        <v/>
      </c>
      <c r="J24" s="47">
        <f>IFERROR(SUMIFS(Transactions!$F$2:$F$601,Transactions!$H$2:$H$601,Settings!$B$2,Transactions!$G$2:$G$601,9,Transactions!$C$2:$C$601,A24),0)</f>
        <v/>
      </c>
      <c r="K24" s="47">
        <f>IFERROR(SUMIFS(Transactions!$F$2:$F$601,Transactions!$H$2:$H$601,Settings!$B$2,Transactions!$G$2:$G$601,10,Transactions!$C$2:$C$601,A24),0)</f>
        <v/>
      </c>
      <c r="L24" s="47">
        <f>IFERROR(SUMIFS(Transactions!$F$2:$F$601,Transactions!$H$2:$H$601,Settings!$B$2,Transactions!$G$2:$G$601,11,Transactions!$C$2:$C$601,A24),0)</f>
        <v/>
      </c>
      <c r="M24" s="47">
        <f>IFERROR(SUMIFS(Transactions!$F$2:$F$601,Transactions!$H$2:$H$601,Settings!$B$2,Transactions!$G$2:$G$601,12,Transactions!$C$2:$C$601,A24),0)</f>
        <v/>
      </c>
      <c r="N24" s="48">
        <f>IFERROR(SUM(B24:M24),0)</f>
        <v/>
      </c>
      <c r="O24" s="48">
        <f>IFERROR(VLOOKUP(A24,Settings!$A$30:$C$59,3,FALSE),0)</f>
        <v/>
      </c>
    </row>
    <row r="25">
      <c r="A25" s="35" t="inlineStr">
        <is>
          <t>Phone</t>
        </is>
      </c>
      <c r="B25" s="47">
        <f>IFERROR(SUMIFS(Transactions!$F$2:$F$601,Transactions!$H$2:$H$601,Settings!$B$2,Transactions!$G$2:$G$601,1,Transactions!$C$2:$C$601,A25),0)</f>
        <v/>
      </c>
      <c r="C25" s="47">
        <f>IFERROR(SUMIFS(Transactions!$F$2:$F$601,Transactions!$H$2:$H$601,Settings!$B$2,Transactions!$G$2:$G$601,2,Transactions!$C$2:$C$601,A25),0)</f>
        <v/>
      </c>
      <c r="D25" s="47">
        <f>IFERROR(SUMIFS(Transactions!$F$2:$F$601,Transactions!$H$2:$H$601,Settings!$B$2,Transactions!$G$2:$G$601,3,Transactions!$C$2:$C$601,A25),0)</f>
        <v/>
      </c>
      <c r="E25" s="47">
        <f>IFERROR(SUMIFS(Transactions!$F$2:$F$601,Transactions!$H$2:$H$601,Settings!$B$2,Transactions!$G$2:$G$601,4,Transactions!$C$2:$C$601,A25),0)</f>
        <v/>
      </c>
      <c r="F25" s="47">
        <f>IFERROR(SUMIFS(Transactions!$F$2:$F$601,Transactions!$H$2:$H$601,Settings!$B$2,Transactions!$G$2:$G$601,5,Transactions!$C$2:$C$601,A25),0)</f>
        <v/>
      </c>
      <c r="G25" s="47">
        <f>IFERROR(SUMIFS(Transactions!$F$2:$F$601,Transactions!$H$2:$H$601,Settings!$B$2,Transactions!$G$2:$G$601,6,Transactions!$C$2:$C$601,A25),0)</f>
        <v/>
      </c>
      <c r="H25" s="47">
        <f>IFERROR(SUMIFS(Transactions!$F$2:$F$601,Transactions!$H$2:$H$601,Settings!$B$2,Transactions!$G$2:$G$601,7,Transactions!$C$2:$C$601,A25),0)</f>
        <v/>
      </c>
      <c r="I25" s="47">
        <f>IFERROR(SUMIFS(Transactions!$F$2:$F$601,Transactions!$H$2:$H$601,Settings!$B$2,Transactions!$G$2:$G$601,8,Transactions!$C$2:$C$601,A25),0)</f>
        <v/>
      </c>
      <c r="J25" s="47">
        <f>IFERROR(SUMIFS(Transactions!$F$2:$F$601,Transactions!$H$2:$H$601,Settings!$B$2,Transactions!$G$2:$G$601,9,Transactions!$C$2:$C$601,A25),0)</f>
        <v/>
      </c>
      <c r="K25" s="47">
        <f>IFERROR(SUMIFS(Transactions!$F$2:$F$601,Transactions!$H$2:$H$601,Settings!$B$2,Transactions!$G$2:$G$601,10,Transactions!$C$2:$C$601,A25),0)</f>
        <v/>
      </c>
      <c r="L25" s="47">
        <f>IFERROR(SUMIFS(Transactions!$F$2:$F$601,Transactions!$H$2:$H$601,Settings!$B$2,Transactions!$G$2:$G$601,11,Transactions!$C$2:$C$601,A25),0)</f>
        <v/>
      </c>
      <c r="M25" s="47">
        <f>IFERROR(SUMIFS(Transactions!$F$2:$F$601,Transactions!$H$2:$H$601,Settings!$B$2,Transactions!$G$2:$G$601,12,Transactions!$C$2:$C$601,A25),0)</f>
        <v/>
      </c>
      <c r="N25" s="48">
        <f>IFERROR(SUM(B25:M25),0)</f>
        <v/>
      </c>
      <c r="O25" s="48">
        <f>IFERROR(VLOOKUP(A25,Settings!$A$30:$C$59,3,FALSE),0)</f>
        <v/>
      </c>
    </row>
    <row r="26">
      <c r="A26" s="35" t="inlineStr">
        <is>
          <t>Internet</t>
        </is>
      </c>
      <c r="B26" s="47">
        <f>IFERROR(SUMIFS(Transactions!$F$2:$F$601,Transactions!$H$2:$H$601,Settings!$B$2,Transactions!$G$2:$G$601,1,Transactions!$C$2:$C$601,A26),0)</f>
        <v/>
      </c>
      <c r="C26" s="47">
        <f>IFERROR(SUMIFS(Transactions!$F$2:$F$601,Transactions!$H$2:$H$601,Settings!$B$2,Transactions!$G$2:$G$601,2,Transactions!$C$2:$C$601,A26),0)</f>
        <v/>
      </c>
      <c r="D26" s="47">
        <f>IFERROR(SUMIFS(Transactions!$F$2:$F$601,Transactions!$H$2:$H$601,Settings!$B$2,Transactions!$G$2:$G$601,3,Transactions!$C$2:$C$601,A26),0)</f>
        <v/>
      </c>
      <c r="E26" s="47">
        <f>IFERROR(SUMIFS(Transactions!$F$2:$F$601,Transactions!$H$2:$H$601,Settings!$B$2,Transactions!$G$2:$G$601,4,Transactions!$C$2:$C$601,A26),0)</f>
        <v/>
      </c>
      <c r="F26" s="47">
        <f>IFERROR(SUMIFS(Transactions!$F$2:$F$601,Transactions!$H$2:$H$601,Settings!$B$2,Transactions!$G$2:$G$601,5,Transactions!$C$2:$C$601,A26),0)</f>
        <v/>
      </c>
      <c r="G26" s="47">
        <f>IFERROR(SUMIFS(Transactions!$F$2:$F$601,Transactions!$H$2:$H$601,Settings!$B$2,Transactions!$G$2:$G$601,6,Transactions!$C$2:$C$601,A26),0)</f>
        <v/>
      </c>
      <c r="H26" s="47">
        <f>IFERROR(SUMIFS(Transactions!$F$2:$F$601,Transactions!$H$2:$H$601,Settings!$B$2,Transactions!$G$2:$G$601,7,Transactions!$C$2:$C$601,A26),0)</f>
        <v/>
      </c>
      <c r="I26" s="47">
        <f>IFERROR(SUMIFS(Transactions!$F$2:$F$601,Transactions!$H$2:$H$601,Settings!$B$2,Transactions!$G$2:$G$601,8,Transactions!$C$2:$C$601,A26),0)</f>
        <v/>
      </c>
      <c r="J26" s="47">
        <f>IFERROR(SUMIFS(Transactions!$F$2:$F$601,Transactions!$H$2:$H$601,Settings!$B$2,Transactions!$G$2:$G$601,9,Transactions!$C$2:$C$601,A26),0)</f>
        <v/>
      </c>
      <c r="K26" s="47">
        <f>IFERROR(SUMIFS(Transactions!$F$2:$F$601,Transactions!$H$2:$H$601,Settings!$B$2,Transactions!$G$2:$G$601,10,Transactions!$C$2:$C$601,A26),0)</f>
        <v/>
      </c>
      <c r="L26" s="47">
        <f>IFERROR(SUMIFS(Transactions!$F$2:$F$601,Transactions!$H$2:$H$601,Settings!$B$2,Transactions!$G$2:$G$601,11,Transactions!$C$2:$C$601,A26),0)</f>
        <v/>
      </c>
      <c r="M26" s="47">
        <f>IFERROR(SUMIFS(Transactions!$F$2:$F$601,Transactions!$H$2:$H$601,Settings!$B$2,Transactions!$G$2:$G$601,12,Transactions!$C$2:$C$601,A26),0)</f>
        <v/>
      </c>
      <c r="N26" s="48">
        <f>IFERROR(SUM(B26:M26),0)</f>
        <v/>
      </c>
      <c r="O26" s="48">
        <f>IFERROR(VLOOKUP(A26,Settings!$A$30:$C$59,3,FALSE),0)</f>
        <v/>
      </c>
    </row>
    <row r="27">
      <c r="A27" s="35" t="inlineStr">
        <is>
          <t>Subscriptions</t>
        </is>
      </c>
      <c r="B27" s="47">
        <f>IFERROR(SUMIFS(Transactions!$F$2:$F$601,Transactions!$H$2:$H$601,Settings!$B$2,Transactions!$G$2:$G$601,1,Transactions!$C$2:$C$601,A27),0)</f>
        <v/>
      </c>
      <c r="C27" s="47">
        <f>IFERROR(SUMIFS(Transactions!$F$2:$F$601,Transactions!$H$2:$H$601,Settings!$B$2,Transactions!$G$2:$G$601,2,Transactions!$C$2:$C$601,A27),0)</f>
        <v/>
      </c>
      <c r="D27" s="47">
        <f>IFERROR(SUMIFS(Transactions!$F$2:$F$601,Transactions!$H$2:$H$601,Settings!$B$2,Transactions!$G$2:$G$601,3,Transactions!$C$2:$C$601,A27),0)</f>
        <v/>
      </c>
      <c r="E27" s="47">
        <f>IFERROR(SUMIFS(Transactions!$F$2:$F$601,Transactions!$H$2:$H$601,Settings!$B$2,Transactions!$G$2:$G$601,4,Transactions!$C$2:$C$601,A27),0)</f>
        <v/>
      </c>
      <c r="F27" s="47">
        <f>IFERROR(SUMIFS(Transactions!$F$2:$F$601,Transactions!$H$2:$H$601,Settings!$B$2,Transactions!$G$2:$G$601,5,Transactions!$C$2:$C$601,A27),0)</f>
        <v/>
      </c>
      <c r="G27" s="47">
        <f>IFERROR(SUMIFS(Transactions!$F$2:$F$601,Transactions!$H$2:$H$601,Settings!$B$2,Transactions!$G$2:$G$601,6,Transactions!$C$2:$C$601,A27),0)</f>
        <v/>
      </c>
      <c r="H27" s="47">
        <f>IFERROR(SUMIFS(Transactions!$F$2:$F$601,Transactions!$H$2:$H$601,Settings!$B$2,Transactions!$G$2:$G$601,7,Transactions!$C$2:$C$601,A27),0)</f>
        <v/>
      </c>
      <c r="I27" s="47">
        <f>IFERROR(SUMIFS(Transactions!$F$2:$F$601,Transactions!$H$2:$H$601,Settings!$B$2,Transactions!$G$2:$G$601,8,Transactions!$C$2:$C$601,A27),0)</f>
        <v/>
      </c>
      <c r="J27" s="47">
        <f>IFERROR(SUMIFS(Transactions!$F$2:$F$601,Transactions!$H$2:$H$601,Settings!$B$2,Transactions!$G$2:$G$601,9,Transactions!$C$2:$C$601,A27),0)</f>
        <v/>
      </c>
      <c r="K27" s="47">
        <f>IFERROR(SUMIFS(Transactions!$F$2:$F$601,Transactions!$H$2:$H$601,Settings!$B$2,Transactions!$G$2:$G$601,10,Transactions!$C$2:$C$601,A27),0)</f>
        <v/>
      </c>
      <c r="L27" s="47">
        <f>IFERROR(SUMIFS(Transactions!$F$2:$F$601,Transactions!$H$2:$H$601,Settings!$B$2,Transactions!$G$2:$G$601,11,Transactions!$C$2:$C$601,A27),0)</f>
        <v/>
      </c>
      <c r="M27" s="47">
        <f>IFERROR(SUMIFS(Transactions!$F$2:$F$601,Transactions!$H$2:$H$601,Settings!$B$2,Transactions!$G$2:$G$601,12,Transactions!$C$2:$C$601,A27),0)</f>
        <v/>
      </c>
      <c r="N27" s="48">
        <f>IFERROR(SUM(B27:M27),0)</f>
        <v/>
      </c>
      <c r="O27" s="48">
        <f>IFERROR(VLOOKUP(A27,Settings!$A$30:$C$59,3,FALSE),0)</f>
        <v/>
      </c>
    </row>
    <row r="28">
      <c r="A28" s="35" t="inlineStr">
        <is>
          <t>Entertainment</t>
        </is>
      </c>
      <c r="B28" s="47">
        <f>IFERROR(SUMIFS(Transactions!$F$2:$F$601,Transactions!$H$2:$H$601,Settings!$B$2,Transactions!$G$2:$G$601,1,Transactions!$C$2:$C$601,A28),0)</f>
        <v/>
      </c>
      <c r="C28" s="47">
        <f>IFERROR(SUMIFS(Transactions!$F$2:$F$601,Transactions!$H$2:$H$601,Settings!$B$2,Transactions!$G$2:$G$601,2,Transactions!$C$2:$C$601,A28),0)</f>
        <v/>
      </c>
      <c r="D28" s="47">
        <f>IFERROR(SUMIFS(Transactions!$F$2:$F$601,Transactions!$H$2:$H$601,Settings!$B$2,Transactions!$G$2:$G$601,3,Transactions!$C$2:$C$601,A28),0)</f>
        <v/>
      </c>
      <c r="E28" s="47">
        <f>IFERROR(SUMIFS(Transactions!$F$2:$F$601,Transactions!$H$2:$H$601,Settings!$B$2,Transactions!$G$2:$G$601,4,Transactions!$C$2:$C$601,A28),0)</f>
        <v/>
      </c>
      <c r="F28" s="47">
        <f>IFERROR(SUMIFS(Transactions!$F$2:$F$601,Transactions!$H$2:$H$601,Settings!$B$2,Transactions!$G$2:$G$601,5,Transactions!$C$2:$C$601,A28),0)</f>
        <v/>
      </c>
      <c r="G28" s="47">
        <f>IFERROR(SUMIFS(Transactions!$F$2:$F$601,Transactions!$H$2:$H$601,Settings!$B$2,Transactions!$G$2:$G$601,6,Transactions!$C$2:$C$601,A28),0)</f>
        <v/>
      </c>
      <c r="H28" s="47">
        <f>IFERROR(SUMIFS(Transactions!$F$2:$F$601,Transactions!$H$2:$H$601,Settings!$B$2,Transactions!$G$2:$G$601,7,Transactions!$C$2:$C$601,A28),0)</f>
        <v/>
      </c>
      <c r="I28" s="47">
        <f>IFERROR(SUMIFS(Transactions!$F$2:$F$601,Transactions!$H$2:$H$601,Settings!$B$2,Transactions!$G$2:$G$601,8,Transactions!$C$2:$C$601,A28),0)</f>
        <v/>
      </c>
      <c r="J28" s="47">
        <f>IFERROR(SUMIFS(Transactions!$F$2:$F$601,Transactions!$H$2:$H$601,Settings!$B$2,Transactions!$G$2:$G$601,9,Transactions!$C$2:$C$601,A28),0)</f>
        <v/>
      </c>
      <c r="K28" s="47">
        <f>IFERROR(SUMIFS(Transactions!$F$2:$F$601,Transactions!$H$2:$H$601,Settings!$B$2,Transactions!$G$2:$G$601,10,Transactions!$C$2:$C$601,A28),0)</f>
        <v/>
      </c>
      <c r="L28" s="47">
        <f>IFERROR(SUMIFS(Transactions!$F$2:$F$601,Transactions!$H$2:$H$601,Settings!$B$2,Transactions!$G$2:$G$601,11,Transactions!$C$2:$C$601,A28),0)</f>
        <v/>
      </c>
      <c r="M28" s="47">
        <f>IFERROR(SUMIFS(Transactions!$F$2:$F$601,Transactions!$H$2:$H$601,Settings!$B$2,Transactions!$G$2:$G$601,12,Transactions!$C$2:$C$601,A28),0)</f>
        <v/>
      </c>
      <c r="N28" s="48">
        <f>IFERROR(SUM(B28:M28),0)</f>
        <v/>
      </c>
      <c r="O28" s="48">
        <f>IFERROR(VLOOKUP(A28,Settings!$A$30:$C$59,3,FALSE),0)</f>
        <v/>
      </c>
    </row>
    <row r="29">
      <c r="A29" s="35" t="inlineStr">
        <is>
          <t>Shopping</t>
        </is>
      </c>
      <c r="B29" s="47">
        <f>IFERROR(SUMIFS(Transactions!$F$2:$F$601,Transactions!$H$2:$H$601,Settings!$B$2,Transactions!$G$2:$G$601,1,Transactions!$C$2:$C$601,A29),0)</f>
        <v/>
      </c>
      <c r="C29" s="47">
        <f>IFERROR(SUMIFS(Transactions!$F$2:$F$601,Transactions!$H$2:$H$601,Settings!$B$2,Transactions!$G$2:$G$601,2,Transactions!$C$2:$C$601,A29),0)</f>
        <v/>
      </c>
      <c r="D29" s="47">
        <f>IFERROR(SUMIFS(Transactions!$F$2:$F$601,Transactions!$H$2:$H$601,Settings!$B$2,Transactions!$G$2:$G$601,3,Transactions!$C$2:$C$601,A29),0)</f>
        <v/>
      </c>
      <c r="E29" s="47">
        <f>IFERROR(SUMIFS(Transactions!$F$2:$F$601,Transactions!$H$2:$H$601,Settings!$B$2,Transactions!$G$2:$G$601,4,Transactions!$C$2:$C$601,A29),0)</f>
        <v/>
      </c>
      <c r="F29" s="47">
        <f>IFERROR(SUMIFS(Transactions!$F$2:$F$601,Transactions!$H$2:$H$601,Settings!$B$2,Transactions!$G$2:$G$601,5,Transactions!$C$2:$C$601,A29),0)</f>
        <v/>
      </c>
      <c r="G29" s="47">
        <f>IFERROR(SUMIFS(Transactions!$F$2:$F$601,Transactions!$H$2:$H$601,Settings!$B$2,Transactions!$G$2:$G$601,6,Transactions!$C$2:$C$601,A29),0)</f>
        <v/>
      </c>
      <c r="H29" s="47">
        <f>IFERROR(SUMIFS(Transactions!$F$2:$F$601,Transactions!$H$2:$H$601,Settings!$B$2,Transactions!$G$2:$G$601,7,Transactions!$C$2:$C$601,A29),0)</f>
        <v/>
      </c>
      <c r="I29" s="47">
        <f>IFERROR(SUMIFS(Transactions!$F$2:$F$601,Transactions!$H$2:$H$601,Settings!$B$2,Transactions!$G$2:$G$601,8,Transactions!$C$2:$C$601,A29),0)</f>
        <v/>
      </c>
      <c r="J29" s="47">
        <f>IFERROR(SUMIFS(Transactions!$F$2:$F$601,Transactions!$H$2:$H$601,Settings!$B$2,Transactions!$G$2:$G$601,9,Transactions!$C$2:$C$601,A29),0)</f>
        <v/>
      </c>
      <c r="K29" s="47">
        <f>IFERROR(SUMIFS(Transactions!$F$2:$F$601,Transactions!$H$2:$H$601,Settings!$B$2,Transactions!$G$2:$G$601,10,Transactions!$C$2:$C$601,A29),0)</f>
        <v/>
      </c>
      <c r="L29" s="47">
        <f>IFERROR(SUMIFS(Transactions!$F$2:$F$601,Transactions!$H$2:$H$601,Settings!$B$2,Transactions!$G$2:$G$601,11,Transactions!$C$2:$C$601,A29),0)</f>
        <v/>
      </c>
      <c r="M29" s="47">
        <f>IFERROR(SUMIFS(Transactions!$F$2:$F$601,Transactions!$H$2:$H$601,Settings!$B$2,Transactions!$G$2:$G$601,12,Transactions!$C$2:$C$601,A29),0)</f>
        <v/>
      </c>
      <c r="N29" s="48">
        <f>IFERROR(SUM(B29:M29),0)</f>
        <v/>
      </c>
      <c r="O29" s="48">
        <f>IFERROR(VLOOKUP(A29,Settings!$A$30:$C$59,3,FALSE),0)</f>
        <v/>
      </c>
    </row>
    <row r="30">
      <c r="A30" s="35" t="inlineStr">
        <is>
          <t>Clothing</t>
        </is>
      </c>
      <c r="B30" s="47">
        <f>IFERROR(SUMIFS(Transactions!$F$2:$F$601,Transactions!$H$2:$H$601,Settings!$B$2,Transactions!$G$2:$G$601,1,Transactions!$C$2:$C$601,A30),0)</f>
        <v/>
      </c>
      <c r="C30" s="47">
        <f>IFERROR(SUMIFS(Transactions!$F$2:$F$601,Transactions!$H$2:$H$601,Settings!$B$2,Transactions!$G$2:$G$601,2,Transactions!$C$2:$C$601,A30),0)</f>
        <v/>
      </c>
      <c r="D30" s="47">
        <f>IFERROR(SUMIFS(Transactions!$F$2:$F$601,Transactions!$H$2:$H$601,Settings!$B$2,Transactions!$G$2:$G$601,3,Transactions!$C$2:$C$601,A30),0)</f>
        <v/>
      </c>
      <c r="E30" s="47">
        <f>IFERROR(SUMIFS(Transactions!$F$2:$F$601,Transactions!$H$2:$H$601,Settings!$B$2,Transactions!$G$2:$G$601,4,Transactions!$C$2:$C$601,A30),0)</f>
        <v/>
      </c>
      <c r="F30" s="47">
        <f>IFERROR(SUMIFS(Transactions!$F$2:$F$601,Transactions!$H$2:$H$601,Settings!$B$2,Transactions!$G$2:$G$601,5,Transactions!$C$2:$C$601,A30),0)</f>
        <v/>
      </c>
      <c r="G30" s="47">
        <f>IFERROR(SUMIFS(Transactions!$F$2:$F$601,Transactions!$H$2:$H$601,Settings!$B$2,Transactions!$G$2:$G$601,6,Transactions!$C$2:$C$601,A30),0)</f>
        <v/>
      </c>
      <c r="H30" s="47">
        <f>IFERROR(SUMIFS(Transactions!$F$2:$F$601,Transactions!$H$2:$H$601,Settings!$B$2,Transactions!$G$2:$G$601,7,Transactions!$C$2:$C$601,A30),0)</f>
        <v/>
      </c>
      <c r="I30" s="47">
        <f>IFERROR(SUMIFS(Transactions!$F$2:$F$601,Transactions!$H$2:$H$601,Settings!$B$2,Transactions!$G$2:$G$601,8,Transactions!$C$2:$C$601,A30),0)</f>
        <v/>
      </c>
      <c r="J30" s="47">
        <f>IFERROR(SUMIFS(Transactions!$F$2:$F$601,Transactions!$H$2:$H$601,Settings!$B$2,Transactions!$G$2:$G$601,9,Transactions!$C$2:$C$601,A30),0)</f>
        <v/>
      </c>
      <c r="K30" s="47">
        <f>IFERROR(SUMIFS(Transactions!$F$2:$F$601,Transactions!$H$2:$H$601,Settings!$B$2,Transactions!$G$2:$G$601,10,Transactions!$C$2:$C$601,A30),0)</f>
        <v/>
      </c>
      <c r="L30" s="47">
        <f>IFERROR(SUMIFS(Transactions!$F$2:$F$601,Transactions!$H$2:$H$601,Settings!$B$2,Transactions!$G$2:$G$601,11,Transactions!$C$2:$C$601,A30),0)</f>
        <v/>
      </c>
      <c r="M30" s="47">
        <f>IFERROR(SUMIFS(Transactions!$F$2:$F$601,Transactions!$H$2:$H$601,Settings!$B$2,Transactions!$G$2:$G$601,12,Transactions!$C$2:$C$601,A30),0)</f>
        <v/>
      </c>
      <c r="N30" s="48">
        <f>IFERROR(SUM(B30:M30),0)</f>
        <v/>
      </c>
      <c r="O30" s="48">
        <f>IFERROR(VLOOKUP(A30,Settings!$A$30:$C$59,3,FALSE),0)</f>
        <v/>
      </c>
    </row>
    <row r="31">
      <c r="A31" s="35" t="inlineStr">
        <is>
          <t>Personal Care</t>
        </is>
      </c>
      <c r="B31" s="47">
        <f>IFERROR(SUMIFS(Transactions!$F$2:$F$601,Transactions!$H$2:$H$601,Settings!$B$2,Transactions!$G$2:$G$601,1,Transactions!$C$2:$C$601,A31),0)</f>
        <v/>
      </c>
      <c r="C31" s="47">
        <f>IFERROR(SUMIFS(Transactions!$F$2:$F$601,Transactions!$H$2:$H$601,Settings!$B$2,Transactions!$G$2:$G$601,2,Transactions!$C$2:$C$601,A31),0)</f>
        <v/>
      </c>
      <c r="D31" s="47">
        <f>IFERROR(SUMIFS(Transactions!$F$2:$F$601,Transactions!$H$2:$H$601,Settings!$B$2,Transactions!$G$2:$G$601,3,Transactions!$C$2:$C$601,A31),0)</f>
        <v/>
      </c>
      <c r="E31" s="47">
        <f>IFERROR(SUMIFS(Transactions!$F$2:$F$601,Transactions!$H$2:$H$601,Settings!$B$2,Transactions!$G$2:$G$601,4,Transactions!$C$2:$C$601,A31),0)</f>
        <v/>
      </c>
      <c r="F31" s="47">
        <f>IFERROR(SUMIFS(Transactions!$F$2:$F$601,Transactions!$H$2:$H$601,Settings!$B$2,Transactions!$G$2:$G$601,5,Transactions!$C$2:$C$601,A31),0)</f>
        <v/>
      </c>
      <c r="G31" s="47">
        <f>IFERROR(SUMIFS(Transactions!$F$2:$F$601,Transactions!$H$2:$H$601,Settings!$B$2,Transactions!$G$2:$G$601,6,Transactions!$C$2:$C$601,A31),0)</f>
        <v/>
      </c>
      <c r="H31" s="47">
        <f>IFERROR(SUMIFS(Transactions!$F$2:$F$601,Transactions!$H$2:$H$601,Settings!$B$2,Transactions!$G$2:$G$601,7,Transactions!$C$2:$C$601,A31),0)</f>
        <v/>
      </c>
      <c r="I31" s="47">
        <f>IFERROR(SUMIFS(Transactions!$F$2:$F$601,Transactions!$H$2:$H$601,Settings!$B$2,Transactions!$G$2:$G$601,8,Transactions!$C$2:$C$601,A31),0)</f>
        <v/>
      </c>
      <c r="J31" s="47">
        <f>IFERROR(SUMIFS(Transactions!$F$2:$F$601,Transactions!$H$2:$H$601,Settings!$B$2,Transactions!$G$2:$G$601,9,Transactions!$C$2:$C$601,A31),0)</f>
        <v/>
      </c>
      <c r="K31" s="47">
        <f>IFERROR(SUMIFS(Transactions!$F$2:$F$601,Transactions!$H$2:$H$601,Settings!$B$2,Transactions!$G$2:$G$601,10,Transactions!$C$2:$C$601,A31),0)</f>
        <v/>
      </c>
      <c r="L31" s="47">
        <f>IFERROR(SUMIFS(Transactions!$F$2:$F$601,Transactions!$H$2:$H$601,Settings!$B$2,Transactions!$G$2:$G$601,11,Transactions!$C$2:$C$601,A31),0)</f>
        <v/>
      </c>
      <c r="M31" s="47">
        <f>IFERROR(SUMIFS(Transactions!$F$2:$F$601,Transactions!$H$2:$H$601,Settings!$B$2,Transactions!$G$2:$G$601,12,Transactions!$C$2:$C$601,A31),0)</f>
        <v/>
      </c>
      <c r="N31" s="48">
        <f>IFERROR(SUM(B31:M31),0)</f>
        <v/>
      </c>
      <c r="O31" s="48">
        <f>IFERROR(VLOOKUP(A31,Settings!$A$30:$C$59,3,FALSE),0)</f>
        <v/>
      </c>
    </row>
    <row r="32">
      <c r="A32" s="35" t="inlineStr">
        <is>
          <t>Gym/Fitness</t>
        </is>
      </c>
      <c r="B32" s="47">
        <f>IFERROR(SUMIFS(Transactions!$F$2:$F$601,Transactions!$H$2:$H$601,Settings!$B$2,Transactions!$G$2:$G$601,1,Transactions!$C$2:$C$601,A32),0)</f>
        <v/>
      </c>
      <c r="C32" s="47">
        <f>IFERROR(SUMIFS(Transactions!$F$2:$F$601,Transactions!$H$2:$H$601,Settings!$B$2,Transactions!$G$2:$G$601,2,Transactions!$C$2:$C$601,A32),0)</f>
        <v/>
      </c>
      <c r="D32" s="47">
        <f>IFERROR(SUMIFS(Transactions!$F$2:$F$601,Transactions!$H$2:$H$601,Settings!$B$2,Transactions!$G$2:$G$601,3,Transactions!$C$2:$C$601,A32),0)</f>
        <v/>
      </c>
      <c r="E32" s="47">
        <f>IFERROR(SUMIFS(Transactions!$F$2:$F$601,Transactions!$H$2:$H$601,Settings!$B$2,Transactions!$G$2:$G$601,4,Transactions!$C$2:$C$601,A32),0)</f>
        <v/>
      </c>
      <c r="F32" s="47">
        <f>IFERROR(SUMIFS(Transactions!$F$2:$F$601,Transactions!$H$2:$H$601,Settings!$B$2,Transactions!$G$2:$G$601,5,Transactions!$C$2:$C$601,A32),0)</f>
        <v/>
      </c>
      <c r="G32" s="47">
        <f>IFERROR(SUMIFS(Transactions!$F$2:$F$601,Transactions!$H$2:$H$601,Settings!$B$2,Transactions!$G$2:$G$601,6,Transactions!$C$2:$C$601,A32),0)</f>
        <v/>
      </c>
      <c r="H32" s="47">
        <f>IFERROR(SUMIFS(Transactions!$F$2:$F$601,Transactions!$H$2:$H$601,Settings!$B$2,Transactions!$G$2:$G$601,7,Transactions!$C$2:$C$601,A32),0)</f>
        <v/>
      </c>
      <c r="I32" s="47">
        <f>IFERROR(SUMIFS(Transactions!$F$2:$F$601,Transactions!$H$2:$H$601,Settings!$B$2,Transactions!$G$2:$G$601,8,Transactions!$C$2:$C$601,A32),0)</f>
        <v/>
      </c>
      <c r="J32" s="47">
        <f>IFERROR(SUMIFS(Transactions!$F$2:$F$601,Transactions!$H$2:$H$601,Settings!$B$2,Transactions!$G$2:$G$601,9,Transactions!$C$2:$C$601,A32),0)</f>
        <v/>
      </c>
      <c r="K32" s="47">
        <f>IFERROR(SUMIFS(Transactions!$F$2:$F$601,Transactions!$H$2:$H$601,Settings!$B$2,Transactions!$G$2:$G$601,10,Transactions!$C$2:$C$601,A32),0)</f>
        <v/>
      </c>
      <c r="L32" s="47">
        <f>IFERROR(SUMIFS(Transactions!$F$2:$F$601,Transactions!$H$2:$H$601,Settings!$B$2,Transactions!$G$2:$G$601,11,Transactions!$C$2:$C$601,A32),0)</f>
        <v/>
      </c>
      <c r="M32" s="47">
        <f>IFERROR(SUMIFS(Transactions!$F$2:$F$601,Transactions!$H$2:$H$601,Settings!$B$2,Transactions!$G$2:$G$601,12,Transactions!$C$2:$C$601,A32),0)</f>
        <v/>
      </c>
      <c r="N32" s="48">
        <f>IFERROR(SUM(B32:M32),0)</f>
        <v/>
      </c>
      <c r="O32" s="48">
        <f>IFERROR(VLOOKUP(A32,Settings!$A$30:$C$59,3,FALSE),0)</f>
        <v/>
      </c>
    </row>
    <row r="33">
      <c r="A33" s="35" t="inlineStr">
        <is>
          <t>Pets</t>
        </is>
      </c>
      <c r="B33" s="47">
        <f>IFERROR(SUMIFS(Transactions!$F$2:$F$601,Transactions!$H$2:$H$601,Settings!$B$2,Transactions!$G$2:$G$601,1,Transactions!$C$2:$C$601,A33),0)</f>
        <v/>
      </c>
      <c r="C33" s="47">
        <f>IFERROR(SUMIFS(Transactions!$F$2:$F$601,Transactions!$H$2:$H$601,Settings!$B$2,Transactions!$G$2:$G$601,2,Transactions!$C$2:$C$601,A33),0)</f>
        <v/>
      </c>
      <c r="D33" s="47">
        <f>IFERROR(SUMIFS(Transactions!$F$2:$F$601,Transactions!$H$2:$H$601,Settings!$B$2,Transactions!$G$2:$G$601,3,Transactions!$C$2:$C$601,A33),0)</f>
        <v/>
      </c>
      <c r="E33" s="47">
        <f>IFERROR(SUMIFS(Transactions!$F$2:$F$601,Transactions!$H$2:$H$601,Settings!$B$2,Transactions!$G$2:$G$601,4,Transactions!$C$2:$C$601,A33),0)</f>
        <v/>
      </c>
      <c r="F33" s="47">
        <f>IFERROR(SUMIFS(Transactions!$F$2:$F$601,Transactions!$H$2:$H$601,Settings!$B$2,Transactions!$G$2:$G$601,5,Transactions!$C$2:$C$601,A33),0)</f>
        <v/>
      </c>
      <c r="G33" s="47">
        <f>IFERROR(SUMIFS(Transactions!$F$2:$F$601,Transactions!$H$2:$H$601,Settings!$B$2,Transactions!$G$2:$G$601,6,Transactions!$C$2:$C$601,A33),0)</f>
        <v/>
      </c>
      <c r="H33" s="47">
        <f>IFERROR(SUMIFS(Transactions!$F$2:$F$601,Transactions!$H$2:$H$601,Settings!$B$2,Transactions!$G$2:$G$601,7,Transactions!$C$2:$C$601,A33),0)</f>
        <v/>
      </c>
      <c r="I33" s="47">
        <f>IFERROR(SUMIFS(Transactions!$F$2:$F$601,Transactions!$H$2:$H$601,Settings!$B$2,Transactions!$G$2:$G$601,8,Transactions!$C$2:$C$601,A33),0)</f>
        <v/>
      </c>
      <c r="J33" s="47">
        <f>IFERROR(SUMIFS(Transactions!$F$2:$F$601,Transactions!$H$2:$H$601,Settings!$B$2,Transactions!$G$2:$G$601,9,Transactions!$C$2:$C$601,A33),0)</f>
        <v/>
      </c>
      <c r="K33" s="47">
        <f>IFERROR(SUMIFS(Transactions!$F$2:$F$601,Transactions!$H$2:$H$601,Settings!$B$2,Transactions!$G$2:$G$601,10,Transactions!$C$2:$C$601,A33),0)</f>
        <v/>
      </c>
      <c r="L33" s="47">
        <f>IFERROR(SUMIFS(Transactions!$F$2:$F$601,Transactions!$H$2:$H$601,Settings!$B$2,Transactions!$G$2:$G$601,11,Transactions!$C$2:$C$601,A33),0)</f>
        <v/>
      </c>
      <c r="M33" s="47">
        <f>IFERROR(SUMIFS(Transactions!$F$2:$F$601,Transactions!$H$2:$H$601,Settings!$B$2,Transactions!$G$2:$G$601,12,Transactions!$C$2:$C$601,A33),0)</f>
        <v/>
      </c>
      <c r="N33" s="48">
        <f>IFERROR(SUM(B33:M33),0)</f>
        <v/>
      </c>
      <c r="O33" s="48">
        <f>IFERROR(VLOOKUP(A33,Settings!$A$30:$C$59,3,FALSE),0)</f>
        <v/>
      </c>
    </row>
    <row r="34">
      <c r="A34" s="35" t="inlineStr">
        <is>
          <t>Kids</t>
        </is>
      </c>
      <c r="B34" s="47">
        <f>IFERROR(SUMIFS(Transactions!$F$2:$F$601,Transactions!$H$2:$H$601,Settings!$B$2,Transactions!$G$2:$G$601,1,Transactions!$C$2:$C$601,A34),0)</f>
        <v/>
      </c>
      <c r="C34" s="47">
        <f>IFERROR(SUMIFS(Transactions!$F$2:$F$601,Transactions!$H$2:$H$601,Settings!$B$2,Transactions!$G$2:$G$601,2,Transactions!$C$2:$C$601,A34),0)</f>
        <v/>
      </c>
      <c r="D34" s="47">
        <f>IFERROR(SUMIFS(Transactions!$F$2:$F$601,Transactions!$H$2:$H$601,Settings!$B$2,Transactions!$G$2:$G$601,3,Transactions!$C$2:$C$601,A34),0)</f>
        <v/>
      </c>
      <c r="E34" s="47">
        <f>IFERROR(SUMIFS(Transactions!$F$2:$F$601,Transactions!$H$2:$H$601,Settings!$B$2,Transactions!$G$2:$G$601,4,Transactions!$C$2:$C$601,A34),0)</f>
        <v/>
      </c>
      <c r="F34" s="47">
        <f>IFERROR(SUMIFS(Transactions!$F$2:$F$601,Transactions!$H$2:$H$601,Settings!$B$2,Transactions!$G$2:$G$601,5,Transactions!$C$2:$C$601,A34),0)</f>
        <v/>
      </c>
      <c r="G34" s="47">
        <f>IFERROR(SUMIFS(Transactions!$F$2:$F$601,Transactions!$H$2:$H$601,Settings!$B$2,Transactions!$G$2:$G$601,6,Transactions!$C$2:$C$601,A34),0)</f>
        <v/>
      </c>
      <c r="H34" s="47">
        <f>IFERROR(SUMIFS(Transactions!$F$2:$F$601,Transactions!$H$2:$H$601,Settings!$B$2,Transactions!$G$2:$G$601,7,Transactions!$C$2:$C$601,A34),0)</f>
        <v/>
      </c>
      <c r="I34" s="47">
        <f>IFERROR(SUMIFS(Transactions!$F$2:$F$601,Transactions!$H$2:$H$601,Settings!$B$2,Transactions!$G$2:$G$601,8,Transactions!$C$2:$C$601,A34),0)</f>
        <v/>
      </c>
      <c r="J34" s="47">
        <f>IFERROR(SUMIFS(Transactions!$F$2:$F$601,Transactions!$H$2:$H$601,Settings!$B$2,Transactions!$G$2:$G$601,9,Transactions!$C$2:$C$601,A34),0)</f>
        <v/>
      </c>
      <c r="K34" s="47">
        <f>IFERROR(SUMIFS(Transactions!$F$2:$F$601,Transactions!$H$2:$H$601,Settings!$B$2,Transactions!$G$2:$G$601,10,Transactions!$C$2:$C$601,A34),0)</f>
        <v/>
      </c>
      <c r="L34" s="47">
        <f>IFERROR(SUMIFS(Transactions!$F$2:$F$601,Transactions!$H$2:$H$601,Settings!$B$2,Transactions!$G$2:$G$601,11,Transactions!$C$2:$C$601,A34),0)</f>
        <v/>
      </c>
      <c r="M34" s="47">
        <f>IFERROR(SUMIFS(Transactions!$F$2:$F$601,Transactions!$H$2:$H$601,Settings!$B$2,Transactions!$G$2:$G$601,12,Transactions!$C$2:$C$601,A34),0)</f>
        <v/>
      </c>
      <c r="N34" s="48">
        <f>IFERROR(SUM(B34:M34),0)</f>
        <v/>
      </c>
      <c r="O34" s="48">
        <f>IFERROR(VLOOKUP(A34,Settings!$A$30:$C$59,3,FALSE),0)</f>
        <v/>
      </c>
    </row>
    <row r="35">
      <c r="A35" s="35" t="inlineStr">
        <is>
          <t>Gifts/Donations</t>
        </is>
      </c>
      <c r="B35" s="47">
        <f>IFERROR(SUMIFS(Transactions!$F$2:$F$601,Transactions!$H$2:$H$601,Settings!$B$2,Transactions!$G$2:$G$601,1,Transactions!$C$2:$C$601,A35),0)</f>
        <v/>
      </c>
      <c r="C35" s="47">
        <f>IFERROR(SUMIFS(Transactions!$F$2:$F$601,Transactions!$H$2:$H$601,Settings!$B$2,Transactions!$G$2:$G$601,2,Transactions!$C$2:$C$601,A35),0)</f>
        <v/>
      </c>
      <c r="D35" s="47">
        <f>IFERROR(SUMIFS(Transactions!$F$2:$F$601,Transactions!$H$2:$H$601,Settings!$B$2,Transactions!$G$2:$G$601,3,Transactions!$C$2:$C$601,A35),0)</f>
        <v/>
      </c>
      <c r="E35" s="47">
        <f>IFERROR(SUMIFS(Transactions!$F$2:$F$601,Transactions!$H$2:$H$601,Settings!$B$2,Transactions!$G$2:$G$601,4,Transactions!$C$2:$C$601,A35),0)</f>
        <v/>
      </c>
      <c r="F35" s="47">
        <f>IFERROR(SUMIFS(Transactions!$F$2:$F$601,Transactions!$H$2:$H$601,Settings!$B$2,Transactions!$G$2:$G$601,5,Transactions!$C$2:$C$601,A35),0)</f>
        <v/>
      </c>
      <c r="G35" s="47">
        <f>IFERROR(SUMIFS(Transactions!$F$2:$F$601,Transactions!$H$2:$H$601,Settings!$B$2,Transactions!$G$2:$G$601,6,Transactions!$C$2:$C$601,A35),0)</f>
        <v/>
      </c>
      <c r="H35" s="47">
        <f>IFERROR(SUMIFS(Transactions!$F$2:$F$601,Transactions!$H$2:$H$601,Settings!$B$2,Transactions!$G$2:$G$601,7,Transactions!$C$2:$C$601,A35),0)</f>
        <v/>
      </c>
      <c r="I35" s="47">
        <f>IFERROR(SUMIFS(Transactions!$F$2:$F$601,Transactions!$H$2:$H$601,Settings!$B$2,Transactions!$G$2:$G$601,8,Transactions!$C$2:$C$601,A35),0)</f>
        <v/>
      </c>
      <c r="J35" s="47">
        <f>IFERROR(SUMIFS(Transactions!$F$2:$F$601,Transactions!$H$2:$H$601,Settings!$B$2,Transactions!$G$2:$G$601,9,Transactions!$C$2:$C$601,A35),0)</f>
        <v/>
      </c>
      <c r="K35" s="47">
        <f>IFERROR(SUMIFS(Transactions!$F$2:$F$601,Transactions!$H$2:$H$601,Settings!$B$2,Transactions!$G$2:$G$601,10,Transactions!$C$2:$C$601,A35),0)</f>
        <v/>
      </c>
      <c r="L35" s="47">
        <f>IFERROR(SUMIFS(Transactions!$F$2:$F$601,Transactions!$H$2:$H$601,Settings!$B$2,Transactions!$G$2:$G$601,11,Transactions!$C$2:$C$601,A35),0)</f>
        <v/>
      </c>
      <c r="M35" s="47">
        <f>IFERROR(SUMIFS(Transactions!$F$2:$F$601,Transactions!$H$2:$H$601,Settings!$B$2,Transactions!$G$2:$G$601,12,Transactions!$C$2:$C$601,A35),0)</f>
        <v/>
      </c>
      <c r="N35" s="48">
        <f>IFERROR(SUM(B35:M35),0)</f>
        <v/>
      </c>
      <c r="O35" s="48">
        <f>IFERROR(VLOOKUP(A35,Settings!$A$30:$C$59,3,FALSE),0)</f>
        <v/>
      </c>
    </row>
    <row r="36">
      <c r="A36" s="35" t="inlineStr">
        <is>
          <t>Travel</t>
        </is>
      </c>
      <c r="B36" s="47">
        <f>IFERROR(SUMIFS(Transactions!$F$2:$F$601,Transactions!$H$2:$H$601,Settings!$B$2,Transactions!$G$2:$G$601,1,Transactions!$C$2:$C$601,A36),0)</f>
        <v/>
      </c>
      <c r="C36" s="47">
        <f>IFERROR(SUMIFS(Transactions!$F$2:$F$601,Transactions!$H$2:$H$601,Settings!$B$2,Transactions!$G$2:$G$601,2,Transactions!$C$2:$C$601,A36),0)</f>
        <v/>
      </c>
      <c r="D36" s="47">
        <f>IFERROR(SUMIFS(Transactions!$F$2:$F$601,Transactions!$H$2:$H$601,Settings!$B$2,Transactions!$G$2:$G$601,3,Transactions!$C$2:$C$601,A36),0)</f>
        <v/>
      </c>
      <c r="E36" s="47">
        <f>IFERROR(SUMIFS(Transactions!$F$2:$F$601,Transactions!$H$2:$H$601,Settings!$B$2,Transactions!$G$2:$G$601,4,Transactions!$C$2:$C$601,A36),0)</f>
        <v/>
      </c>
      <c r="F36" s="47">
        <f>IFERROR(SUMIFS(Transactions!$F$2:$F$601,Transactions!$H$2:$H$601,Settings!$B$2,Transactions!$G$2:$G$601,5,Transactions!$C$2:$C$601,A36),0)</f>
        <v/>
      </c>
      <c r="G36" s="47">
        <f>IFERROR(SUMIFS(Transactions!$F$2:$F$601,Transactions!$H$2:$H$601,Settings!$B$2,Transactions!$G$2:$G$601,6,Transactions!$C$2:$C$601,A36),0)</f>
        <v/>
      </c>
      <c r="H36" s="47">
        <f>IFERROR(SUMIFS(Transactions!$F$2:$F$601,Transactions!$H$2:$H$601,Settings!$B$2,Transactions!$G$2:$G$601,7,Transactions!$C$2:$C$601,A36),0)</f>
        <v/>
      </c>
      <c r="I36" s="47">
        <f>IFERROR(SUMIFS(Transactions!$F$2:$F$601,Transactions!$H$2:$H$601,Settings!$B$2,Transactions!$G$2:$G$601,8,Transactions!$C$2:$C$601,A36),0)</f>
        <v/>
      </c>
      <c r="J36" s="47">
        <f>IFERROR(SUMIFS(Transactions!$F$2:$F$601,Transactions!$H$2:$H$601,Settings!$B$2,Transactions!$G$2:$G$601,9,Transactions!$C$2:$C$601,A36),0)</f>
        <v/>
      </c>
      <c r="K36" s="47">
        <f>IFERROR(SUMIFS(Transactions!$F$2:$F$601,Transactions!$H$2:$H$601,Settings!$B$2,Transactions!$G$2:$G$601,10,Transactions!$C$2:$C$601,A36),0)</f>
        <v/>
      </c>
      <c r="L36" s="47">
        <f>IFERROR(SUMIFS(Transactions!$F$2:$F$601,Transactions!$H$2:$H$601,Settings!$B$2,Transactions!$G$2:$G$601,11,Transactions!$C$2:$C$601,A36),0)</f>
        <v/>
      </c>
      <c r="M36" s="47">
        <f>IFERROR(SUMIFS(Transactions!$F$2:$F$601,Transactions!$H$2:$H$601,Settings!$B$2,Transactions!$G$2:$G$601,12,Transactions!$C$2:$C$601,A36),0)</f>
        <v/>
      </c>
      <c r="N36" s="48">
        <f>IFERROR(SUM(B36:M36),0)</f>
        <v/>
      </c>
      <c r="O36" s="48">
        <f>IFERROR(VLOOKUP(A36,Settings!$A$30:$C$59,3,FALSE),0)</f>
        <v/>
      </c>
    </row>
    <row r="37">
      <c r="A37" s="35" t="inlineStr">
        <is>
          <t>Miscellaneous</t>
        </is>
      </c>
      <c r="B37" s="47">
        <f>IFERROR(SUMIFS(Transactions!$F$2:$F$601,Transactions!$H$2:$H$601,Settings!$B$2,Transactions!$G$2:$G$601,1,Transactions!$C$2:$C$601,A37),0)</f>
        <v/>
      </c>
      <c r="C37" s="47">
        <f>IFERROR(SUMIFS(Transactions!$F$2:$F$601,Transactions!$H$2:$H$601,Settings!$B$2,Transactions!$G$2:$G$601,2,Transactions!$C$2:$C$601,A37),0)</f>
        <v/>
      </c>
      <c r="D37" s="47">
        <f>IFERROR(SUMIFS(Transactions!$F$2:$F$601,Transactions!$H$2:$H$601,Settings!$B$2,Transactions!$G$2:$G$601,3,Transactions!$C$2:$C$601,A37),0)</f>
        <v/>
      </c>
      <c r="E37" s="47">
        <f>IFERROR(SUMIFS(Transactions!$F$2:$F$601,Transactions!$H$2:$H$601,Settings!$B$2,Transactions!$G$2:$G$601,4,Transactions!$C$2:$C$601,A37),0)</f>
        <v/>
      </c>
      <c r="F37" s="47">
        <f>IFERROR(SUMIFS(Transactions!$F$2:$F$601,Transactions!$H$2:$H$601,Settings!$B$2,Transactions!$G$2:$G$601,5,Transactions!$C$2:$C$601,A37),0)</f>
        <v/>
      </c>
      <c r="G37" s="47">
        <f>IFERROR(SUMIFS(Transactions!$F$2:$F$601,Transactions!$H$2:$H$601,Settings!$B$2,Transactions!$G$2:$G$601,6,Transactions!$C$2:$C$601,A37),0)</f>
        <v/>
      </c>
      <c r="H37" s="47">
        <f>IFERROR(SUMIFS(Transactions!$F$2:$F$601,Transactions!$H$2:$H$601,Settings!$B$2,Transactions!$G$2:$G$601,7,Transactions!$C$2:$C$601,A37),0)</f>
        <v/>
      </c>
      <c r="I37" s="47">
        <f>IFERROR(SUMIFS(Transactions!$F$2:$F$601,Transactions!$H$2:$H$601,Settings!$B$2,Transactions!$G$2:$G$601,8,Transactions!$C$2:$C$601,A37),0)</f>
        <v/>
      </c>
      <c r="J37" s="47">
        <f>IFERROR(SUMIFS(Transactions!$F$2:$F$601,Transactions!$H$2:$H$601,Settings!$B$2,Transactions!$G$2:$G$601,9,Transactions!$C$2:$C$601,A37),0)</f>
        <v/>
      </c>
      <c r="K37" s="47">
        <f>IFERROR(SUMIFS(Transactions!$F$2:$F$601,Transactions!$H$2:$H$601,Settings!$B$2,Transactions!$G$2:$G$601,10,Transactions!$C$2:$C$601,A37),0)</f>
        <v/>
      </c>
      <c r="L37" s="47">
        <f>IFERROR(SUMIFS(Transactions!$F$2:$F$601,Transactions!$H$2:$H$601,Settings!$B$2,Transactions!$G$2:$G$601,11,Transactions!$C$2:$C$601,A37),0)</f>
        <v/>
      </c>
      <c r="M37" s="47">
        <f>IFERROR(SUMIFS(Transactions!$F$2:$F$601,Transactions!$H$2:$H$601,Settings!$B$2,Transactions!$G$2:$G$601,12,Transactions!$C$2:$C$601,A37),0)</f>
        <v/>
      </c>
      <c r="N37" s="48">
        <f>IFERROR(SUM(B37:M37),0)</f>
        <v/>
      </c>
      <c r="O37" s="48">
        <f>IFERROR(VLOOKUP(A37,Settings!$A$30:$C$59,3,FALSE),0)</f>
        <v/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Jan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IFERROR(SUMIFS(Transactions!$F$2:$F$601,Transactions!$H$2:$H$601,Settings!$B$2,Transactions!$G$2:$G$601,1,Transactions!$C$2:$C$601,A4),0)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IFERROR(SUMIFS(Transactions!$F$2:$F$601,Transactions!$H$2:$H$601,Settings!$B$2,Transactions!$G$2:$G$601,1,Transactions!$C$2:$C$601,A5),0)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IFERROR(SUMIFS(Transactions!$F$2:$F$601,Transactions!$H$2:$H$601,Settings!$B$2,Transactions!$G$2:$G$601,1,Transactions!$C$2:$C$601,A6),0)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IFERROR(SUMIFS(Transactions!$F$2:$F$601,Transactions!$H$2:$H$601,Settings!$B$2,Transactions!$G$2:$G$601,1,Transactions!$C$2:$C$601,A7),0)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IFERROR(SUMIFS(Transactions!$F$2:$F$601,Transactions!$H$2:$H$601,Settings!$B$2,Transactions!$G$2:$G$601,1,Transactions!$C$2:$C$601,A8),0)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IFERROR(SUMIFS(Transactions!$F$2:$F$601,Transactions!$H$2:$H$601,Settings!$B$2,Transactions!$G$2:$G$601,1,Transactions!$C$2:$C$601,A9),0)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IFERROR(SUMIFS(Transactions!$F$2:$F$601,Transactions!$H$2:$H$601,Settings!$B$2,Transactions!$G$2:$G$601,1,Transactions!$C$2:$C$601,A10),0)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IFERROR(SUMIFS(Transactions!$F$2:$F$601,Transactions!$H$2:$H$601,Settings!$B$2,Transactions!$G$2:$G$601,1,Transactions!$C$2:$C$601,A11),0)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IFERROR(SUMIFS(Transactions!$F$2:$F$601,Transactions!$H$2:$H$601,Settings!$B$2,Transactions!$G$2:$G$601,1,Transactions!$C$2:$C$601,A15),0)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IFERROR(SUMIFS(Transactions!$F$2:$F$601,Transactions!$H$2:$H$601,Settings!$B$2,Transactions!$G$2:$G$601,1,Transactions!$C$2:$C$601,A16),0)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IFERROR(SUMIFS(Transactions!$F$2:$F$601,Transactions!$H$2:$H$601,Settings!$B$2,Transactions!$G$2:$G$601,1,Transactions!$C$2:$C$601,A17),0)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IFERROR(SUMIFS(Transactions!$F$2:$F$601,Transactions!$H$2:$H$601,Settings!$B$2,Transactions!$G$2:$G$601,1,Transactions!$C$2:$C$601,A18),0)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IFERROR(SUMIFS(Transactions!$F$2:$F$601,Transactions!$H$2:$H$601,Settings!$B$2,Transactions!$G$2:$G$601,1,Transactions!$C$2:$C$601,A19),0)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IFERROR(SUMIFS(Transactions!$F$2:$F$601,Transactions!$H$2:$H$601,Settings!$B$2,Transactions!$G$2:$G$601,1,Transactions!$C$2:$C$601,A20),0)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IFERROR(SUMIFS(Transactions!$F$2:$F$601,Transactions!$H$2:$H$601,Settings!$B$2,Transactions!$G$2:$G$601,1,Transactions!$C$2:$C$601,A21),0)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IFERROR(SUMIFS(Transactions!$F$2:$F$601,Transactions!$H$2:$H$601,Settings!$B$2,Transactions!$G$2:$G$601,1,Transactions!$C$2:$C$601,A22),0)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IFERROR(SUMIFS(Transactions!$F$2:$F$601,Transactions!$H$2:$H$601,Settings!$B$2,Transactions!$G$2:$G$601,1,Transactions!$C$2:$C$601,A23),0)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IFERROR(SUMIFS(Transactions!$F$2:$F$601,Transactions!$H$2:$H$601,Settings!$B$2,Transactions!$G$2:$G$601,1,Transactions!$C$2:$C$601,A24),0)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IFERROR(SUMIFS(Transactions!$F$2:$F$601,Transactions!$H$2:$H$601,Settings!$B$2,Transactions!$G$2:$G$601,1,Transactions!$C$2:$C$601,A25),0)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IFERROR(SUMIFS(Transactions!$F$2:$F$601,Transactions!$H$2:$H$601,Settings!$B$2,Transactions!$G$2:$G$601,1,Transactions!$C$2:$C$601,A26),0)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IFERROR(SUMIFS(Transactions!$F$2:$F$601,Transactions!$H$2:$H$601,Settings!$B$2,Transactions!$G$2:$G$601,1,Transactions!$C$2:$C$601,A27),0)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IFERROR(SUMIFS(Transactions!$F$2:$F$601,Transactions!$H$2:$H$601,Settings!$B$2,Transactions!$G$2:$G$601,1,Transactions!$C$2:$C$601,A28),0)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IFERROR(SUMIFS(Transactions!$F$2:$F$601,Transactions!$H$2:$H$601,Settings!$B$2,Transactions!$G$2:$G$601,1,Transactions!$C$2:$C$601,A29),0)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IFERROR(SUMIFS(Transactions!$F$2:$F$601,Transactions!$H$2:$H$601,Settings!$B$2,Transactions!$G$2:$G$601,1,Transactions!$C$2:$C$601,A30),0)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IFERROR(SUMIFS(Transactions!$F$2:$F$601,Transactions!$H$2:$H$601,Settings!$B$2,Transactions!$G$2:$G$601,1,Transactions!$C$2:$C$601,A31),0)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IFERROR(SUMIFS(Transactions!$F$2:$F$601,Transactions!$H$2:$H$601,Settings!$B$2,Transactions!$G$2:$G$601,1,Transactions!$C$2:$C$601,A32),0)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IFERROR(SUMIFS(Transactions!$F$2:$F$601,Transactions!$H$2:$H$601,Settings!$B$2,Transactions!$G$2:$G$601,1,Transactions!$C$2:$C$601,A33),0)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IFERROR(SUMIFS(Transactions!$F$2:$F$601,Transactions!$H$2:$H$601,Settings!$B$2,Transactions!$G$2:$G$601,1,Transactions!$C$2:$C$601,A34),0)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IFERROR(SUMIFS(Transactions!$F$2:$F$601,Transactions!$H$2:$H$601,Settings!$B$2,Transactions!$G$2:$G$601,1,Transactions!$C$2:$C$601,A35),0)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IFERROR(SUMIFS(Transactions!$F$2:$F$601,Transactions!$H$2:$H$601,Settings!$B$2,Transactions!$G$2:$G$601,1,Transactions!$C$2:$C$601,A36),0)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Feb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IFERROR(SUMIFS(Transactions!$F$2:$F$601,Transactions!$H$2:$H$601,Settings!$B$2,Transactions!$G$2:$G$601,2,Transactions!$C$2:$C$601,A4),0)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IFERROR(SUMIFS(Transactions!$F$2:$F$601,Transactions!$H$2:$H$601,Settings!$B$2,Transactions!$G$2:$G$601,2,Transactions!$C$2:$C$601,A5),0)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IFERROR(SUMIFS(Transactions!$F$2:$F$601,Transactions!$H$2:$H$601,Settings!$B$2,Transactions!$G$2:$G$601,2,Transactions!$C$2:$C$601,A6),0)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IFERROR(SUMIFS(Transactions!$F$2:$F$601,Transactions!$H$2:$H$601,Settings!$B$2,Transactions!$G$2:$G$601,2,Transactions!$C$2:$C$601,A7),0)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IFERROR(SUMIFS(Transactions!$F$2:$F$601,Transactions!$H$2:$H$601,Settings!$B$2,Transactions!$G$2:$G$601,2,Transactions!$C$2:$C$601,A8),0)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IFERROR(SUMIFS(Transactions!$F$2:$F$601,Transactions!$H$2:$H$601,Settings!$B$2,Transactions!$G$2:$G$601,2,Transactions!$C$2:$C$601,A9),0)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IFERROR(SUMIFS(Transactions!$F$2:$F$601,Transactions!$H$2:$H$601,Settings!$B$2,Transactions!$G$2:$G$601,2,Transactions!$C$2:$C$601,A10),0)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IFERROR(SUMIFS(Transactions!$F$2:$F$601,Transactions!$H$2:$H$601,Settings!$B$2,Transactions!$G$2:$G$601,2,Transactions!$C$2:$C$601,A11),0)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IFERROR(SUMIFS(Transactions!$F$2:$F$601,Transactions!$H$2:$H$601,Settings!$B$2,Transactions!$G$2:$G$601,2,Transactions!$C$2:$C$601,A15),0)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IFERROR(SUMIFS(Transactions!$F$2:$F$601,Transactions!$H$2:$H$601,Settings!$B$2,Transactions!$G$2:$G$601,2,Transactions!$C$2:$C$601,A16),0)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IFERROR(SUMIFS(Transactions!$F$2:$F$601,Transactions!$H$2:$H$601,Settings!$B$2,Transactions!$G$2:$G$601,2,Transactions!$C$2:$C$601,A17),0)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IFERROR(SUMIFS(Transactions!$F$2:$F$601,Transactions!$H$2:$H$601,Settings!$B$2,Transactions!$G$2:$G$601,2,Transactions!$C$2:$C$601,A18),0)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IFERROR(SUMIFS(Transactions!$F$2:$F$601,Transactions!$H$2:$H$601,Settings!$B$2,Transactions!$G$2:$G$601,2,Transactions!$C$2:$C$601,A19),0)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IFERROR(SUMIFS(Transactions!$F$2:$F$601,Transactions!$H$2:$H$601,Settings!$B$2,Transactions!$G$2:$G$601,2,Transactions!$C$2:$C$601,A20),0)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IFERROR(SUMIFS(Transactions!$F$2:$F$601,Transactions!$H$2:$H$601,Settings!$B$2,Transactions!$G$2:$G$601,2,Transactions!$C$2:$C$601,A21),0)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IFERROR(SUMIFS(Transactions!$F$2:$F$601,Transactions!$H$2:$H$601,Settings!$B$2,Transactions!$G$2:$G$601,2,Transactions!$C$2:$C$601,A22),0)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IFERROR(SUMIFS(Transactions!$F$2:$F$601,Transactions!$H$2:$H$601,Settings!$B$2,Transactions!$G$2:$G$601,2,Transactions!$C$2:$C$601,A23),0)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IFERROR(SUMIFS(Transactions!$F$2:$F$601,Transactions!$H$2:$H$601,Settings!$B$2,Transactions!$G$2:$G$601,2,Transactions!$C$2:$C$601,A24),0)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IFERROR(SUMIFS(Transactions!$F$2:$F$601,Transactions!$H$2:$H$601,Settings!$B$2,Transactions!$G$2:$G$601,2,Transactions!$C$2:$C$601,A25),0)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IFERROR(SUMIFS(Transactions!$F$2:$F$601,Transactions!$H$2:$H$601,Settings!$B$2,Transactions!$G$2:$G$601,2,Transactions!$C$2:$C$601,A26),0)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IFERROR(SUMIFS(Transactions!$F$2:$F$601,Transactions!$H$2:$H$601,Settings!$B$2,Transactions!$G$2:$G$601,2,Transactions!$C$2:$C$601,A27),0)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IFERROR(SUMIFS(Transactions!$F$2:$F$601,Transactions!$H$2:$H$601,Settings!$B$2,Transactions!$G$2:$G$601,2,Transactions!$C$2:$C$601,A28),0)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IFERROR(SUMIFS(Transactions!$F$2:$F$601,Transactions!$H$2:$H$601,Settings!$B$2,Transactions!$G$2:$G$601,2,Transactions!$C$2:$C$601,A29),0)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IFERROR(SUMIFS(Transactions!$F$2:$F$601,Transactions!$H$2:$H$601,Settings!$B$2,Transactions!$G$2:$G$601,2,Transactions!$C$2:$C$601,A30),0)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IFERROR(SUMIFS(Transactions!$F$2:$F$601,Transactions!$H$2:$H$601,Settings!$B$2,Transactions!$G$2:$G$601,2,Transactions!$C$2:$C$601,A31),0)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IFERROR(SUMIFS(Transactions!$F$2:$F$601,Transactions!$H$2:$H$601,Settings!$B$2,Transactions!$G$2:$G$601,2,Transactions!$C$2:$C$601,A32),0)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IFERROR(SUMIFS(Transactions!$F$2:$F$601,Transactions!$H$2:$H$601,Settings!$B$2,Transactions!$G$2:$G$601,2,Transactions!$C$2:$C$601,A33),0)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IFERROR(SUMIFS(Transactions!$F$2:$F$601,Transactions!$H$2:$H$601,Settings!$B$2,Transactions!$G$2:$G$601,2,Transactions!$C$2:$C$601,A34),0)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IFERROR(SUMIFS(Transactions!$F$2:$F$601,Transactions!$H$2:$H$601,Settings!$B$2,Transactions!$G$2:$G$601,2,Transactions!$C$2:$C$601,A35),0)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IFERROR(SUMIFS(Transactions!$F$2:$F$601,Transactions!$H$2:$H$601,Settings!$B$2,Transactions!$G$2:$G$601,2,Transactions!$C$2:$C$601,A36),0)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Mar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IFERROR(SUMIFS(Transactions!$F$2:$F$601,Transactions!$H$2:$H$601,Settings!$B$2,Transactions!$G$2:$G$601,3,Transactions!$C$2:$C$601,A4),0)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IFERROR(SUMIFS(Transactions!$F$2:$F$601,Transactions!$H$2:$H$601,Settings!$B$2,Transactions!$G$2:$G$601,3,Transactions!$C$2:$C$601,A5),0)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IFERROR(SUMIFS(Transactions!$F$2:$F$601,Transactions!$H$2:$H$601,Settings!$B$2,Transactions!$G$2:$G$601,3,Transactions!$C$2:$C$601,A6),0)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IFERROR(SUMIFS(Transactions!$F$2:$F$601,Transactions!$H$2:$H$601,Settings!$B$2,Transactions!$G$2:$G$601,3,Transactions!$C$2:$C$601,A7),0)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IFERROR(SUMIFS(Transactions!$F$2:$F$601,Transactions!$H$2:$H$601,Settings!$B$2,Transactions!$G$2:$G$601,3,Transactions!$C$2:$C$601,A8),0)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IFERROR(SUMIFS(Transactions!$F$2:$F$601,Transactions!$H$2:$H$601,Settings!$B$2,Transactions!$G$2:$G$601,3,Transactions!$C$2:$C$601,A9),0)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IFERROR(SUMIFS(Transactions!$F$2:$F$601,Transactions!$H$2:$H$601,Settings!$B$2,Transactions!$G$2:$G$601,3,Transactions!$C$2:$C$601,A10),0)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IFERROR(SUMIFS(Transactions!$F$2:$F$601,Transactions!$H$2:$H$601,Settings!$B$2,Transactions!$G$2:$G$601,3,Transactions!$C$2:$C$601,A11),0)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IFERROR(SUMIFS(Transactions!$F$2:$F$601,Transactions!$H$2:$H$601,Settings!$B$2,Transactions!$G$2:$G$601,3,Transactions!$C$2:$C$601,A15),0)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IFERROR(SUMIFS(Transactions!$F$2:$F$601,Transactions!$H$2:$H$601,Settings!$B$2,Transactions!$G$2:$G$601,3,Transactions!$C$2:$C$601,A16),0)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IFERROR(SUMIFS(Transactions!$F$2:$F$601,Transactions!$H$2:$H$601,Settings!$B$2,Transactions!$G$2:$G$601,3,Transactions!$C$2:$C$601,A17),0)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IFERROR(SUMIFS(Transactions!$F$2:$F$601,Transactions!$H$2:$H$601,Settings!$B$2,Transactions!$G$2:$G$601,3,Transactions!$C$2:$C$601,A18),0)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IFERROR(SUMIFS(Transactions!$F$2:$F$601,Transactions!$H$2:$H$601,Settings!$B$2,Transactions!$G$2:$G$601,3,Transactions!$C$2:$C$601,A19),0)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IFERROR(SUMIFS(Transactions!$F$2:$F$601,Transactions!$H$2:$H$601,Settings!$B$2,Transactions!$G$2:$G$601,3,Transactions!$C$2:$C$601,A20),0)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IFERROR(SUMIFS(Transactions!$F$2:$F$601,Transactions!$H$2:$H$601,Settings!$B$2,Transactions!$G$2:$G$601,3,Transactions!$C$2:$C$601,A21),0)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IFERROR(SUMIFS(Transactions!$F$2:$F$601,Transactions!$H$2:$H$601,Settings!$B$2,Transactions!$G$2:$G$601,3,Transactions!$C$2:$C$601,A22),0)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IFERROR(SUMIFS(Transactions!$F$2:$F$601,Transactions!$H$2:$H$601,Settings!$B$2,Transactions!$G$2:$G$601,3,Transactions!$C$2:$C$601,A23),0)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IFERROR(SUMIFS(Transactions!$F$2:$F$601,Transactions!$H$2:$H$601,Settings!$B$2,Transactions!$G$2:$G$601,3,Transactions!$C$2:$C$601,A24),0)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IFERROR(SUMIFS(Transactions!$F$2:$F$601,Transactions!$H$2:$H$601,Settings!$B$2,Transactions!$G$2:$G$601,3,Transactions!$C$2:$C$601,A25),0)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IFERROR(SUMIFS(Transactions!$F$2:$F$601,Transactions!$H$2:$H$601,Settings!$B$2,Transactions!$G$2:$G$601,3,Transactions!$C$2:$C$601,A26),0)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IFERROR(SUMIFS(Transactions!$F$2:$F$601,Transactions!$H$2:$H$601,Settings!$B$2,Transactions!$G$2:$G$601,3,Transactions!$C$2:$C$601,A27),0)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IFERROR(SUMIFS(Transactions!$F$2:$F$601,Transactions!$H$2:$H$601,Settings!$B$2,Transactions!$G$2:$G$601,3,Transactions!$C$2:$C$601,A28),0)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IFERROR(SUMIFS(Transactions!$F$2:$F$601,Transactions!$H$2:$H$601,Settings!$B$2,Transactions!$G$2:$G$601,3,Transactions!$C$2:$C$601,A29),0)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IFERROR(SUMIFS(Transactions!$F$2:$F$601,Transactions!$H$2:$H$601,Settings!$B$2,Transactions!$G$2:$G$601,3,Transactions!$C$2:$C$601,A30),0)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IFERROR(SUMIFS(Transactions!$F$2:$F$601,Transactions!$H$2:$H$601,Settings!$B$2,Transactions!$G$2:$G$601,3,Transactions!$C$2:$C$601,A31),0)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IFERROR(SUMIFS(Transactions!$F$2:$F$601,Transactions!$H$2:$H$601,Settings!$B$2,Transactions!$G$2:$G$601,3,Transactions!$C$2:$C$601,A32),0)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IFERROR(SUMIFS(Transactions!$F$2:$F$601,Transactions!$H$2:$H$601,Settings!$B$2,Transactions!$G$2:$G$601,3,Transactions!$C$2:$C$601,A33),0)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IFERROR(SUMIFS(Transactions!$F$2:$F$601,Transactions!$H$2:$H$601,Settings!$B$2,Transactions!$G$2:$G$601,3,Transactions!$C$2:$C$601,A34),0)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IFERROR(SUMIFS(Transactions!$F$2:$F$601,Transactions!$H$2:$H$601,Settings!$B$2,Transactions!$G$2:$G$601,3,Transactions!$C$2:$C$601,A35),0)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IFERROR(SUMIFS(Transactions!$F$2:$F$601,Transactions!$H$2:$H$601,Settings!$B$2,Transactions!$G$2:$G$601,3,Transactions!$C$2:$C$601,A36),0)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Apr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IFERROR(SUMIFS(Transactions!$F$2:$F$601,Transactions!$H$2:$H$601,Settings!$B$2,Transactions!$G$2:$G$601,4,Transactions!$C$2:$C$601,A4),0)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IFERROR(SUMIFS(Transactions!$F$2:$F$601,Transactions!$H$2:$H$601,Settings!$B$2,Transactions!$G$2:$G$601,4,Transactions!$C$2:$C$601,A5),0)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IFERROR(SUMIFS(Transactions!$F$2:$F$601,Transactions!$H$2:$H$601,Settings!$B$2,Transactions!$G$2:$G$601,4,Transactions!$C$2:$C$601,A6),0)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IFERROR(SUMIFS(Transactions!$F$2:$F$601,Transactions!$H$2:$H$601,Settings!$B$2,Transactions!$G$2:$G$601,4,Transactions!$C$2:$C$601,A7),0)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IFERROR(SUMIFS(Transactions!$F$2:$F$601,Transactions!$H$2:$H$601,Settings!$B$2,Transactions!$G$2:$G$601,4,Transactions!$C$2:$C$601,A8),0)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IFERROR(SUMIFS(Transactions!$F$2:$F$601,Transactions!$H$2:$H$601,Settings!$B$2,Transactions!$G$2:$G$601,4,Transactions!$C$2:$C$601,A9),0)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IFERROR(SUMIFS(Transactions!$F$2:$F$601,Transactions!$H$2:$H$601,Settings!$B$2,Transactions!$G$2:$G$601,4,Transactions!$C$2:$C$601,A10),0)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IFERROR(SUMIFS(Transactions!$F$2:$F$601,Transactions!$H$2:$H$601,Settings!$B$2,Transactions!$G$2:$G$601,4,Transactions!$C$2:$C$601,A11),0)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IFERROR(SUMIFS(Transactions!$F$2:$F$601,Transactions!$H$2:$H$601,Settings!$B$2,Transactions!$G$2:$G$601,4,Transactions!$C$2:$C$601,A15),0)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IFERROR(SUMIFS(Transactions!$F$2:$F$601,Transactions!$H$2:$H$601,Settings!$B$2,Transactions!$G$2:$G$601,4,Transactions!$C$2:$C$601,A16),0)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IFERROR(SUMIFS(Transactions!$F$2:$F$601,Transactions!$H$2:$H$601,Settings!$B$2,Transactions!$G$2:$G$601,4,Transactions!$C$2:$C$601,A17),0)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IFERROR(SUMIFS(Transactions!$F$2:$F$601,Transactions!$H$2:$H$601,Settings!$B$2,Transactions!$G$2:$G$601,4,Transactions!$C$2:$C$601,A18),0)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IFERROR(SUMIFS(Transactions!$F$2:$F$601,Transactions!$H$2:$H$601,Settings!$B$2,Transactions!$G$2:$G$601,4,Transactions!$C$2:$C$601,A19),0)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IFERROR(SUMIFS(Transactions!$F$2:$F$601,Transactions!$H$2:$H$601,Settings!$B$2,Transactions!$G$2:$G$601,4,Transactions!$C$2:$C$601,A20),0)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IFERROR(SUMIFS(Transactions!$F$2:$F$601,Transactions!$H$2:$H$601,Settings!$B$2,Transactions!$G$2:$G$601,4,Transactions!$C$2:$C$601,A21),0)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IFERROR(SUMIFS(Transactions!$F$2:$F$601,Transactions!$H$2:$H$601,Settings!$B$2,Transactions!$G$2:$G$601,4,Transactions!$C$2:$C$601,A22),0)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IFERROR(SUMIFS(Transactions!$F$2:$F$601,Transactions!$H$2:$H$601,Settings!$B$2,Transactions!$G$2:$G$601,4,Transactions!$C$2:$C$601,A23),0)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IFERROR(SUMIFS(Transactions!$F$2:$F$601,Transactions!$H$2:$H$601,Settings!$B$2,Transactions!$G$2:$G$601,4,Transactions!$C$2:$C$601,A24),0)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IFERROR(SUMIFS(Transactions!$F$2:$F$601,Transactions!$H$2:$H$601,Settings!$B$2,Transactions!$G$2:$G$601,4,Transactions!$C$2:$C$601,A25),0)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IFERROR(SUMIFS(Transactions!$F$2:$F$601,Transactions!$H$2:$H$601,Settings!$B$2,Transactions!$G$2:$G$601,4,Transactions!$C$2:$C$601,A26),0)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IFERROR(SUMIFS(Transactions!$F$2:$F$601,Transactions!$H$2:$H$601,Settings!$B$2,Transactions!$G$2:$G$601,4,Transactions!$C$2:$C$601,A27),0)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IFERROR(SUMIFS(Transactions!$F$2:$F$601,Transactions!$H$2:$H$601,Settings!$B$2,Transactions!$G$2:$G$601,4,Transactions!$C$2:$C$601,A28),0)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IFERROR(SUMIFS(Transactions!$F$2:$F$601,Transactions!$H$2:$H$601,Settings!$B$2,Transactions!$G$2:$G$601,4,Transactions!$C$2:$C$601,A29),0)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IFERROR(SUMIFS(Transactions!$F$2:$F$601,Transactions!$H$2:$H$601,Settings!$B$2,Transactions!$G$2:$G$601,4,Transactions!$C$2:$C$601,A30),0)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IFERROR(SUMIFS(Transactions!$F$2:$F$601,Transactions!$H$2:$H$601,Settings!$B$2,Transactions!$G$2:$G$601,4,Transactions!$C$2:$C$601,A31),0)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IFERROR(SUMIFS(Transactions!$F$2:$F$601,Transactions!$H$2:$H$601,Settings!$B$2,Transactions!$G$2:$G$601,4,Transactions!$C$2:$C$601,A32),0)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IFERROR(SUMIFS(Transactions!$F$2:$F$601,Transactions!$H$2:$H$601,Settings!$B$2,Transactions!$G$2:$G$601,4,Transactions!$C$2:$C$601,A33),0)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IFERROR(SUMIFS(Transactions!$F$2:$F$601,Transactions!$H$2:$H$601,Settings!$B$2,Transactions!$G$2:$G$601,4,Transactions!$C$2:$C$601,A34),0)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IFERROR(SUMIFS(Transactions!$F$2:$F$601,Transactions!$H$2:$H$601,Settings!$B$2,Transactions!$G$2:$G$601,4,Transactions!$C$2:$C$601,A35),0)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IFERROR(SUMIFS(Transactions!$F$2:$F$601,Transactions!$H$2:$H$601,Settings!$B$2,Transactions!$G$2:$G$601,4,Transactions!$C$2:$C$601,A36),0)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May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IFERROR(SUMIFS(Transactions!$F$2:$F$601,Transactions!$H$2:$H$601,Settings!$B$2,Transactions!$G$2:$G$601,5,Transactions!$C$2:$C$601,A4),0)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IFERROR(SUMIFS(Transactions!$F$2:$F$601,Transactions!$H$2:$H$601,Settings!$B$2,Transactions!$G$2:$G$601,5,Transactions!$C$2:$C$601,A5),0)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IFERROR(SUMIFS(Transactions!$F$2:$F$601,Transactions!$H$2:$H$601,Settings!$B$2,Transactions!$G$2:$G$601,5,Transactions!$C$2:$C$601,A6),0)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IFERROR(SUMIFS(Transactions!$F$2:$F$601,Transactions!$H$2:$H$601,Settings!$B$2,Transactions!$G$2:$G$601,5,Transactions!$C$2:$C$601,A7),0)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IFERROR(SUMIFS(Transactions!$F$2:$F$601,Transactions!$H$2:$H$601,Settings!$B$2,Transactions!$G$2:$G$601,5,Transactions!$C$2:$C$601,A8),0)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IFERROR(SUMIFS(Transactions!$F$2:$F$601,Transactions!$H$2:$H$601,Settings!$B$2,Transactions!$G$2:$G$601,5,Transactions!$C$2:$C$601,A9),0)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IFERROR(SUMIFS(Transactions!$F$2:$F$601,Transactions!$H$2:$H$601,Settings!$B$2,Transactions!$G$2:$G$601,5,Transactions!$C$2:$C$601,A10),0)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IFERROR(SUMIFS(Transactions!$F$2:$F$601,Transactions!$H$2:$H$601,Settings!$B$2,Transactions!$G$2:$G$601,5,Transactions!$C$2:$C$601,A11),0)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IFERROR(SUMIFS(Transactions!$F$2:$F$601,Transactions!$H$2:$H$601,Settings!$B$2,Transactions!$G$2:$G$601,5,Transactions!$C$2:$C$601,A15),0)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IFERROR(SUMIFS(Transactions!$F$2:$F$601,Transactions!$H$2:$H$601,Settings!$B$2,Transactions!$G$2:$G$601,5,Transactions!$C$2:$C$601,A16),0)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IFERROR(SUMIFS(Transactions!$F$2:$F$601,Transactions!$H$2:$H$601,Settings!$B$2,Transactions!$G$2:$G$601,5,Transactions!$C$2:$C$601,A17),0)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IFERROR(SUMIFS(Transactions!$F$2:$F$601,Transactions!$H$2:$H$601,Settings!$B$2,Transactions!$G$2:$G$601,5,Transactions!$C$2:$C$601,A18),0)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IFERROR(SUMIFS(Transactions!$F$2:$F$601,Transactions!$H$2:$H$601,Settings!$B$2,Transactions!$G$2:$G$601,5,Transactions!$C$2:$C$601,A19),0)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IFERROR(SUMIFS(Transactions!$F$2:$F$601,Transactions!$H$2:$H$601,Settings!$B$2,Transactions!$G$2:$G$601,5,Transactions!$C$2:$C$601,A20),0)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IFERROR(SUMIFS(Transactions!$F$2:$F$601,Transactions!$H$2:$H$601,Settings!$B$2,Transactions!$G$2:$G$601,5,Transactions!$C$2:$C$601,A21),0)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IFERROR(SUMIFS(Transactions!$F$2:$F$601,Transactions!$H$2:$H$601,Settings!$B$2,Transactions!$G$2:$G$601,5,Transactions!$C$2:$C$601,A22),0)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IFERROR(SUMIFS(Transactions!$F$2:$F$601,Transactions!$H$2:$H$601,Settings!$B$2,Transactions!$G$2:$G$601,5,Transactions!$C$2:$C$601,A23),0)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IFERROR(SUMIFS(Transactions!$F$2:$F$601,Transactions!$H$2:$H$601,Settings!$B$2,Transactions!$G$2:$G$601,5,Transactions!$C$2:$C$601,A24),0)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IFERROR(SUMIFS(Transactions!$F$2:$F$601,Transactions!$H$2:$H$601,Settings!$B$2,Transactions!$G$2:$G$601,5,Transactions!$C$2:$C$601,A25),0)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IFERROR(SUMIFS(Transactions!$F$2:$F$601,Transactions!$H$2:$H$601,Settings!$B$2,Transactions!$G$2:$G$601,5,Transactions!$C$2:$C$601,A26),0)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IFERROR(SUMIFS(Transactions!$F$2:$F$601,Transactions!$H$2:$H$601,Settings!$B$2,Transactions!$G$2:$G$601,5,Transactions!$C$2:$C$601,A27),0)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IFERROR(SUMIFS(Transactions!$F$2:$F$601,Transactions!$H$2:$H$601,Settings!$B$2,Transactions!$G$2:$G$601,5,Transactions!$C$2:$C$601,A28),0)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IFERROR(SUMIFS(Transactions!$F$2:$F$601,Transactions!$H$2:$H$601,Settings!$B$2,Transactions!$G$2:$G$601,5,Transactions!$C$2:$C$601,A29),0)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IFERROR(SUMIFS(Transactions!$F$2:$F$601,Transactions!$H$2:$H$601,Settings!$B$2,Transactions!$G$2:$G$601,5,Transactions!$C$2:$C$601,A30),0)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IFERROR(SUMIFS(Transactions!$F$2:$F$601,Transactions!$H$2:$H$601,Settings!$B$2,Transactions!$G$2:$G$601,5,Transactions!$C$2:$C$601,A31),0)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IFERROR(SUMIFS(Transactions!$F$2:$F$601,Transactions!$H$2:$H$601,Settings!$B$2,Transactions!$G$2:$G$601,5,Transactions!$C$2:$C$601,A32),0)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IFERROR(SUMIFS(Transactions!$F$2:$F$601,Transactions!$H$2:$H$601,Settings!$B$2,Transactions!$G$2:$G$601,5,Transactions!$C$2:$C$601,A33),0)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IFERROR(SUMIFS(Transactions!$F$2:$F$601,Transactions!$H$2:$H$601,Settings!$B$2,Transactions!$G$2:$G$601,5,Transactions!$C$2:$C$601,A34),0)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IFERROR(SUMIFS(Transactions!$F$2:$F$601,Transactions!$H$2:$H$601,Settings!$B$2,Transactions!$G$2:$G$601,5,Transactions!$C$2:$C$601,A35),0)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IFERROR(SUMIFS(Transactions!$F$2:$F$601,Transactions!$H$2:$H$601,Settings!$B$2,Transactions!$G$2:$G$601,5,Transactions!$C$2:$C$601,A36),0)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Jun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IFERROR(SUMIFS(Transactions!$F$2:$F$601,Transactions!$H$2:$H$601,Settings!$B$2,Transactions!$G$2:$G$601,6,Transactions!$C$2:$C$601,A4),0)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IFERROR(SUMIFS(Transactions!$F$2:$F$601,Transactions!$H$2:$H$601,Settings!$B$2,Transactions!$G$2:$G$601,6,Transactions!$C$2:$C$601,A5),0)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IFERROR(SUMIFS(Transactions!$F$2:$F$601,Transactions!$H$2:$H$601,Settings!$B$2,Transactions!$G$2:$G$601,6,Transactions!$C$2:$C$601,A6),0)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IFERROR(SUMIFS(Transactions!$F$2:$F$601,Transactions!$H$2:$H$601,Settings!$B$2,Transactions!$G$2:$G$601,6,Transactions!$C$2:$C$601,A7),0)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IFERROR(SUMIFS(Transactions!$F$2:$F$601,Transactions!$H$2:$H$601,Settings!$B$2,Transactions!$G$2:$G$601,6,Transactions!$C$2:$C$601,A8),0)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IFERROR(SUMIFS(Transactions!$F$2:$F$601,Transactions!$H$2:$H$601,Settings!$B$2,Transactions!$G$2:$G$601,6,Transactions!$C$2:$C$601,A9),0)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IFERROR(SUMIFS(Transactions!$F$2:$F$601,Transactions!$H$2:$H$601,Settings!$B$2,Transactions!$G$2:$G$601,6,Transactions!$C$2:$C$601,A10),0)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IFERROR(SUMIFS(Transactions!$F$2:$F$601,Transactions!$H$2:$H$601,Settings!$B$2,Transactions!$G$2:$G$601,6,Transactions!$C$2:$C$601,A11),0)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IFERROR(SUMIFS(Transactions!$F$2:$F$601,Transactions!$H$2:$H$601,Settings!$B$2,Transactions!$G$2:$G$601,6,Transactions!$C$2:$C$601,A15),0)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IFERROR(SUMIFS(Transactions!$F$2:$F$601,Transactions!$H$2:$H$601,Settings!$B$2,Transactions!$G$2:$G$601,6,Transactions!$C$2:$C$601,A16),0)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IFERROR(SUMIFS(Transactions!$F$2:$F$601,Transactions!$H$2:$H$601,Settings!$B$2,Transactions!$G$2:$G$601,6,Transactions!$C$2:$C$601,A17),0)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IFERROR(SUMIFS(Transactions!$F$2:$F$601,Transactions!$H$2:$H$601,Settings!$B$2,Transactions!$G$2:$G$601,6,Transactions!$C$2:$C$601,A18),0)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IFERROR(SUMIFS(Transactions!$F$2:$F$601,Transactions!$H$2:$H$601,Settings!$B$2,Transactions!$G$2:$G$601,6,Transactions!$C$2:$C$601,A19),0)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IFERROR(SUMIFS(Transactions!$F$2:$F$601,Transactions!$H$2:$H$601,Settings!$B$2,Transactions!$G$2:$G$601,6,Transactions!$C$2:$C$601,A20),0)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IFERROR(SUMIFS(Transactions!$F$2:$F$601,Transactions!$H$2:$H$601,Settings!$B$2,Transactions!$G$2:$G$601,6,Transactions!$C$2:$C$601,A21),0)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IFERROR(SUMIFS(Transactions!$F$2:$F$601,Transactions!$H$2:$H$601,Settings!$B$2,Transactions!$G$2:$G$601,6,Transactions!$C$2:$C$601,A22),0)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IFERROR(SUMIFS(Transactions!$F$2:$F$601,Transactions!$H$2:$H$601,Settings!$B$2,Transactions!$G$2:$G$601,6,Transactions!$C$2:$C$601,A23),0)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IFERROR(SUMIFS(Transactions!$F$2:$F$601,Transactions!$H$2:$H$601,Settings!$B$2,Transactions!$G$2:$G$601,6,Transactions!$C$2:$C$601,A24),0)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IFERROR(SUMIFS(Transactions!$F$2:$F$601,Transactions!$H$2:$H$601,Settings!$B$2,Transactions!$G$2:$G$601,6,Transactions!$C$2:$C$601,A25),0)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IFERROR(SUMIFS(Transactions!$F$2:$F$601,Transactions!$H$2:$H$601,Settings!$B$2,Transactions!$G$2:$G$601,6,Transactions!$C$2:$C$601,A26),0)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IFERROR(SUMIFS(Transactions!$F$2:$F$601,Transactions!$H$2:$H$601,Settings!$B$2,Transactions!$G$2:$G$601,6,Transactions!$C$2:$C$601,A27),0)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IFERROR(SUMIFS(Transactions!$F$2:$F$601,Transactions!$H$2:$H$601,Settings!$B$2,Transactions!$G$2:$G$601,6,Transactions!$C$2:$C$601,A28),0)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IFERROR(SUMIFS(Transactions!$F$2:$F$601,Transactions!$H$2:$H$601,Settings!$B$2,Transactions!$G$2:$G$601,6,Transactions!$C$2:$C$601,A29),0)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IFERROR(SUMIFS(Transactions!$F$2:$F$601,Transactions!$H$2:$H$601,Settings!$B$2,Transactions!$G$2:$G$601,6,Transactions!$C$2:$C$601,A30),0)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IFERROR(SUMIFS(Transactions!$F$2:$F$601,Transactions!$H$2:$H$601,Settings!$B$2,Transactions!$G$2:$G$601,6,Transactions!$C$2:$C$601,A31),0)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IFERROR(SUMIFS(Transactions!$F$2:$F$601,Transactions!$H$2:$H$601,Settings!$B$2,Transactions!$G$2:$G$601,6,Transactions!$C$2:$C$601,A32),0)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IFERROR(SUMIFS(Transactions!$F$2:$F$601,Transactions!$H$2:$H$601,Settings!$B$2,Transactions!$G$2:$G$601,6,Transactions!$C$2:$C$601,A33),0)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IFERROR(SUMIFS(Transactions!$F$2:$F$601,Transactions!$H$2:$H$601,Settings!$B$2,Transactions!$G$2:$G$601,6,Transactions!$C$2:$C$601,A34),0)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IFERROR(SUMIFS(Transactions!$F$2:$F$601,Transactions!$H$2:$H$601,Settings!$B$2,Transactions!$G$2:$G$601,6,Transactions!$C$2:$C$601,A35),0)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IFERROR(SUMIFS(Transactions!$F$2:$F$601,Transactions!$H$2:$H$601,Settings!$B$2,Transactions!$G$2:$G$601,6,Transactions!$C$2:$C$601,A36),0)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Jul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IFERROR(SUMIFS(Transactions!$F$2:$F$601,Transactions!$H$2:$H$601,Settings!$B$2,Transactions!$G$2:$G$601,7,Transactions!$C$2:$C$601,A4),0)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IFERROR(SUMIFS(Transactions!$F$2:$F$601,Transactions!$H$2:$H$601,Settings!$B$2,Transactions!$G$2:$G$601,7,Transactions!$C$2:$C$601,A5),0)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IFERROR(SUMIFS(Transactions!$F$2:$F$601,Transactions!$H$2:$H$601,Settings!$B$2,Transactions!$G$2:$G$601,7,Transactions!$C$2:$C$601,A6),0)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IFERROR(SUMIFS(Transactions!$F$2:$F$601,Transactions!$H$2:$H$601,Settings!$B$2,Transactions!$G$2:$G$601,7,Transactions!$C$2:$C$601,A7),0)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IFERROR(SUMIFS(Transactions!$F$2:$F$601,Transactions!$H$2:$H$601,Settings!$B$2,Transactions!$G$2:$G$601,7,Transactions!$C$2:$C$601,A8),0)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IFERROR(SUMIFS(Transactions!$F$2:$F$601,Transactions!$H$2:$H$601,Settings!$B$2,Transactions!$G$2:$G$601,7,Transactions!$C$2:$C$601,A9),0)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IFERROR(SUMIFS(Transactions!$F$2:$F$601,Transactions!$H$2:$H$601,Settings!$B$2,Transactions!$G$2:$G$601,7,Transactions!$C$2:$C$601,A10),0)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IFERROR(SUMIFS(Transactions!$F$2:$F$601,Transactions!$H$2:$H$601,Settings!$B$2,Transactions!$G$2:$G$601,7,Transactions!$C$2:$C$601,A11),0)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IFERROR(SUMIFS(Transactions!$F$2:$F$601,Transactions!$H$2:$H$601,Settings!$B$2,Transactions!$G$2:$G$601,7,Transactions!$C$2:$C$601,A15),0)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IFERROR(SUMIFS(Transactions!$F$2:$F$601,Transactions!$H$2:$H$601,Settings!$B$2,Transactions!$G$2:$G$601,7,Transactions!$C$2:$C$601,A16),0)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IFERROR(SUMIFS(Transactions!$F$2:$F$601,Transactions!$H$2:$H$601,Settings!$B$2,Transactions!$G$2:$G$601,7,Transactions!$C$2:$C$601,A17),0)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IFERROR(SUMIFS(Transactions!$F$2:$F$601,Transactions!$H$2:$H$601,Settings!$B$2,Transactions!$G$2:$G$601,7,Transactions!$C$2:$C$601,A18),0)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IFERROR(SUMIFS(Transactions!$F$2:$F$601,Transactions!$H$2:$H$601,Settings!$B$2,Transactions!$G$2:$G$601,7,Transactions!$C$2:$C$601,A19),0)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IFERROR(SUMIFS(Transactions!$F$2:$F$601,Transactions!$H$2:$H$601,Settings!$B$2,Transactions!$G$2:$G$601,7,Transactions!$C$2:$C$601,A20),0)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IFERROR(SUMIFS(Transactions!$F$2:$F$601,Transactions!$H$2:$H$601,Settings!$B$2,Transactions!$G$2:$G$601,7,Transactions!$C$2:$C$601,A21),0)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IFERROR(SUMIFS(Transactions!$F$2:$F$601,Transactions!$H$2:$H$601,Settings!$B$2,Transactions!$G$2:$G$601,7,Transactions!$C$2:$C$601,A22),0)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IFERROR(SUMIFS(Transactions!$F$2:$F$601,Transactions!$H$2:$H$601,Settings!$B$2,Transactions!$G$2:$G$601,7,Transactions!$C$2:$C$601,A23),0)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IFERROR(SUMIFS(Transactions!$F$2:$F$601,Transactions!$H$2:$H$601,Settings!$B$2,Transactions!$G$2:$G$601,7,Transactions!$C$2:$C$601,A24),0)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IFERROR(SUMIFS(Transactions!$F$2:$F$601,Transactions!$H$2:$H$601,Settings!$B$2,Transactions!$G$2:$G$601,7,Transactions!$C$2:$C$601,A25),0)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IFERROR(SUMIFS(Transactions!$F$2:$F$601,Transactions!$H$2:$H$601,Settings!$B$2,Transactions!$G$2:$G$601,7,Transactions!$C$2:$C$601,A26),0)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IFERROR(SUMIFS(Transactions!$F$2:$F$601,Transactions!$H$2:$H$601,Settings!$B$2,Transactions!$G$2:$G$601,7,Transactions!$C$2:$C$601,A27),0)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IFERROR(SUMIFS(Transactions!$F$2:$F$601,Transactions!$H$2:$H$601,Settings!$B$2,Transactions!$G$2:$G$601,7,Transactions!$C$2:$C$601,A28),0)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IFERROR(SUMIFS(Transactions!$F$2:$F$601,Transactions!$H$2:$H$601,Settings!$B$2,Transactions!$G$2:$G$601,7,Transactions!$C$2:$C$601,A29),0)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IFERROR(SUMIFS(Transactions!$F$2:$F$601,Transactions!$H$2:$H$601,Settings!$B$2,Transactions!$G$2:$G$601,7,Transactions!$C$2:$C$601,A30),0)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IFERROR(SUMIFS(Transactions!$F$2:$F$601,Transactions!$H$2:$H$601,Settings!$B$2,Transactions!$G$2:$G$601,7,Transactions!$C$2:$C$601,A31),0)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IFERROR(SUMIFS(Transactions!$F$2:$F$601,Transactions!$H$2:$H$601,Settings!$B$2,Transactions!$G$2:$G$601,7,Transactions!$C$2:$C$601,A32),0)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IFERROR(SUMIFS(Transactions!$F$2:$F$601,Transactions!$H$2:$H$601,Settings!$B$2,Transactions!$G$2:$G$601,7,Transactions!$C$2:$C$601,A33),0)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IFERROR(SUMIFS(Transactions!$F$2:$F$601,Transactions!$H$2:$H$601,Settings!$B$2,Transactions!$G$2:$G$601,7,Transactions!$C$2:$C$601,A34),0)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IFERROR(SUMIFS(Transactions!$F$2:$F$601,Transactions!$H$2:$H$601,Settings!$B$2,Transactions!$G$2:$G$601,7,Transactions!$C$2:$C$601,A35),0)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IFERROR(SUMIFS(Transactions!$F$2:$F$601,Transactions!$H$2:$H$601,Settings!$B$2,Transactions!$G$2:$G$601,7,Transactions!$C$2:$C$601,A36),0)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Aug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IFERROR(SUMIFS(Transactions!$F$2:$F$601,Transactions!$H$2:$H$601,Settings!$B$2,Transactions!$G$2:$G$601,8,Transactions!$C$2:$C$601,A4),0)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IFERROR(SUMIFS(Transactions!$F$2:$F$601,Transactions!$H$2:$H$601,Settings!$B$2,Transactions!$G$2:$G$601,8,Transactions!$C$2:$C$601,A5),0)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IFERROR(SUMIFS(Transactions!$F$2:$F$601,Transactions!$H$2:$H$601,Settings!$B$2,Transactions!$G$2:$G$601,8,Transactions!$C$2:$C$601,A6),0)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IFERROR(SUMIFS(Transactions!$F$2:$F$601,Transactions!$H$2:$H$601,Settings!$B$2,Transactions!$G$2:$G$601,8,Transactions!$C$2:$C$601,A7),0)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IFERROR(SUMIFS(Transactions!$F$2:$F$601,Transactions!$H$2:$H$601,Settings!$B$2,Transactions!$G$2:$G$601,8,Transactions!$C$2:$C$601,A8),0)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IFERROR(SUMIFS(Transactions!$F$2:$F$601,Transactions!$H$2:$H$601,Settings!$B$2,Transactions!$G$2:$G$601,8,Transactions!$C$2:$C$601,A9),0)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IFERROR(SUMIFS(Transactions!$F$2:$F$601,Transactions!$H$2:$H$601,Settings!$B$2,Transactions!$G$2:$G$601,8,Transactions!$C$2:$C$601,A10),0)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IFERROR(SUMIFS(Transactions!$F$2:$F$601,Transactions!$H$2:$H$601,Settings!$B$2,Transactions!$G$2:$G$601,8,Transactions!$C$2:$C$601,A11),0)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IFERROR(SUMIFS(Transactions!$F$2:$F$601,Transactions!$H$2:$H$601,Settings!$B$2,Transactions!$G$2:$G$601,8,Transactions!$C$2:$C$601,A15),0)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IFERROR(SUMIFS(Transactions!$F$2:$F$601,Transactions!$H$2:$H$601,Settings!$B$2,Transactions!$G$2:$G$601,8,Transactions!$C$2:$C$601,A16),0)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IFERROR(SUMIFS(Transactions!$F$2:$F$601,Transactions!$H$2:$H$601,Settings!$B$2,Transactions!$G$2:$G$601,8,Transactions!$C$2:$C$601,A17),0)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IFERROR(SUMIFS(Transactions!$F$2:$F$601,Transactions!$H$2:$H$601,Settings!$B$2,Transactions!$G$2:$G$601,8,Transactions!$C$2:$C$601,A18),0)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IFERROR(SUMIFS(Transactions!$F$2:$F$601,Transactions!$H$2:$H$601,Settings!$B$2,Transactions!$G$2:$G$601,8,Transactions!$C$2:$C$601,A19),0)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IFERROR(SUMIFS(Transactions!$F$2:$F$601,Transactions!$H$2:$H$601,Settings!$B$2,Transactions!$G$2:$G$601,8,Transactions!$C$2:$C$601,A20),0)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IFERROR(SUMIFS(Transactions!$F$2:$F$601,Transactions!$H$2:$H$601,Settings!$B$2,Transactions!$G$2:$G$601,8,Transactions!$C$2:$C$601,A21),0)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IFERROR(SUMIFS(Transactions!$F$2:$F$601,Transactions!$H$2:$H$601,Settings!$B$2,Transactions!$G$2:$G$601,8,Transactions!$C$2:$C$601,A22),0)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IFERROR(SUMIFS(Transactions!$F$2:$F$601,Transactions!$H$2:$H$601,Settings!$B$2,Transactions!$G$2:$G$601,8,Transactions!$C$2:$C$601,A23),0)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IFERROR(SUMIFS(Transactions!$F$2:$F$601,Transactions!$H$2:$H$601,Settings!$B$2,Transactions!$G$2:$G$601,8,Transactions!$C$2:$C$601,A24),0)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IFERROR(SUMIFS(Transactions!$F$2:$F$601,Transactions!$H$2:$H$601,Settings!$B$2,Transactions!$G$2:$G$601,8,Transactions!$C$2:$C$601,A25),0)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IFERROR(SUMIFS(Transactions!$F$2:$F$601,Transactions!$H$2:$H$601,Settings!$B$2,Transactions!$G$2:$G$601,8,Transactions!$C$2:$C$601,A26),0)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IFERROR(SUMIFS(Transactions!$F$2:$F$601,Transactions!$H$2:$H$601,Settings!$B$2,Transactions!$G$2:$G$601,8,Transactions!$C$2:$C$601,A27),0)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IFERROR(SUMIFS(Transactions!$F$2:$F$601,Transactions!$H$2:$H$601,Settings!$B$2,Transactions!$G$2:$G$601,8,Transactions!$C$2:$C$601,A28),0)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IFERROR(SUMIFS(Transactions!$F$2:$F$601,Transactions!$H$2:$H$601,Settings!$B$2,Transactions!$G$2:$G$601,8,Transactions!$C$2:$C$601,A29),0)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IFERROR(SUMIFS(Transactions!$F$2:$F$601,Transactions!$H$2:$H$601,Settings!$B$2,Transactions!$G$2:$G$601,8,Transactions!$C$2:$C$601,A30),0)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IFERROR(SUMIFS(Transactions!$F$2:$F$601,Transactions!$H$2:$H$601,Settings!$B$2,Transactions!$G$2:$G$601,8,Transactions!$C$2:$C$601,A31),0)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IFERROR(SUMIFS(Transactions!$F$2:$F$601,Transactions!$H$2:$H$601,Settings!$B$2,Transactions!$G$2:$G$601,8,Transactions!$C$2:$C$601,A32),0)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IFERROR(SUMIFS(Transactions!$F$2:$F$601,Transactions!$H$2:$H$601,Settings!$B$2,Transactions!$G$2:$G$601,8,Transactions!$C$2:$C$601,A33),0)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IFERROR(SUMIFS(Transactions!$F$2:$F$601,Transactions!$H$2:$H$601,Settings!$B$2,Transactions!$G$2:$G$601,8,Transactions!$C$2:$C$601,A34),0)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IFERROR(SUMIFS(Transactions!$F$2:$F$601,Transactions!$H$2:$H$601,Settings!$B$2,Transactions!$G$2:$G$601,8,Transactions!$C$2:$C$601,A35),0)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IFERROR(SUMIFS(Transactions!$F$2:$F$601,Transactions!$H$2:$H$601,Settings!$B$2,Transactions!$G$2:$G$601,8,Transactions!$C$2:$C$601,A36),0)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Sep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IFERROR(SUMIFS(Transactions!$F$2:$F$601,Transactions!$H$2:$H$601,Settings!$B$2,Transactions!$G$2:$G$601,9,Transactions!$C$2:$C$601,A4),0)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IFERROR(SUMIFS(Transactions!$F$2:$F$601,Transactions!$H$2:$H$601,Settings!$B$2,Transactions!$G$2:$G$601,9,Transactions!$C$2:$C$601,A5),0)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IFERROR(SUMIFS(Transactions!$F$2:$F$601,Transactions!$H$2:$H$601,Settings!$B$2,Transactions!$G$2:$G$601,9,Transactions!$C$2:$C$601,A6),0)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IFERROR(SUMIFS(Transactions!$F$2:$F$601,Transactions!$H$2:$H$601,Settings!$B$2,Transactions!$G$2:$G$601,9,Transactions!$C$2:$C$601,A7),0)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IFERROR(SUMIFS(Transactions!$F$2:$F$601,Transactions!$H$2:$H$601,Settings!$B$2,Transactions!$G$2:$G$601,9,Transactions!$C$2:$C$601,A8),0)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IFERROR(SUMIFS(Transactions!$F$2:$F$601,Transactions!$H$2:$H$601,Settings!$B$2,Transactions!$G$2:$G$601,9,Transactions!$C$2:$C$601,A9),0)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IFERROR(SUMIFS(Transactions!$F$2:$F$601,Transactions!$H$2:$H$601,Settings!$B$2,Transactions!$G$2:$G$601,9,Transactions!$C$2:$C$601,A10),0)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IFERROR(SUMIFS(Transactions!$F$2:$F$601,Transactions!$H$2:$H$601,Settings!$B$2,Transactions!$G$2:$G$601,9,Transactions!$C$2:$C$601,A11),0)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IFERROR(SUMIFS(Transactions!$F$2:$F$601,Transactions!$H$2:$H$601,Settings!$B$2,Transactions!$G$2:$G$601,9,Transactions!$C$2:$C$601,A15),0)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IFERROR(SUMIFS(Transactions!$F$2:$F$601,Transactions!$H$2:$H$601,Settings!$B$2,Transactions!$G$2:$G$601,9,Transactions!$C$2:$C$601,A16),0)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IFERROR(SUMIFS(Transactions!$F$2:$F$601,Transactions!$H$2:$H$601,Settings!$B$2,Transactions!$G$2:$G$601,9,Transactions!$C$2:$C$601,A17),0)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IFERROR(SUMIFS(Transactions!$F$2:$F$601,Transactions!$H$2:$H$601,Settings!$B$2,Transactions!$G$2:$G$601,9,Transactions!$C$2:$C$601,A18),0)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IFERROR(SUMIFS(Transactions!$F$2:$F$601,Transactions!$H$2:$H$601,Settings!$B$2,Transactions!$G$2:$G$601,9,Transactions!$C$2:$C$601,A19),0)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IFERROR(SUMIFS(Transactions!$F$2:$F$601,Transactions!$H$2:$H$601,Settings!$B$2,Transactions!$G$2:$G$601,9,Transactions!$C$2:$C$601,A20),0)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IFERROR(SUMIFS(Transactions!$F$2:$F$601,Transactions!$H$2:$H$601,Settings!$B$2,Transactions!$G$2:$G$601,9,Transactions!$C$2:$C$601,A21),0)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IFERROR(SUMIFS(Transactions!$F$2:$F$601,Transactions!$H$2:$H$601,Settings!$B$2,Transactions!$G$2:$G$601,9,Transactions!$C$2:$C$601,A22),0)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IFERROR(SUMIFS(Transactions!$F$2:$F$601,Transactions!$H$2:$H$601,Settings!$B$2,Transactions!$G$2:$G$601,9,Transactions!$C$2:$C$601,A23),0)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IFERROR(SUMIFS(Transactions!$F$2:$F$601,Transactions!$H$2:$H$601,Settings!$B$2,Transactions!$G$2:$G$601,9,Transactions!$C$2:$C$601,A24),0)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IFERROR(SUMIFS(Transactions!$F$2:$F$601,Transactions!$H$2:$H$601,Settings!$B$2,Transactions!$G$2:$G$601,9,Transactions!$C$2:$C$601,A25),0)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IFERROR(SUMIFS(Transactions!$F$2:$F$601,Transactions!$H$2:$H$601,Settings!$B$2,Transactions!$G$2:$G$601,9,Transactions!$C$2:$C$601,A26),0)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IFERROR(SUMIFS(Transactions!$F$2:$F$601,Transactions!$H$2:$H$601,Settings!$B$2,Transactions!$G$2:$G$601,9,Transactions!$C$2:$C$601,A27),0)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IFERROR(SUMIFS(Transactions!$F$2:$F$601,Transactions!$H$2:$H$601,Settings!$B$2,Transactions!$G$2:$G$601,9,Transactions!$C$2:$C$601,A28),0)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IFERROR(SUMIFS(Transactions!$F$2:$F$601,Transactions!$H$2:$H$601,Settings!$B$2,Transactions!$G$2:$G$601,9,Transactions!$C$2:$C$601,A29),0)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IFERROR(SUMIFS(Transactions!$F$2:$F$601,Transactions!$H$2:$H$601,Settings!$B$2,Transactions!$G$2:$G$601,9,Transactions!$C$2:$C$601,A30),0)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IFERROR(SUMIFS(Transactions!$F$2:$F$601,Transactions!$H$2:$H$601,Settings!$B$2,Transactions!$G$2:$G$601,9,Transactions!$C$2:$C$601,A31),0)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IFERROR(SUMIFS(Transactions!$F$2:$F$601,Transactions!$H$2:$H$601,Settings!$B$2,Transactions!$G$2:$G$601,9,Transactions!$C$2:$C$601,A32),0)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IFERROR(SUMIFS(Transactions!$F$2:$F$601,Transactions!$H$2:$H$601,Settings!$B$2,Transactions!$G$2:$G$601,9,Transactions!$C$2:$C$601,A33),0)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IFERROR(SUMIFS(Transactions!$F$2:$F$601,Transactions!$H$2:$H$601,Settings!$B$2,Transactions!$G$2:$G$601,9,Transactions!$C$2:$C$601,A34),0)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IFERROR(SUMIFS(Transactions!$F$2:$F$601,Transactions!$H$2:$H$601,Settings!$B$2,Transactions!$G$2:$G$601,9,Transactions!$C$2:$C$601,A35),0)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IFERROR(SUMIFS(Transactions!$F$2:$F$601,Transactions!$H$2:$H$601,Settings!$B$2,Transactions!$G$2:$G$601,9,Transactions!$C$2:$C$601,A36),0)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Oct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IFERROR(SUMIFS(Transactions!$F$2:$F$601,Transactions!$H$2:$H$601,Settings!$B$2,Transactions!$G$2:$G$601,10,Transactions!$C$2:$C$601,A4),0)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IFERROR(SUMIFS(Transactions!$F$2:$F$601,Transactions!$H$2:$H$601,Settings!$B$2,Transactions!$G$2:$G$601,10,Transactions!$C$2:$C$601,A5),0)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IFERROR(SUMIFS(Transactions!$F$2:$F$601,Transactions!$H$2:$H$601,Settings!$B$2,Transactions!$G$2:$G$601,10,Transactions!$C$2:$C$601,A6),0)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IFERROR(SUMIFS(Transactions!$F$2:$F$601,Transactions!$H$2:$H$601,Settings!$B$2,Transactions!$G$2:$G$601,10,Transactions!$C$2:$C$601,A7),0)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IFERROR(SUMIFS(Transactions!$F$2:$F$601,Transactions!$H$2:$H$601,Settings!$B$2,Transactions!$G$2:$G$601,10,Transactions!$C$2:$C$601,A8),0)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IFERROR(SUMIFS(Transactions!$F$2:$F$601,Transactions!$H$2:$H$601,Settings!$B$2,Transactions!$G$2:$G$601,10,Transactions!$C$2:$C$601,A9),0)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IFERROR(SUMIFS(Transactions!$F$2:$F$601,Transactions!$H$2:$H$601,Settings!$B$2,Transactions!$G$2:$G$601,10,Transactions!$C$2:$C$601,A10),0)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IFERROR(SUMIFS(Transactions!$F$2:$F$601,Transactions!$H$2:$H$601,Settings!$B$2,Transactions!$G$2:$G$601,10,Transactions!$C$2:$C$601,A11),0)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IFERROR(SUMIFS(Transactions!$F$2:$F$601,Transactions!$H$2:$H$601,Settings!$B$2,Transactions!$G$2:$G$601,10,Transactions!$C$2:$C$601,A15),0)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IFERROR(SUMIFS(Transactions!$F$2:$F$601,Transactions!$H$2:$H$601,Settings!$B$2,Transactions!$G$2:$G$601,10,Transactions!$C$2:$C$601,A16),0)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IFERROR(SUMIFS(Transactions!$F$2:$F$601,Transactions!$H$2:$H$601,Settings!$B$2,Transactions!$G$2:$G$601,10,Transactions!$C$2:$C$601,A17),0)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IFERROR(SUMIFS(Transactions!$F$2:$F$601,Transactions!$H$2:$H$601,Settings!$B$2,Transactions!$G$2:$G$601,10,Transactions!$C$2:$C$601,A18),0)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IFERROR(SUMIFS(Transactions!$F$2:$F$601,Transactions!$H$2:$H$601,Settings!$B$2,Transactions!$G$2:$G$601,10,Transactions!$C$2:$C$601,A19),0)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IFERROR(SUMIFS(Transactions!$F$2:$F$601,Transactions!$H$2:$H$601,Settings!$B$2,Transactions!$G$2:$G$601,10,Transactions!$C$2:$C$601,A20),0)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IFERROR(SUMIFS(Transactions!$F$2:$F$601,Transactions!$H$2:$H$601,Settings!$B$2,Transactions!$G$2:$G$601,10,Transactions!$C$2:$C$601,A21),0)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IFERROR(SUMIFS(Transactions!$F$2:$F$601,Transactions!$H$2:$H$601,Settings!$B$2,Transactions!$G$2:$G$601,10,Transactions!$C$2:$C$601,A22),0)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IFERROR(SUMIFS(Transactions!$F$2:$F$601,Transactions!$H$2:$H$601,Settings!$B$2,Transactions!$G$2:$G$601,10,Transactions!$C$2:$C$601,A23),0)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IFERROR(SUMIFS(Transactions!$F$2:$F$601,Transactions!$H$2:$H$601,Settings!$B$2,Transactions!$G$2:$G$601,10,Transactions!$C$2:$C$601,A24),0)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IFERROR(SUMIFS(Transactions!$F$2:$F$601,Transactions!$H$2:$H$601,Settings!$B$2,Transactions!$G$2:$G$601,10,Transactions!$C$2:$C$601,A25),0)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IFERROR(SUMIFS(Transactions!$F$2:$F$601,Transactions!$H$2:$H$601,Settings!$B$2,Transactions!$G$2:$G$601,10,Transactions!$C$2:$C$601,A26),0)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IFERROR(SUMIFS(Transactions!$F$2:$F$601,Transactions!$H$2:$H$601,Settings!$B$2,Transactions!$G$2:$G$601,10,Transactions!$C$2:$C$601,A27),0)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IFERROR(SUMIFS(Transactions!$F$2:$F$601,Transactions!$H$2:$H$601,Settings!$B$2,Transactions!$G$2:$G$601,10,Transactions!$C$2:$C$601,A28),0)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IFERROR(SUMIFS(Transactions!$F$2:$F$601,Transactions!$H$2:$H$601,Settings!$B$2,Transactions!$G$2:$G$601,10,Transactions!$C$2:$C$601,A29),0)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IFERROR(SUMIFS(Transactions!$F$2:$F$601,Transactions!$H$2:$H$601,Settings!$B$2,Transactions!$G$2:$G$601,10,Transactions!$C$2:$C$601,A30),0)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IFERROR(SUMIFS(Transactions!$F$2:$F$601,Transactions!$H$2:$H$601,Settings!$B$2,Transactions!$G$2:$G$601,10,Transactions!$C$2:$C$601,A31),0)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IFERROR(SUMIFS(Transactions!$F$2:$F$601,Transactions!$H$2:$H$601,Settings!$B$2,Transactions!$G$2:$G$601,10,Transactions!$C$2:$C$601,A32),0)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IFERROR(SUMIFS(Transactions!$F$2:$F$601,Transactions!$H$2:$H$601,Settings!$B$2,Transactions!$G$2:$G$601,10,Transactions!$C$2:$C$601,A33),0)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IFERROR(SUMIFS(Transactions!$F$2:$F$601,Transactions!$H$2:$H$601,Settings!$B$2,Transactions!$G$2:$G$601,10,Transactions!$C$2:$C$601,A34),0)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IFERROR(SUMIFS(Transactions!$F$2:$F$601,Transactions!$H$2:$H$601,Settings!$B$2,Transactions!$G$2:$G$601,10,Transactions!$C$2:$C$601,A35),0)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IFERROR(SUMIFS(Transactions!$F$2:$F$601,Transactions!$H$2:$H$601,Settings!$B$2,Transactions!$G$2:$G$601,10,Transactions!$C$2:$C$601,A36),0)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Nov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IFERROR(SUMIFS(Transactions!$F$2:$F$601,Transactions!$H$2:$H$601,Settings!$B$2,Transactions!$G$2:$G$601,11,Transactions!$C$2:$C$601,A4),0)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IFERROR(SUMIFS(Transactions!$F$2:$F$601,Transactions!$H$2:$H$601,Settings!$B$2,Transactions!$G$2:$G$601,11,Transactions!$C$2:$C$601,A5),0)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IFERROR(SUMIFS(Transactions!$F$2:$F$601,Transactions!$H$2:$H$601,Settings!$B$2,Transactions!$G$2:$G$601,11,Transactions!$C$2:$C$601,A6),0)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IFERROR(SUMIFS(Transactions!$F$2:$F$601,Transactions!$H$2:$H$601,Settings!$B$2,Transactions!$G$2:$G$601,11,Transactions!$C$2:$C$601,A7),0)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IFERROR(SUMIFS(Transactions!$F$2:$F$601,Transactions!$H$2:$H$601,Settings!$B$2,Transactions!$G$2:$G$601,11,Transactions!$C$2:$C$601,A8),0)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IFERROR(SUMIFS(Transactions!$F$2:$F$601,Transactions!$H$2:$H$601,Settings!$B$2,Transactions!$G$2:$G$601,11,Transactions!$C$2:$C$601,A9),0)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IFERROR(SUMIFS(Transactions!$F$2:$F$601,Transactions!$H$2:$H$601,Settings!$B$2,Transactions!$G$2:$G$601,11,Transactions!$C$2:$C$601,A10),0)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IFERROR(SUMIFS(Transactions!$F$2:$F$601,Transactions!$H$2:$H$601,Settings!$B$2,Transactions!$G$2:$G$601,11,Transactions!$C$2:$C$601,A11),0)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IFERROR(SUMIFS(Transactions!$F$2:$F$601,Transactions!$H$2:$H$601,Settings!$B$2,Transactions!$G$2:$G$601,11,Transactions!$C$2:$C$601,A15),0)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IFERROR(SUMIFS(Transactions!$F$2:$F$601,Transactions!$H$2:$H$601,Settings!$B$2,Transactions!$G$2:$G$601,11,Transactions!$C$2:$C$601,A16),0)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IFERROR(SUMIFS(Transactions!$F$2:$F$601,Transactions!$H$2:$H$601,Settings!$B$2,Transactions!$G$2:$G$601,11,Transactions!$C$2:$C$601,A17),0)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IFERROR(SUMIFS(Transactions!$F$2:$F$601,Transactions!$H$2:$H$601,Settings!$B$2,Transactions!$G$2:$G$601,11,Transactions!$C$2:$C$601,A18),0)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IFERROR(SUMIFS(Transactions!$F$2:$F$601,Transactions!$H$2:$H$601,Settings!$B$2,Transactions!$G$2:$G$601,11,Transactions!$C$2:$C$601,A19),0)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IFERROR(SUMIFS(Transactions!$F$2:$F$601,Transactions!$H$2:$H$601,Settings!$B$2,Transactions!$G$2:$G$601,11,Transactions!$C$2:$C$601,A20),0)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IFERROR(SUMIFS(Transactions!$F$2:$F$601,Transactions!$H$2:$H$601,Settings!$B$2,Transactions!$G$2:$G$601,11,Transactions!$C$2:$C$601,A21),0)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IFERROR(SUMIFS(Transactions!$F$2:$F$601,Transactions!$H$2:$H$601,Settings!$B$2,Transactions!$G$2:$G$601,11,Transactions!$C$2:$C$601,A22),0)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IFERROR(SUMIFS(Transactions!$F$2:$F$601,Transactions!$H$2:$H$601,Settings!$B$2,Transactions!$G$2:$G$601,11,Transactions!$C$2:$C$601,A23),0)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IFERROR(SUMIFS(Transactions!$F$2:$F$601,Transactions!$H$2:$H$601,Settings!$B$2,Transactions!$G$2:$G$601,11,Transactions!$C$2:$C$601,A24),0)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IFERROR(SUMIFS(Transactions!$F$2:$F$601,Transactions!$H$2:$H$601,Settings!$B$2,Transactions!$G$2:$G$601,11,Transactions!$C$2:$C$601,A25),0)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IFERROR(SUMIFS(Transactions!$F$2:$F$601,Transactions!$H$2:$H$601,Settings!$B$2,Transactions!$G$2:$G$601,11,Transactions!$C$2:$C$601,A26),0)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IFERROR(SUMIFS(Transactions!$F$2:$F$601,Transactions!$H$2:$H$601,Settings!$B$2,Transactions!$G$2:$G$601,11,Transactions!$C$2:$C$601,A27),0)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IFERROR(SUMIFS(Transactions!$F$2:$F$601,Transactions!$H$2:$H$601,Settings!$B$2,Transactions!$G$2:$G$601,11,Transactions!$C$2:$C$601,A28),0)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IFERROR(SUMIFS(Transactions!$F$2:$F$601,Transactions!$H$2:$H$601,Settings!$B$2,Transactions!$G$2:$G$601,11,Transactions!$C$2:$C$601,A29),0)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IFERROR(SUMIFS(Transactions!$F$2:$F$601,Transactions!$H$2:$H$601,Settings!$B$2,Transactions!$G$2:$G$601,11,Transactions!$C$2:$C$601,A30),0)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IFERROR(SUMIFS(Transactions!$F$2:$F$601,Transactions!$H$2:$H$601,Settings!$B$2,Transactions!$G$2:$G$601,11,Transactions!$C$2:$C$601,A31),0)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IFERROR(SUMIFS(Transactions!$F$2:$F$601,Transactions!$H$2:$H$601,Settings!$B$2,Transactions!$G$2:$G$601,11,Transactions!$C$2:$C$601,A32),0)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IFERROR(SUMIFS(Transactions!$F$2:$F$601,Transactions!$H$2:$H$601,Settings!$B$2,Transactions!$G$2:$G$601,11,Transactions!$C$2:$C$601,A33),0)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IFERROR(SUMIFS(Transactions!$F$2:$F$601,Transactions!$H$2:$H$601,Settings!$B$2,Transactions!$G$2:$G$601,11,Transactions!$C$2:$C$601,A34),0)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IFERROR(SUMIFS(Transactions!$F$2:$F$601,Transactions!$H$2:$H$601,Settings!$B$2,Transactions!$G$2:$G$601,11,Transactions!$C$2:$C$601,A35),0)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IFERROR(SUMIFS(Transactions!$F$2:$F$601,Transactions!$H$2:$H$601,Settings!$B$2,Transactions!$G$2:$G$601,11,Transactions!$C$2:$C$601,A36),0)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D2BB"/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9" t="inlineStr">
        <is>
          <t>Dec 2026 — Budget vs Actual</t>
        </is>
      </c>
      <c r="B1" s="2" t="n"/>
      <c r="C1" s="2" t="n"/>
      <c r="D1" s="2" t="n"/>
      <c r="E1" s="2" t="n"/>
    </row>
    <row r="2">
      <c r="A2" s="44" t="inlineStr">
        <is>
          <t>Category</t>
        </is>
      </c>
      <c r="B2" s="44" t="inlineStr">
        <is>
          <t>Budget</t>
        </is>
      </c>
      <c r="C2" s="44" t="inlineStr">
        <is>
          <t>Actual</t>
        </is>
      </c>
      <c r="D2" s="44" t="inlineStr">
        <is>
          <t>Remaining</t>
        </is>
      </c>
      <c r="E2" s="44" t="inlineStr">
        <is>
          <t>% Used</t>
        </is>
      </c>
    </row>
    <row r="3">
      <c r="A3" s="30" t="inlineStr">
        <is>
          <t>— INCOME —</t>
        </is>
      </c>
      <c r="B3" s="2" t="n"/>
      <c r="C3" s="2" t="n"/>
      <c r="D3" s="2" t="n"/>
      <c r="E3" s="2" t="n"/>
    </row>
    <row r="4">
      <c r="A4" s="35" t="inlineStr">
        <is>
          <t>Salary</t>
        </is>
      </c>
      <c r="B4" s="48">
        <f>IFERROR(VLOOKUP("Salary",Settings!$A$30:$C$59,3,FALSE),0)</f>
        <v/>
      </c>
      <c r="C4" s="47">
        <f>IFERROR(SUMIFS(Transactions!$F$2:$F$601,Transactions!$H$2:$H$601,Settings!$B$2,Transactions!$G$2:$G$601,12,Transactions!$C$2:$C$601,A4),0)</f>
        <v/>
      </c>
      <c r="D4" s="18" t="inlineStr"/>
      <c r="E4" s="18" t="inlineStr"/>
    </row>
    <row r="5">
      <c r="A5" s="35" t="inlineStr">
        <is>
          <t>Partner Income</t>
        </is>
      </c>
      <c r="B5" s="48">
        <f>IFERROR(VLOOKUP("Partner Income",Settings!$A$30:$C$59,3,FALSE),0)</f>
        <v/>
      </c>
      <c r="C5" s="47">
        <f>IFERROR(SUMIFS(Transactions!$F$2:$F$601,Transactions!$H$2:$H$601,Settings!$B$2,Transactions!$G$2:$G$601,12,Transactions!$C$2:$C$601,A5),0)</f>
        <v/>
      </c>
      <c r="D5" s="18" t="inlineStr"/>
      <c r="E5" s="18" t="inlineStr"/>
    </row>
    <row r="6">
      <c r="A6" s="35" t="inlineStr">
        <is>
          <t>Freelance</t>
        </is>
      </c>
      <c r="B6" s="48">
        <f>IFERROR(VLOOKUP("Freelance",Settings!$A$30:$C$59,3,FALSE),0)</f>
        <v/>
      </c>
      <c r="C6" s="47">
        <f>IFERROR(SUMIFS(Transactions!$F$2:$F$601,Transactions!$H$2:$H$601,Settings!$B$2,Transactions!$G$2:$G$601,12,Transactions!$C$2:$C$601,A6),0)</f>
        <v/>
      </c>
      <c r="D6" s="18" t="inlineStr"/>
      <c r="E6" s="18" t="inlineStr"/>
    </row>
    <row r="7">
      <c r="A7" s="35" t="inlineStr">
        <is>
          <t>Business</t>
        </is>
      </c>
      <c r="B7" s="48">
        <f>IFERROR(VLOOKUP("Business",Settings!$A$30:$C$59,3,FALSE),0)</f>
        <v/>
      </c>
      <c r="C7" s="47">
        <f>IFERROR(SUMIFS(Transactions!$F$2:$F$601,Transactions!$H$2:$H$601,Settings!$B$2,Transactions!$G$2:$G$601,12,Transactions!$C$2:$C$601,A7),0)</f>
        <v/>
      </c>
      <c r="D7" s="18" t="inlineStr"/>
      <c r="E7" s="18" t="inlineStr"/>
    </row>
    <row r="8">
      <c r="A8" s="35" t="inlineStr">
        <is>
          <t>Investments</t>
        </is>
      </c>
      <c r="B8" s="48">
        <f>IFERROR(VLOOKUP("Investments",Settings!$A$30:$C$59,3,FALSE),0)</f>
        <v/>
      </c>
      <c r="C8" s="47">
        <f>IFERROR(SUMIFS(Transactions!$F$2:$F$601,Transactions!$H$2:$H$601,Settings!$B$2,Transactions!$G$2:$G$601,12,Transactions!$C$2:$C$601,A8),0)</f>
        <v/>
      </c>
      <c r="D8" s="18" t="inlineStr"/>
      <c r="E8" s="18" t="inlineStr"/>
    </row>
    <row r="9">
      <c r="A9" s="35" t="inlineStr">
        <is>
          <t>Rental Income</t>
        </is>
      </c>
      <c r="B9" s="48">
        <f>IFERROR(VLOOKUP("Rental Income",Settings!$A$30:$C$59,3,FALSE),0)</f>
        <v/>
      </c>
      <c r="C9" s="47">
        <f>IFERROR(SUMIFS(Transactions!$F$2:$F$601,Transactions!$H$2:$H$601,Settings!$B$2,Transactions!$G$2:$G$601,12,Transactions!$C$2:$C$601,A9),0)</f>
        <v/>
      </c>
      <c r="D9" s="18" t="inlineStr"/>
      <c r="E9" s="18" t="inlineStr"/>
    </row>
    <row r="10">
      <c r="A10" s="35" t="inlineStr">
        <is>
          <t>Refunds</t>
        </is>
      </c>
      <c r="B10" s="48">
        <f>IFERROR(VLOOKUP("Refunds",Settings!$A$30:$C$59,3,FALSE),0)</f>
        <v/>
      </c>
      <c r="C10" s="47">
        <f>IFERROR(SUMIFS(Transactions!$F$2:$F$601,Transactions!$H$2:$H$601,Settings!$B$2,Transactions!$G$2:$G$601,12,Transactions!$C$2:$C$601,A10),0)</f>
        <v/>
      </c>
      <c r="D10" s="18" t="inlineStr"/>
      <c r="E10" s="18" t="inlineStr"/>
    </row>
    <row r="11">
      <c r="A11" s="35" t="inlineStr">
        <is>
          <t>Other Income</t>
        </is>
      </c>
      <c r="B11" s="48">
        <f>IFERROR(VLOOKUP("Other Income",Settings!$A$30:$C$59,3,FALSE),0)</f>
        <v/>
      </c>
      <c r="C11" s="47">
        <f>IFERROR(SUMIFS(Transactions!$F$2:$F$601,Transactions!$H$2:$H$601,Settings!$B$2,Transactions!$G$2:$G$601,12,Transactions!$C$2:$C$601,A11),0)</f>
        <v/>
      </c>
      <c r="D11" s="18" t="inlineStr"/>
      <c r="E11" s="18" t="inlineStr"/>
    </row>
    <row r="12">
      <c r="A12" s="45" t="inlineStr">
        <is>
          <t>Total Income</t>
        </is>
      </c>
      <c r="B12" s="50">
        <f>SUM(B4:B11)</f>
        <v/>
      </c>
      <c r="C12" s="50">
        <f>SUM(C4:C11)</f>
        <v/>
      </c>
      <c r="D12" s="50">
        <f>SUM(D4:D11)</f>
        <v/>
      </c>
      <c r="E12" s="51" t="inlineStr"/>
    </row>
    <row r="14">
      <c r="A14" s="30" t="inlineStr">
        <is>
          <t>— EXPENSES —</t>
        </is>
      </c>
      <c r="B14" s="2" t="n"/>
      <c r="C14" s="2" t="n"/>
      <c r="D14" s="2" t="n"/>
      <c r="E14" s="2" t="n"/>
    </row>
    <row r="15">
      <c r="A15" s="35" t="inlineStr">
        <is>
          <t>Rent/Mortgage</t>
        </is>
      </c>
      <c r="B15" s="48">
        <f>IFERROR(VLOOKUP("Rent/Mortgage",Settings!$A$30:$C$59,3,FALSE),0)</f>
        <v/>
      </c>
      <c r="C15" s="47">
        <f>IFERROR(SUMIFS(Transactions!$F$2:$F$601,Transactions!$H$2:$H$601,Settings!$B$2,Transactions!$G$2:$G$601,12,Transactions!$C$2:$C$601,A15),0)</f>
        <v/>
      </c>
      <c r="D15" s="47">
        <f>B15-C15</f>
        <v/>
      </c>
      <c r="E15" s="52">
        <f>IF(B15=0,0,C15/B15)</f>
        <v/>
      </c>
    </row>
    <row r="16">
      <c r="A16" s="35" t="inlineStr">
        <is>
          <t>Utilities</t>
        </is>
      </c>
      <c r="B16" s="48">
        <f>IFERROR(VLOOKUP("Utilities",Settings!$A$30:$C$59,3,FALSE),0)</f>
        <v/>
      </c>
      <c r="C16" s="47">
        <f>IFERROR(SUMIFS(Transactions!$F$2:$F$601,Transactions!$H$2:$H$601,Settings!$B$2,Transactions!$G$2:$G$601,12,Transactions!$C$2:$C$601,A16),0)</f>
        <v/>
      </c>
      <c r="D16" s="47">
        <f>B16-C16</f>
        <v/>
      </c>
      <c r="E16" s="52">
        <f>IF(B16=0,0,C16/B16)</f>
        <v/>
      </c>
    </row>
    <row r="17">
      <c r="A17" s="35" t="inlineStr">
        <is>
          <t>Groceries</t>
        </is>
      </c>
      <c r="B17" s="48">
        <f>IFERROR(VLOOKUP("Groceries",Settings!$A$30:$C$59,3,FALSE),0)</f>
        <v/>
      </c>
      <c r="C17" s="47">
        <f>IFERROR(SUMIFS(Transactions!$F$2:$F$601,Transactions!$H$2:$H$601,Settings!$B$2,Transactions!$G$2:$G$601,12,Transactions!$C$2:$C$601,A17),0)</f>
        <v/>
      </c>
      <c r="D17" s="47">
        <f>B17-C17</f>
        <v/>
      </c>
      <c r="E17" s="52">
        <f>IF(B17=0,0,C17/B17)</f>
        <v/>
      </c>
    </row>
    <row r="18">
      <c r="A18" s="35" t="inlineStr">
        <is>
          <t>Dining Out</t>
        </is>
      </c>
      <c r="B18" s="48">
        <f>IFERROR(VLOOKUP("Dining Out",Settings!$A$30:$C$59,3,FALSE),0)</f>
        <v/>
      </c>
      <c r="C18" s="47">
        <f>IFERROR(SUMIFS(Transactions!$F$2:$F$601,Transactions!$H$2:$H$601,Settings!$B$2,Transactions!$G$2:$G$601,12,Transactions!$C$2:$C$601,A18),0)</f>
        <v/>
      </c>
      <c r="D18" s="47">
        <f>B18-C18</f>
        <v/>
      </c>
      <c r="E18" s="52">
        <f>IF(B18=0,0,C18/B18)</f>
        <v/>
      </c>
    </row>
    <row r="19">
      <c r="A19" s="35" t="inlineStr">
        <is>
          <t>Transport</t>
        </is>
      </c>
      <c r="B19" s="48">
        <f>IFERROR(VLOOKUP("Transport",Settings!$A$30:$C$59,3,FALSE),0)</f>
        <v/>
      </c>
      <c r="C19" s="47">
        <f>IFERROR(SUMIFS(Transactions!$F$2:$F$601,Transactions!$H$2:$H$601,Settings!$B$2,Transactions!$G$2:$G$601,12,Transactions!$C$2:$C$601,A19),0)</f>
        <v/>
      </c>
      <c r="D19" s="47">
        <f>B19-C19</f>
        <v/>
      </c>
      <c r="E19" s="52">
        <f>IF(B19=0,0,C19/B19)</f>
        <v/>
      </c>
    </row>
    <row r="20">
      <c r="A20" s="35" t="inlineStr">
        <is>
          <t>Fuel</t>
        </is>
      </c>
      <c r="B20" s="48">
        <f>IFERROR(VLOOKUP("Fuel",Settings!$A$30:$C$59,3,FALSE),0)</f>
        <v/>
      </c>
      <c r="C20" s="47">
        <f>IFERROR(SUMIFS(Transactions!$F$2:$F$601,Transactions!$H$2:$H$601,Settings!$B$2,Transactions!$G$2:$G$601,12,Transactions!$C$2:$C$601,A20),0)</f>
        <v/>
      </c>
      <c r="D20" s="47">
        <f>B20-C20</f>
        <v/>
      </c>
      <c r="E20" s="52">
        <f>IF(B20=0,0,C20/B20)</f>
        <v/>
      </c>
    </row>
    <row r="21">
      <c r="A21" s="35" t="inlineStr">
        <is>
          <t>Car/Auto</t>
        </is>
      </c>
      <c r="B21" s="48">
        <f>IFERROR(VLOOKUP("Car/Auto",Settings!$A$30:$C$59,3,FALSE),0)</f>
        <v/>
      </c>
      <c r="C21" s="47">
        <f>IFERROR(SUMIFS(Transactions!$F$2:$F$601,Transactions!$H$2:$H$601,Settings!$B$2,Transactions!$G$2:$G$601,12,Transactions!$C$2:$C$601,A21),0)</f>
        <v/>
      </c>
      <c r="D21" s="47">
        <f>B21-C21</f>
        <v/>
      </c>
      <c r="E21" s="52">
        <f>IF(B21=0,0,C21/B21)</f>
        <v/>
      </c>
    </row>
    <row r="22">
      <c r="A22" s="35" t="inlineStr">
        <is>
          <t>Insurance</t>
        </is>
      </c>
      <c r="B22" s="48">
        <f>IFERROR(VLOOKUP("Insurance",Settings!$A$30:$C$59,3,FALSE),0)</f>
        <v/>
      </c>
      <c r="C22" s="47">
        <f>IFERROR(SUMIFS(Transactions!$F$2:$F$601,Transactions!$H$2:$H$601,Settings!$B$2,Transactions!$G$2:$G$601,12,Transactions!$C$2:$C$601,A22),0)</f>
        <v/>
      </c>
      <c r="D22" s="47">
        <f>B22-C22</f>
        <v/>
      </c>
      <c r="E22" s="52">
        <f>IF(B22=0,0,C22/B22)</f>
        <v/>
      </c>
    </row>
    <row r="23">
      <c r="A23" s="35" t="inlineStr">
        <is>
          <t>Health</t>
        </is>
      </c>
      <c r="B23" s="48">
        <f>IFERROR(VLOOKUP("Health",Settings!$A$30:$C$59,3,FALSE),0)</f>
        <v/>
      </c>
      <c r="C23" s="47">
        <f>IFERROR(SUMIFS(Transactions!$F$2:$F$601,Transactions!$H$2:$H$601,Settings!$B$2,Transactions!$G$2:$G$601,12,Transactions!$C$2:$C$601,A23),0)</f>
        <v/>
      </c>
      <c r="D23" s="47">
        <f>B23-C23</f>
        <v/>
      </c>
      <c r="E23" s="52">
        <f>IF(B23=0,0,C23/B23)</f>
        <v/>
      </c>
    </row>
    <row r="24">
      <c r="A24" s="35" t="inlineStr">
        <is>
          <t>Phone</t>
        </is>
      </c>
      <c r="B24" s="48">
        <f>IFERROR(VLOOKUP("Phone",Settings!$A$30:$C$59,3,FALSE),0)</f>
        <v/>
      </c>
      <c r="C24" s="47">
        <f>IFERROR(SUMIFS(Transactions!$F$2:$F$601,Transactions!$H$2:$H$601,Settings!$B$2,Transactions!$G$2:$G$601,12,Transactions!$C$2:$C$601,A24),0)</f>
        <v/>
      </c>
      <c r="D24" s="47">
        <f>B24-C24</f>
        <v/>
      </c>
      <c r="E24" s="52">
        <f>IF(B24=0,0,C24/B24)</f>
        <v/>
      </c>
    </row>
    <row r="25">
      <c r="A25" s="35" t="inlineStr">
        <is>
          <t>Internet</t>
        </is>
      </c>
      <c r="B25" s="48">
        <f>IFERROR(VLOOKUP("Internet",Settings!$A$30:$C$59,3,FALSE),0)</f>
        <v/>
      </c>
      <c r="C25" s="47">
        <f>IFERROR(SUMIFS(Transactions!$F$2:$F$601,Transactions!$H$2:$H$601,Settings!$B$2,Transactions!$G$2:$G$601,12,Transactions!$C$2:$C$601,A25),0)</f>
        <v/>
      </c>
      <c r="D25" s="47">
        <f>B25-C25</f>
        <v/>
      </c>
      <c r="E25" s="52">
        <f>IF(B25=0,0,C25/B25)</f>
        <v/>
      </c>
    </row>
    <row r="26">
      <c r="A26" s="35" t="inlineStr">
        <is>
          <t>Subscriptions</t>
        </is>
      </c>
      <c r="B26" s="48">
        <f>IFERROR(VLOOKUP("Subscriptions",Settings!$A$30:$C$59,3,FALSE),0)</f>
        <v/>
      </c>
      <c r="C26" s="47">
        <f>IFERROR(SUMIFS(Transactions!$F$2:$F$601,Transactions!$H$2:$H$601,Settings!$B$2,Transactions!$G$2:$G$601,12,Transactions!$C$2:$C$601,A26),0)</f>
        <v/>
      </c>
      <c r="D26" s="47">
        <f>B26-C26</f>
        <v/>
      </c>
      <c r="E26" s="52">
        <f>IF(B26=0,0,C26/B26)</f>
        <v/>
      </c>
    </row>
    <row r="27">
      <c r="A27" s="35" t="inlineStr">
        <is>
          <t>Entertainment</t>
        </is>
      </c>
      <c r="B27" s="48">
        <f>IFERROR(VLOOKUP("Entertainment",Settings!$A$30:$C$59,3,FALSE),0)</f>
        <v/>
      </c>
      <c r="C27" s="47">
        <f>IFERROR(SUMIFS(Transactions!$F$2:$F$601,Transactions!$H$2:$H$601,Settings!$B$2,Transactions!$G$2:$G$601,12,Transactions!$C$2:$C$601,A27),0)</f>
        <v/>
      </c>
      <c r="D27" s="47">
        <f>B27-C27</f>
        <v/>
      </c>
      <c r="E27" s="52">
        <f>IF(B27=0,0,C27/B27)</f>
        <v/>
      </c>
    </row>
    <row r="28">
      <c r="A28" s="35" t="inlineStr">
        <is>
          <t>Shopping</t>
        </is>
      </c>
      <c r="B28" s="48">
        <f>IFERROR(VLOOKUP("Shopping",Settings!$A$30:$C$59,3,FALSE),0)</f>
        <v/>
      </c>
      <c r="C28" s="47">
        <f>IFERROR(SUMIFS(Transactions!$F$2:$F$601,Transactions!$H$2:$H$601,Settings!$B$2,Transactions!$G$2:$G$601,12,Transactions!$C$2:$C$601,A28),0)</f>
        <v/>
      </c>
      <c r="D28" s="47">
        <f>B28-C28</f>
        <v/>
      </c>
      <c r="E28" s="52">
        <f>IF(B28=0,0,C28/B28)</f>
        <v/>
      </c>
    </row>
    <row r="29">
      <c r="A29" s="35" t="inlineStr">
        <is>
          <t>Clothing</t>
        </is>
      </c>
      <c r="B29" s="48">
        <f>IFERROR(VLOOKUP("Clothing",Settings!$A$30:$C$59,3,FALSE),0)</f>
        <v/>
      </c>
      <c r="C29" s="47">
        <f>IFERROR(SUMIFS(Transactions!$F$2:$F$601,Transactions!$H$2:$H$601,Settings!$B$2,Transactions!$G$2:$G$601,12,Transactions!$C$2:$C$601,A29),0)</f>
        <v/>
      </c>
      <c r="D29" s="47">
        <f>B29-C29</f>
        <v/>
      </c>
      <c r="E29" s="52">
        <f>IF(B29=0,0,C29/B29)</f>
        <v/>
      </c>
    </row>
    <row r="30">
      <c r="A30" s="35" t="inlineStr">
        <is>
          <t>Personal Care</t>
        </is>
      </c>
      <c r="B30" s="48">
        <f>IFERROR(VLOOKUP("Personal Care",Settings!$A$30:$C$59,3,FALSE),0)</f>
        <v/>
      </c>
      <c r="C30" s="47">
        <f>IFERROR(SUMIFS(Transactions!$F$2:$F$601,Transactions!$H$2:$H$601,Settings!$B$2,Transactions!$G$2:$G$601,12,Transactions!$C$2:$C$601,A30),0)</f>
        <v/>
      </c>
      <c r="D30" s="47">
        <f>B30-C30</f>
        <v/>
      </c>
      <c r="E30" s="52">
        <f>IF(B30=0,0,C30/B30)</f>
        <v/>
      </c>
    </row>
    <row r="31">
      <c r="A31" s="35" t="inlineStr">
        <is>
          <t>Gym/Fitness</t>
        </is>
      </c>
      <c r="B31" s="48">
        <f>IFERROR(VLOOKUP("Gym/Fitness",Settings!$A$30:$C$59,3,FALSE),0)</f>
        <v/>
      </c>
      <c r="C31" s="47">
        <f>IFERROR(SUMIFS(Transactions!$F$2:$F$601,Transactions!$H$2:$H$601,Settings!$B$2,Transactions!$G$2:$G$601,12,Transactions!$C$2:$C$601,A31),0)</f>
        <v/>
      </c>
      <c r="D31" s="47">
        <f>B31-C31</f>
        <v/>
      </c>
      <c r="E31" s="52">
        <f>IF(B31=0,0,C31/B31)</f>
        <v/>
      </c>
    </row>
    <row r="32">
      <c r="A32" s="35" t="inlineStr">
        <is>
          <t>Pets</t>
        </is>
      </c>
      <c r="B32" s="48">
        <f>IFERROR(VLOOKUP("Pets",Settings!$A$30:$C$59,3,FALSE),0)</f>
        <v/>
      </c>
      <c r="C32" s="47">
        <f>IFERROR(SUMIFS(Transactions!$F$2:$F$601,Transactions!$H$2:$H$601,Settings!$B$2,Transactions!$G$2:$G$601,12,Transactions!$C$2:$C$601,A32),0)</f>
        <v/>
      </c>
      <c r="D32" s="47">
        <f>B32-C32</f>
        <v/>
      </c>
      <c r="E32" s="52">
        <f>IF(B32=0,0,C32/B32)</f>
        <v/>
      </c>
    </row>
    <row r="33">
      <c r="A33" s="35" t="inlineStr">
        <is>
          <t>Kids</t>
        </is>
      </c>
      <c r="B33" s="48">
        <f>IFERROR(VLOOKUP("Kids",Settings!$A$30:$C$59,3,FALSE),0)</f>
        <v/>
      </c>
      <c r="C33" s="47">
        <f>IFERROR(SUMIFS(Transactions!$F$2:$F$601,Transactions!$H$2:$H$601,Settings!$B$2,Transactions!$G$2:$G$601,12,Transactions!$C$2:$C$601,A33),0)</f>
        <v/>
      </c>
      <c r="D33" s="47">
        <f>B33-C33</f>
        <v/>
      </c>
      <c r="E33" s="52">
        <f>IF(B33=0,0,C33/B33)</f>
        <v/>
      </c>
    </row>
    <row r="34">
      <c r="A34" s="35" t="inlineStr">
        <is>
          <t>Gifts/Donations</t>
        </is>
      </c>
      <c r="B34" s="48">
        <f>IFERROR(VLOOKUP("Gifts/Donations",Settings!$A$30:$C$59,3,FALSE),0)</f>
        <v/>
      </c>
      <c r="C34" s="47">
        <f>IFERROR(SUMIFS(Transactions!$F$2:$F$601,Transactions!$H$2:$H$601,Settings!$B$2,Transactions!$G$2:$G$601,12,Transactions!$C$2:$C$601,A34),0)</f>
        <v/>
      </c>
      <c r="D34" s="47">
        <f>B34-C34</f>
        <v/>
      </c>
      <c r="E34" s="52">
        <f>IF(B34=0,0,C34/B34)</f>
        <v/>
      </c>
    </row>
    <row r="35">
      <c r="A35" s="35" t="inlineStr">
        <is>
          <t>Travel</t>
        </is>
      </c>
      <c r="B35" s="48">
        <f>IFERROR(VLOOKUP("Travel",Settings!$A$30:$C$59,3,FALSE),0)</f>
        <v/>
      </c>
      <c r="C35" s="47">
        <f>IFERROR(SUMIFS(Transactions!$F$2:$F$601,Transactions!$H$2:$H$601,Settings!$B$2,Transactions!$G$2:$G$601,12,Transactions!$C$2:$C$601,A35),0)</f>
        <v/>
      </c>
      <c r="D35" s="47">
        <f>B35-C35</f>
        <v/>
      </c>
      <c r="E35" s="52">
        <f>IF(B35=0,0,C35/B35)</f>
        <v/>
      </c>
    </row>
    <row r="36">
      <c r="A36" s="35" t="inlineStr">
        <is>
          <t>Miscellaneous</t>
        </is>
      </c>
      <c r="B36" s="48">
        <f>IFERROR(VLOOKUP("Miscellaneous",Settings!$A$30:$C$59,3,FALSE),0)</f>
        <v/>
      </c>
      <c r="C36" s="47">
        <f>IFERROR(SUMIFS(Transactions!$F$2:$F$601,Transactions!$H$2:$H$601,Settings!$B$2,Transactions!$G$2:$G$601,12,Transactions!$C$2:$C$601,A36),0)</f>
        <v/>
      </c>
      <c r="D36" s="47">
        <f>B36-C36</f>
        <v/>
      </c>
      <c r="E36" s="52">
        <f>IF(B36=0,0,C36/B36)</f>
        <v/>
      </c>
    </row>
    <row r="37">
      <c r="A37" s="53" t="inlineStr">
        <is>
          <t>Total Expenses</t>
        </is>
      </c>
      <c r="B37" s="54">
        <f>SUM(B15:B36)</f>
        <v/>
      </c>
      <c r="C37" s="54">
        <f>SUM(C15:C36)</f>
        <v/>
      </c>
      <c r="D37" s="54">
        <f>SUM(D15:D36)</f>
        <v/>
      </c>
      <c r="E37" s="55" t="inlineStr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0907E"/>
    <outlinePr summaryBelow="1" summaryRight="1"/>
    <pageSetUpPr/>
  </sheetPr>
  <dimension ref="A1:P23"/>
  <sheetViews>
    <sheetView showGridLines="0"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29" t="inlineStr">
        <is>
          <t>Bill Calendar</t>
        </is>
      </c>
      <c r="B1" s="2" t="n"/>
      <c r="C1" s="2" t="n"/>
      <c r="D1" s="2" t="n"/>
      <c r="E1" s="2" t="n"/>
      <c r="F1" s="2" t="n"/>
      <c r="G1" s="2" t="n"/>
    </row>
    <row r="2">
      <c r="A2" s="34" t="inlineStr">
        <is>
          <t>Month:</t>
        </is>
      </c>
      <c r="B2" s="35" t="n">
        <v>1</v>
      </c>
    </row>
    <row r="4">
      <c r="A4" s="44" t="inlineStr">
        <is>
          <t>Sun</t>
        </is>
      </c>
      <c r="B4" s="44" t="inlineStr">
        <is>
          <t>Mon</t>
        </is>
      </c>
      <c r="C4" s="44" t="inlineStr">
        <is>
          <t>Tue</t>
        </is>
      </c>
      <c r="D4" s="44" t="inlineStr">
        <is>
          <t>Wed</t>
        </is>
      </c>
      <c r="E4" s="44" t="inlineStr">
        <is>
          <t>Thu</t>
        </is>
      </c>
      <c r="F4" s="44" t="inlineStr">
        <is>
          <t>Fri</t>
        </is>
      </c>
      <c r="G4" s="44" t="inlineStr">
        <is>
          <t>Sat</t>
        </is>
      </c>
    </row>
    <row r="5" ht="22" customHeight="1">
      <c r="A5" s="56" t="n">
        <v>1</v>
      </c>
      <c r="B5" s="56" t="n">
        <v>2</v>
      </c>
      <c r="C5" s="56" t="n">
        <v>3</v>
      </c>
      <c r="D5" s="56" t="n">
        <v>4</v>
      </c>
      <c r="E5" s="56" t="n">
        <v>5</v>
      </c>
      <c r="F5" s="56" t="n">
        <v>6</v>
      </c>
      <c r="G5" s="56" t="n">
        <v>7</v>
      </c>
      <c r="J5" s="57">
        <f>IFERROR(SUMIF(Recurring!$E$3:$E$102,1,Recurring!$C$3:$C$102),0)</f>
        <v/>
      </c>
      <c r="K5" s="57">
        <f>IFERROR(SUMIF(Recurring!$E$3:$E$102,2,Recurring!$C$3:$C$102),0)</f>
        <v/>
      </c>
      <c r="L5" s="57">
        <f>IFERROR(SUMIF(Recurring!$E$3:$E$102,3,Recurring!$C$3:$C$102),0)</f>
        <v/>
      </c>
      <c r="M5" s="57">
        <f>IFERROR(SUMIF(Recurring!$E$3:$E$102,4,Recurring!$C$3:$C$102),0)</f>
        <v/>
      </c>
      <c r="N5" s="57">
        <f>IFERROR(SUMIF(Recurring!$E$3:$E$102,5,Recurring!$C$3:$C$102),0)</f>
        <v/>
      </c>
      <c r="O5" s="57">
        <f>IFERROR(SUMIF(Recurring!$E$3:$E$102,6,Recurring!$C$3:$C$102),0)</f>
        <v/>
      </c>
      <c r="P5" s="57">
        <f>IFERROR(SUMIF(Recurring!$E$3:$E$102,7,Recurring!$C$3:$C$102),0)</f>
        <v/>
      </c>
    </row>
    <row r="6" ht="22" customHeight="1">
      <c r="A6" s="56" t="n">
        <v>8</v>
      </c>
      <c r="B6" s="56" t="n">
        <v>9</v>
      </c>
      <c r="C6" s="56" t="n">
        <v>10</v>
      </c>
      <c r="D6" s="56" t="n">
        <v>11</v>
      </c>
      <c r="E6" s="56" t="n">
        <v>12</v>
      </c>
      <c r="F6" s="56" t="n">
        <v>13</v>
      </c>
      <c r="G6" s="56" t="n">
        <v>14</v>
      </c>
      <c r="J6" s="57">
        <f>IFERROR(SUMIF(Recurring!$E$3:$E$102,8,Recurring!$C$3:$C$102),0)</f>
        <v/>
      </c>
      <c r="K6" s="57">
        <f>IFERROR(SUMIF(Recurring!$E$3:$E$102,9,Recurring!$C$3:$C$102),0)</f>
        <v/>
      </c>
      <c r="L6" s="57">
        <f>IFERROR(SUMIF(Recurring!$E$3:$E$102,10,Recurring!$C$3:$C$102),0)</f>
        <v/>
      </c>
      <c r="M6" s="57">
        <f>IFERROR(SUMIF(Recurring!$E$3:$E$102,11,Recurring!$C$3:$C$102),0)</f>
        <v/>
      </c>
      <c r="N6" s="57">
        <f>IFERROR(SUMIF(Recurring!$E$3:$E$102,12,Recurring!$C$3:$C$102),0)</f>
        <v/>
      </c>
      <c r="O6" s="57">
        <f>IFERROR(SUMIF(Recurring!$E$3:$E$102,13,Recurring!$C$3:$C$102),0)</f>
        <v/>
      </c>
      <c r="P6" s="57">
        <f>IFERROR(SUMIF(Recurring!$E$3:$E$102,14,Recurring!$C$3:$C$102),0)</f>
        <v/>
      </c>
    </row>
    <row r="7" ht="22" customHeight="1">
      <c r="A7" s="56" t="n">
        <v>15</v>
      </c>
      <c r="B7" s="56" t="n">
        <v>16</v>
      </c>
      <c r="C7" s="56" t="n">
        <v>17</v>
      </c>
      <c r="D7" s="56" t="n">
        <v>18</v>
      </c>
      <c r="E7" s="56" t="n">
        <v>19</v>
      </c>
      <c r="F7" s="56" t="n">
        <v>20</v>
      </c>
      <c r="G7" s="56" t="n">
        <v>21</v>
      </c>
      <c r="J7" s="57">
        <f>IFERROR(SUMIF(Recurring!$E$3:$E$102,15,Recurring!$C$3:$C$102),0)</f>
        <v/>
      </c>
      <c r="K7" s="57">
        <f>IFERROR(SUMIF(Recurring!$E$3:$E$102,16,Recurring!$C$3:$C$102),0)</f>
        <v/>
      </c>
      <c r="L7" s="57">
        <f>IFERROR(SUMIF(Recurring!$E$3:$E$102,17,Recurring!$C$3:$C$102),0)</f>
        <v/>
      </c>
      <c r="M7" s="57">
        <f>IFERROR(SUMIF(Recurring!$E$3:$E$102,18,Recurring!$C$3:$C$102),0)</f>
        <v/>
      </c>
      <c r="N7" s="57">
        <f>IFERROR(SUMIF(Recurring!$E$3:$E$102,19,Recurring!$C$3:$C$102),0)</f>
        <v/>
      </c>
      <c r="O7" s="57">
        <f>IFERROR(SUMIF(Recurring!$E$3:$E$102,20,Recurring!$C$3:$C$102),0)</f>
        <v/>
      </c>
      <c r="P7" s="57">
        <f>IFERROR(SUMIF(Recurring!$E$3:$E$102,21,Recurring!$C$3:$C$102),0)</f>
        <v/>
      </c>
    </row>
    <row r="8" ht="22" customHeight="1">
      <c r="A8" s="56" t="n">
        <v>22</v>
      </c>
      <c r="B8" s="56" t="n">
        <v>23</v>
      </c>
      <c r="C8" s="56" t="n">
        <v>24</v>
      </c>
      <c r="D8" s="56" t="n">
        <v>25</v>
      </c>
      <c r="E8" s="56" t="n">
        <v>26</v>
      </c>
      <c r="F8" s="56" t="n">
        <v>27</v>
      </c>
      <c r="G8" s="56" t="n">
        <v>28</v>
      </c>
      <c r="J8" s="57">
        <f>IFERROR(SUMIF(Recurring!$E$3:$E$102,22,Recurring!$C$3:$C$102),0)</f>
        <v/>
      </c>
      <c r="K8" s="57">
        <f>IFERROR(SUMIF(Recurring!$E$3:$E$102,23,Recurring!$C$3:$C$102),0)</f>
        <v/>
      </c>
      <c r="L8" s="57">
        <f>IFERROR(SUMIF(Recurring!$E$3:$E$102,24,Recurring!$C$3:$C$102),0)</f>
        <v/>
      </c>
      <c r="M8" s="57">
        <f>IFERROR(SUMIF(Recurring!$E$3:$E$102,25,Recurring!$C$3:$C$102),0)</f>
        <v/>
      </c>
      <c r="N8" s="57">
        <f>IFERROR(SUMIF(Recurring!$E$3:$E$102,26,Recurring!$C$3:$C$102),0)</f>
        <v/>
      </c>
      <c r="O8" s="57">
        <f>IFERROR(SUMIF(Recurring!$E$3:$E$102,27,Recurring!$C$3:$C$102),0)</f>
        <v/>
      </c>
      <c r="P8" s="57">
        <f>IFERROR(SUMIF(Recurring!$E$3:$E$102,28,Recurring!$C$3:$C$102),0)</f>
        <v/>
      </c>
    </row>
    <row r="9" ht="22" customHeight="1">
      <c r="A9" s="56" t="n">
        <v>29</v>
      </c>
      <c r="B9" s="56" t="n">
        <v>30</v>
      </c>
      <c r="C9" s="56" t="n">
        <v>31</v>
      </c>
      <c r="J9" s="57">
        <f>IFERROR(SUMIF(Recurring!$E$3:$E$102,29,Recurring!$C$3:$C$102),0)</f>
        <v/>
      </c>
      <c r="K9" s="57">
        <f>IFERROR(SUMIF(Recurring!$E$3:$E$102,30,Recurring!$C$3:$C$102),0)</f>
        <v/>
      </c>
      <c r="L9" s="57">
        <f>IFERROR(SUMIF(Recurring!$E$3:$E$102,31,Recurring!$C$3:$C$102),0)</f>
        <v/>
      </c>
    </row>
    <row r="10" ht="22" customHeight="1"/>
    <row r="12">
      <c r="A12" s="30" t="inlineStr">
        <is>
          <t>Bills Due This Month</t>
        </is>
      </c>
      <c r="B12" s="2" t="n"/>
      <c r="C12" s="2" t="n"/>
      <c r="D12" s="2" t="n"/>
      <c r="E12" s="2" t="n"/>
      <c r="F12" s="2" t="n"/>
      <c r="G12" s="2" t="n"/>
    </row>
    <row r="13">
      <c r="A13" s="45" t="inlineStr">
        <is>
          <t>Name</t>
        </is>
      </c>
      <c r="B13" s="45" t="inlineStr">
        <is>
          <t>Amount</t>
        </is>
      </c>
      <c r="C13" s="45" t="inlineStr">
        <is>
          <t>Due Day</t>
        </is>
      </c>
      <c r="D13" s="45" t="inlineStr">
        <is>
          <t>Status</t>
        </is>
      </c>
    </row>
    <row r="14">
      <c r="A14" s="38">
        <f>IFERROR(Recurring!A3,"")</f>
        <v/>
      </c>
      <c r="B14" s="58">
        <f>IFERROR(Recurring!C3,0)</f>
        <v/>
      </c>
      <c r="C14" s="38">
        <f>IFERROR(Recurring!E3,"")</f>
        <v/>
      </c>
      <c r="D14" s="38">
        <f>IFERROR(Recurring!G3,"")</f>
        <v/>
      </c>
    </row>
    <row r="15">
      <c r="A15" s="38">
        <f>IFERROR(Recurring!A4,"")</f>
        <v/>
      </c>
      <c r="B15" s="58">
        <f>IFERROR(Recurring!C4,0)</f>
        <v/>
      </c>
      <c r="C15" s="38">
        <f>IFERROR(Recurring!E4,"")</f>
        <v/>
      </c>
      <c r="D15" s="38">
        <f>IFERROR(Recurring!G4,"")</f>
        <v/>
      </c>
    </row>
    <row r="16">
      <c r="A16" s="38">
        <f>IFERROR(Recurring!A5,"")</f>
        <v/>
      </c>
      <c r="B16" s="58">
        <f>IFERROR(Recurring!C5,0)</f>
        <v/>
      </c>
      <c r="C16" s="38">
        <f>IFERROR(Recurring!E5,"")</f>
        <v/>
      </c>
      <c r="D16" s="38">
        <f>IFERROR(Recurring!G5,"")</f>
        <v/>
      </c>
    </row>
    <row r="17">
      <c r="A17" s="38">
        <f>IFERROR(Recurring!A6,"")</f>
        <v/>
      </c>
      <c r="B17" s="58">
        <f>IFERROR(Recurring!C6,0)</f>
        <v/>
      </c>
      <c r="C17" s="38">
        <f>IFERROR(Recurring!E6,"")</f>
        <v/>
      </c>
      <c r="D17" s="38">
        <f>IFERROR(Recurring!G6,"")</f>
        <v/>
      </c>
    </row>
    <row r="18">
      <c r="A18" s="38">
        <f>IFERROR(Recurring!A7,"")</f>
        <v/>
      </c>
      <c r="B18" s="58">
        <f>IFERROR(Recurring!C7,0)</f>
        <v/>
      </c>
      <c r="C18" s="38">
        <f>IFERROR(Recurring!E7,"")</f>
        <v/>
      </c>
      <c r="D18" s="38">
        <f>IFERROR(Recurring!G7,"")</f>
        <v/>
      </c>
    </row>
    <row r="19">
      <c r="A19" s="38">
        <f>IFERROR(Recurring!A8,"")</f>
        <v/>
      </c>
      <c r="B19" s="58">
        <f>IFERROR(Recurring!C8,0)</f>
        <v/>
      </c>
      <c r="C19" s="38">
        <f>IFERROR(Recurring!E8,"")</f>
        <v/>
      </c>
      <c r="D19" s="38">
        <f>IFERROR(Recurring!G8,"")</f>
        <v/>
      </c>
    </row>
    <row r="20">
      <c r="A20" s="38">
        <f>IFERROR(Recurring!A9,"")</f>
        <v/>
      </c>
      <c r="B20" s="58">
        <f>IFERROR(Recurring!C9,0)</f>
        <v/>
      </c>
      <c r="C20" s="38">
        <f>IFERROR(Recurring!E9,"")</f>
        <v/>
      </c>
      <c r="D20" s="38">
        <f>IFERROR(Recurring!G9,"")</f>
        <v/>
      </c>
    </row>
    <row r="21">
      <c r="A21" s="38">
        <f>IFERROR(Recurring!A10,"")</f>
        <v/>
      </c>
      <c r="B21" s="58">
        <f>IFERROR(Recurring!C10,0)</f>
        <v/>
      </c>
      <c r="C21" s="38">
        <f>IFERROR(Recurring!E10,"")</f>
        <v/>
      </c>
      <c r="D21" s="38">
        <f>IFERROR(Recurring!G10,"")</f>
        <v/>
      </c>
    </row>
    <row r="22">
      <c r="A22" s="38">
        <f>IFERROR(Recurring!A11,"")</f>
        <v/>
      </c>
      <c r="B22" s="58">
        <f>IFERROR(Recurring!C11,0)</f>
        <v/>
      </c>
      <c r="C22" s="38">
        <f>IFERROR(Recurring!E11,"")</f>
        <v/>
      </c>
      <c r="D22" s="38">
        <f>IFERROR(Recurring!G11,"")</f>
        <v/>
      </c>
    </row>
    <row r="23">
      <c r="A23" s="38">
        <f>IFERROR(Recurring!A12,"")</f>
        <v/>
      </c>
      <c r="B23" s="58">
        <f>IFERROR(Recurring!C12,0)</f>
        <v/>
      </c>
      <c r="C23" s="38">
        <f>IFERROR(Recurring!E12,"")</f>
        <v/>
      </c>
      <c r="D23" s="38">
        <f>IFERROR(Recurring!G12,"")</f>
        <v/>
      </c>
    </row>
  </sheetData>
  <mergeCells count="1">
    <mergeCell ref="A1:G1"/>
  </mergeCells>
  <conditionalFormatting sqref="A5">
    <cfRule type="expression" priority="1" dxfId="3">
      <formula>J5&gt;0</formula>
    </cfRule>
  </conditionalFormatting>
  <conditionalFormatting sqref="B5">
    <cfRule type="expression" priority="2" dxfId="3">
      <formula>K5&gt;0</formula>
    </cfRule>
  </conditionalFormatting>
  <conditionalFormatting sqref="C5">
    <cfRule type="expression" priority="3" dxfId="3">
      <formula>L5&gt;0</formula>
    </cfRule>
  </conditionalFormatting>
  <conditionalFormatting sqref="D5">
    <cfRule type="expression" priority="4" dxfId="3">
      <formula>M5&gt;0</formula>
    </cfRule>
  </conditionalFormatting>
  <conditionalFormatting sqref="E5">
    <cfRule type="expression" priority="5" dxfId="3">
      <formula>N5&gt;0</formula>
    </cfRule>
  </conditionalFormatting>
  <conditionalFormatting sqref="F5">
    <cfRule type="expression" priority="6" dxfId="3">
      <formula>O5&gt;0</formula>
    </cfRule>
  </conditionalFormatting>
  <conditionalFormatting sqref="G5">
    <cfRule type="expression" priority="7" dxfId="3">
      <formula>P5&gt;0</formula>
    </cfRule>
  </conditionalFormatting>
  <conditionalFormatting sqref="A6">
    <cfRule type="expression" priority="8" dxfId="3">
      <formula>J6&gt;0</formula>
    </cfRule>
  </conditionalFormatting>
  <conditionalFormatting sqref="B6">
    <cfRule type="expression" priority="9" dxfId="3">
      <formula>K6&gt;0</formula>
    </cfRule>
  </conditionalFormatting>
  <conditionalFormatting sqref="C6">
    <cfRule type="expression" priority="10" dxfId="3">
      <formula>L6&gt;0</formula>
    </cfRule>
  </conditionalFormatting>
  <conditionalFormatting sqref="D6">
    <cfRule type="expression" priority="11" dxfId="3">
      <formula>M6&gt;0</formula>
    </cfRule>
  </conditionalFormatting>
  <conditionalFormatting sqref="E6">
    <cfRule type="expression" priority="12" dxfId="3">
      <formula>N6&gt;0</formula>
    </cfRule>
  </conditionalFormatting>
  <conditionalFormatting sqref="F6">
    <cfRule type="expression" priority="13" dxfId="3">
      <formula>O6&gt;0</formula>
    </cfRule>
  </conditionalFormatting>
  <conditionalFormatting sqref="G6">
    <cfRule type="expression" priority="14" dxfId="3">
      <formula>P6&gt;0</formula>
    </cfRule>
  </conditionalFormatting>
  <conditionalFormatting sqref="A7">
    <cfRule type="expression" priority="15" dxfId="3">
      <formula>J7&gt;0</formula>
    </cfRule>
  </conditionalFormatting>
  <conditionalFormatting sqref="B7">
    <cfRule type="expression" priority="16" dxfId="3">
      <formula>K7&gt;0</formula>
    </cfRule>
  </conditionalFormatting>
  <conditionalFormatting sqref="C7">
    <cfRule type="expression" priority="17" dxfId="3">
      <formula>L7&gt;0</formula>
    </cfRule>
  </conditionalFormatting>
  <conditionalFormatting sqref="D7">
    <cfRule type="expression" priority="18" dxfId="3">
      <formula>M7&gt;0</formula>
    </cfRule>
  </conditionalFormatting>
  <conditionalFormatting sqref="E7">
    <cfRule type="expression" priority="19" dxfId="3">
      <formula>N7&gt;0</formula>
    </cfRule>
  </conditionalFormatting>
  <conditionalFormatting sqref="F7">
    <cfRule type="expression" priority="20" dxfId="3">
      <formula>O7&gt;0</formula>
    </cfRule>
  </conditionalFormatting>
  <conditionalFormatting sqref="G7">
    <cfRule type="expression" priority="21" dxfId="3">
      <formula>P7&gt;0</formula>
    </cfRule>
  </conditionalFormatting>
  <conditionalFormatting sqref="A8">
    <cfRule type="expression" priority="22" dxfId="3">
      <formula>J8&gt;0</formula>
    </cfRule>
  </conditionalFormatting>
  <conditionalFormatting sqref="B8">
    <cfRule type="expression" priority="23" dxfId="3">
      <formula>K8&gt;0</formula>
    </cfRule>
  </conditionalFormatting>
  <conditionalFormatting sqref="C8">
    <cfRule type="expression" priority="24" dxfId="3">
      <formula>L8&gt;0</formula>
    </cfRule>
  </conditionalFormatting>
  <conditionalFormatting sqref="D8">
    <cfRule type="expression" priority="25" dxfId="3">
      <formula>M8&gt;0</formula>
    </cfRule>
  </conditionalFormatting>
  <conditionalFormatting sqref="E8">
    <cfRule type="expression" priority="26" dxfId="3">
      <formula>N8&gt;0</formula>
    </cfRule>
  </conditionalFormatting>
  <conditionalFormatting sqref="F8">
    <cfRule type="expression" priority="27" dxfId="3">
      <formula>O8&gt;0</formula>
    </cfRule>
  </conditionalFormatting>
  <conditionalFormatting sqref="G8">
    <cfRule type="expression" priority="28" dxfId="3">
      <formula>P8&gt;0</formula>
    </cfRule>
  </conditionalFormatting>
  <conditionalFormatting sqref="A9">
    <cfRule type="expression" priority="29" dxfId="3">
      <formula>J9&gt;0</formula>
    </cfRule>
  </conditionalFormatting>
  <conditionalFormatting sqref="B9">
    <cfRule type="expression" priority="30" dxfId="3">
      <formula>K9&gt;0</formula>
    </cfRule>
  </conditionalFormatting>
  <conditionalFormatting sqref="C9">
    <cfRule type="expression" priority="31" dxfId="3">
      <formula>L9&gt;0</formula>
    </cfRule>
  </conditionalFormatting>
  <conditionalFormatting sqref="D9">
    <cfRule type="expression" priority="32" dxfId="3">
      <formula>M9&gt;0</formula>
    </cfRule>
  </conditionalFormatting>
  <conditionalFormatting sqref="E9">
    <cfRule type="expression" priority="33" dxfId="3">
      <formula>N9&gt;0</formula>
    </cfRule>
  </conditionalFormatting>
  <conditionalFormatting sqref="F9">
    <cfRule type="expression" priority="34" dxfId="3">
      <formula>O9&gt;0</formula>
    </cfRule>
  </conditionalFormatting>
  <conditionalFormatting sqref="G9">
    <cfRule type="expression" priority="35" dxfId="3">
      <formula>P9&gt;0</formula>
    </cfRule>
  </conditionalFormatting>
  <conditionalFormatting sqref="A10">
    <cfRule type="expression" priority="36" dxfId="3">
      <formula>J10&gt;0</formula>
    </cfRule>
  </conditionalFormatting>
  <conditionalFormatting sqref="B10">
    <cfRule type="expression" priority="37" dxfId="3">
      <formula>K10&gt;0</formula>
    </cfRule>
  </conditionalFormatting>
  <conditionalFormatting sqref="C10">
    <cfRule type="expression" priority="38" dxfId="3">
      <formula>L10&gt;0</formula>
    </cfRule>
  </conditionalFormatting>
  <conditionalFormatting sqref="D10">
    <cfRule type="expression" priority="39" dxfId="3">
      <formula>M10&gt;0</formula>
    </cfRule>
  </conditionalFormatting>
  <conditionalFormatting sqref="E10">
    <cfRule type="expression" priority="40" dxfId="3">
      <formula>N10&gt;0</formula>
    </cfRule>
  </conditionalFormatting>
  <conditionalFormatting sqref="F10">
    <cfRule type="expression" priority="41" dxfId="3">
      <formula>O10&gt;0</formula>
    </cfRule>
  </conditionalFormatting>
  <conditionalFormatting sqref="G10">
    <cfRule type="expression" priority="42" dxfId="3">
      <formula>P10&gt;0</formula>
    </cfRule>
  </conditionalFormatting>
  <dataValidations count="1">
    <dataValidation sqref="B2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907E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29" t="inlineStr">
        <is>
          <t>Debt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9" t="inlineStr">
        <is>
          <t>Debt Name</t>
        </is>
      </c>
      <c r="B2" s="59" t="inlineStr">
        <is>
          <t>Original Balance</t>
        </is>
      </c>
      <c r="C2" s="59" t="inlineStr">
        <is>
          <t>Current Balance</t>
        </is>
      </c>
      <c r="D2" s="59" t="inlineStr">
        <is>
          <t>APR (%)</t>
        </is>
      </c>
      <c r="E2" s="59" t="inlineStr">
        <is>
          <t>Min Payment</t>
        </is>
      </c>
      <c r="F2" s="59" t="inlineStr">
        <is>
          <t>Monthly Payment</t>
        </is>
      </c>
      <c r="G2" s="59" t="inlineStr">
        <is>
          <t>Months to Payoff</t>
        </is>
      </c>
      <c r="H2" s="59" t="inlineStr">
        <is>
          <t>Total Interest</t>
        </is>
      </c>
      <c r="I2" s="59" t="inlineStr">
        <is>
          <t>% Paid Off</t>
        </is>
      </c>
    </row>
    <row r="3">
      <c r="A3" s="35" t="inlineStr">
        <is>
          <t>Credit Card</t>
        </is>
      </c>
      <c r="B3" s="42" t="n">
        <v>3800</v>
      </c>
      <c r="C3" s="42" t="n">
        <v>3500</v>
      </c>
      <c r="D3" s="60" t="n">
        <v>19.99</v>
      </c>
      <c r="E3" s="42" t="n">
        <v>70</v>
      </c>
      <c r="F3" s="42" t="n">
        <v>150</v>
      </c>
      <c r="G3" s="61">
        <f>IF(OR(D3=0,F3=0),IF(F3=0,0,CEILING(C3/F3,1)),IFERROR(NPER(D3/100/12,-F3,C3),0))</f>
        <v/>
      </c>
      <c r="H3" s="48">
        <f>IFERROR(MAX(0,G3*F3-C3),0)</f>
        <v/>
      </c>
      <c r="I3" s="62">
        <f>IF(B3=0,0,MAX(0,(B3-C3)/B3))</f>
        <v/>
      </c>
    </row>
    <row r="4">
      <c r="A4" s="35" t="inlineStr">
        <is>
          <t>Car Loan</t>
        </is>
      </c>
      <c r="B4" s="42" t="n">
        <v>13000</v>
      </c>
      <c r="C4" s="42" t="n">
        <v>12000</v>
      </c>
      <c r="D4" s="60" t="n">
        <v>4.5</v>
      </c>
      <c r="E4" s="42" t="n">
        <v>220</v>
      </c>
      <c r="F4" s="42" t="n">
        <v>250</v>
      </c>
      <c r="G4" s="61">
        <f>IF(OR(D4=0,F4=0),IF(F4=0,0,CEILING(C4/F4,1)),IFERROR(NPER(D4/100/12,-F4,C4),0))</f>
        <v/>
      </c>
      <c r="H4" s="48">
        <f>IFERROR(MAX(0,G4*F4-C4),0)</f>
        <v/>
      </c>
      <c r="I4" s="62">
        <f>IF(B4=0,0,MAX(0,(B4-C4)/B4))</f>
        <v/>
      </c>
    </row>
    <row r="5">
      <c r="A5" s="35" t="inlineStr">
        <is>
          <t>Student Loan</t>
        </is>
      </c>
      <c r="B5" s="42" t="n">
        <v>28000</v>
      </c>
      <c r="C5" s="42" t="n">
        <v>25000</v>
      </c>
      <c r="D5" s="60" t="n">
        <v>5</v>
      </c>
      <c r="E5" s="42" t="n">
        <v>250</v>
      </c>
      <c r="F5" s="42" t="n">
        <v>300</v>
      </c>
      <c r="G5" s="61">
        <f>IF(OR(D5=0,F5=0),IF(F5=0,0,CEILING(C5/F5,1)),IFERROR(NPER(D5/100/12,-F5,C5),0))</f>
        <v/>
      </c>
      <c r="H5" s="48">
        <f>IFERROR(MAX(0,G5*F5-C5),0)</f>
        <v/>
      </c>
      <c r="I5" s="62">
        <f>IF(B5=0,0,MAX(0,(B5-C5)/B5))</f>
        <v/>
      </c>
    </row>
    <row r="6">
      <c r="A6" s="35" t="inlineStr">
        <is>
          <t>Personal Loan</t>
        </is>
      </c>
      <c r="B6" s="42" t="n">
        <v>6000</v>
      </c>
      <c r="C6" s="42" t="n">
        <v>5000</v>
      </c>
      <c r="D6" s="60" t="n">
        <v>12</v>
      </c>
      <c r="E6" s="42" t="n">
        <v>100</v>
      </c>
      <c r="F6" s="42" t="n">
        <v>150</v>
      </c>
      <c r="G6" s="61">
        <f>IF(OR(D6=0,F6=0),IF(F6=0,0,CEILING(C6/F6,1)),IFERROR(NPER(D6/100/12,-F6,C6),0))</f>
        <v/>
      </c>
      <c r="H6" s="48">
        <f>IFERROR(MAX(0,G6*F6-C6),0)</f>
        <v/>
      </c>
      <c r="I6" s="62">
        <f>IF(B6=0,0,MAX(0,(B6-C6)/B6))</f>
        <v/>
      </c>
    </row>
    <row r="7">
      <c r="A7" s="35" t="inlineStr">
        <is>
          <t>Medical Bill</t>
        </is>
      </c>
      <c r="B7" s="42" t="n">
        <v>1000</v>
      </c>
      <c r="C7" s="42" t="n">
        <v>800</v>
      </c>
      <c r="D7" s="60" t="n">
        <v>0</v>
      </c>
      <c r="E7" s="42" t="n">
        <v>50</v>
      </c>
      <c r="F7" s="42" t="n">
        <v>50</v>
      </c>
      <c r="G7" s="61">
        <f>IF(OR(D7=0,F7=0),IF(F7=0,0,CEILING(C7/F7,1)),IFERROR(NPER(D7/100/12,-F7,C7),0))</f>
        <v/>
      </c>
      <c r="H7" s="48">
        <f>IFERROR(MAX(0,G7*F7-C7),0)</f>
        <v/>
      </c>
      <c r="I7" s="62">
        <f>IF(B7=0,0,MAX(0,(B7-C7)/B7))</f>
        <v/>
      </c>
    </row>
    <row r="8">
      <c r="A8" s="35" t="n"/>
      <c r="B8" s="63" t="n"/>
      <c r="C8" s="63" t="n"/>
      <c r="D8" s="64" t="n"/>
      <c r="E8" s="63" t="n"/>
      <c r="F8" s="63" t="n"/>
      <c r="G8" s="61">
        <f>IF(OR(D8=0,F8=0),IF(F8=0,0,CEILING(C8/F8,1)),IFERROR(NPER(D8/100/12,-F8,C8),0))</f>
        <v/>
      </c>
      <c r="H8" s="48">
        <f>IFERROR(MAX(0,G8*F8-C8),0)</f>
        <v/>
      </c>
      <c r="I8" s="62">
        <f>IF(B8=0,0,MAX(0,(B8-C8)/B8))</f>
        <v/>
      </c>
    </row>
    <row r="9">
      <c r="A9" s="35" t="n"/>
      <c r="B9" s="63" t="n"/>
      <c r="C9" s="63" t="n"/>
      <c r="D9" s="64" t="n"/>
      <c r="E9" s="63" t="n"/>
      <c r="F9" s="63" t="n"/>
      <c r="G9" s="61">
        <f>IF(OR(D9=0,F9=0),IF(F9=0,0,CEILING(C9/F9,1)),IFERROR(NPER(D9/100/12,-F9,C9),0))</f>
        <v/>
      </c>
      <c r="H9" s="48">
        <f>IFERROR(MAX(0,G9*F9-C9),0)</f>
        <v/>
      </c>
      <c r="I9" s="62">
        <f>IF(B9=0,0,MAX(0,(B9-C9)/B9))</f>
        <v/>
      </c>
    </row>
    <row r="10">
      <c r="A10" s="35" t="n"/>
      <c r="B10" s="63" t="n"/>
      <c r="C10" s="63" t="n"/>
      <c r="D10" s="64" t="n"/>
      <c r="E10" s="63" t="n"/>
      <c r="F10" s="63" t="n"/>
      <c r="G10" s="61">
        <f>IF(OR(D10=0,F10=0),IF(F10=0,0,CEILING(C10/F10,1)),IFERROR(NPER(D10/100/12,-F10,C10),0))</f>
        <v/>
      </c>
      <c r="H10" s="48">
        <f>IFERROR(MAX(0,G10*F10-C10),0)</f>
        <v/>
      </c>
      <c r="I10" s="62">
        <f>IF(B10=0,0,MAX(0,(B10-C10)/B10))</f>
        <v/>
      </c>
    </row>
    <row r="11">
      <c r="A11" s="35" t="n"/>
      <c r="B11" s="63" t="n"/>
      <c r="C11" s="63" t="n"/>
      <c r="D11" s="64" t="n"/>
      <c r="E11" s="63" t="n"/>
      <c r="F11" s="63" t="n"/>
      <c r="G11" s="61">
        <f>IF(OR(D11=0,F11=0),IF(F11=0,0,CEILING(C11/F11,1)),IFERROR(NPER(D11/100/12,-F11,C11),0))</f>
        <v/>
      </c>
      <c r="H11" s="48">
        <f>IFERROR(MAX(0,G11*F11-C11),0)</f>
        <v/>
      </c>
      <c r="I11" s="62">
        <f>IF(B11=0,0,MAX(0,(B11-C11)/B11))</f>
        <v/>
      </c>
    </row>
    <row r="12">
      <c r="A12" s="35" t="n"/>
      <c r="B12" s="63" t="n"/>
      <c r="C12" s="63" t="n"/>
      <c r="D12" s="64" t="n"/>
      <c r="E12" s="63" t="n"/>
      <c r="F12" s="63" t="n"/>
      <c r="G12" s="61">
        <f>IF(OR(D12=0,F12=0),IF(F12=0,0,CEILING(C12/F12,1)),IFERROR(NPER(D12/100/12,-F12,C12),0))</f>
        <v/>
      </c>
      <c r="H12" s="48">
        <f>IFERROR(MAX(0,G12*F12-C12),0)</f>
        <v/>
      </c>
      <c r="I12" s="62">
        <f>IF(B12=0,0,MAX(0,(B12-C12)/B12))</f>
        <v/>
      </c>
    </row>
    <row r="13">
      <c r="A13" s="35" t="n"/>
      <c r="B13" s="63" t="n"/>
      <c r="C13" s="63" t="n"/>
      <c r="D13" s="64" t="n"/>
      <c r="E13" s="63" t="n"/>
      <c r="F13" s="63" t="n"/>
      <c r="G13" s="61">
        <f>IF(OR(D13=0,F13=0),IF(F13=0,0,CEILING(C13/F13,1)),IFERROR(NPER(D13/100/12,-F13,C13),0))</f>
        <v/>
      </c>
      <c r="H13" s="48">
        <f>IFERROR(MAX(0,G13*F13-C13),0)</f>
        <v/>
      </c>
      <c r="I13" s="62">
        <f>IF(B13=0,0,MAX(0,(B13-C13)/B13))</f>
        <v/>
      </c>
    </row>
    <row r="14">
      <c r="A14" s="35" t="n"/>
      <c r="B14" s="63" t="n"/>
      <c r="C14" s="63" t="n"/>
      <c r="D14" s="64" t="n"/>
      <c r="E14" s="63" t="n"/>
      <c r="F14" s="63" t="n"/>
      <c r="G14" s="61">
        <f>IF(OR(D14=0,F14=0),IF(F14=0,0,CEILING(C14/F14,1)),IFERROR(NPER(D14/100/12,-F14,C14),0))</f>
        <v/>
      </c>
      <c r="H14" s="48">
        <f>IFERROR(MAX(0,G14*F14-C14),0)</f>
        <v/>
      </c>
      <c r="I14" s="62">
        <f>IF(B14=0,0,MAX(0,(B14-C14)/B14))</f>
        <v/>
      </c>
    </row>
  </sheetData>
  <mergeCells count="1">
    <mergeCell ref="A1:I1"/>
  </mergeCells>
  <conditionalFormatting sqref="I3:I14">
    <cfRule type="colorScale" priority="1">
      <colorScale>
        <cfvo type="num" val="0"/>
        <cfvo type="num" val="1"/>
        <color rgb="FFFFFFFF"/>
        <color rgb="FF404A36"/>
      </colorScale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0907E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20" customWidth="1" min="7" max="7"/>
  </cols>
  <sheetData>
    <row r="1">
      <c r="A1" s="29" t="inlineStr">
        <is>
          <t>Savings Goals</t>
        </is>
      </c>
      <c r="B1" s="2" t="n"/>
      <c r="C1" s="2" t="n"/>
      <c r="D1" s="2" t="n"/>
      <c r="E1" s="2" t="n"/>
      <c r="F1" s="2" t="n"/>
      <c r="G1" s="2" t="n"/>
    </row>
    <row r="2">
      <c r="A2" s="44" t="inlineStr">
        <is>
          <t>Goal Name</t>
        </is>
      </c>
      <c r="B2" s="44" t="inlineStr">
        <is>
          <t>Target</t>
        </is>
      </c>
      <c r="C2" s="44" t="inlineStr">
        <is>
          <t>Saved</t>
        </is>
      </c>
      <c r="D2" s="44" t="inlineStr">
        <is>
          <t>Remaining</t>
        </is>
      </c>
      <c r="E2" s="44" t="inlineStr">
        <is>
          <t>% Complete</t>
        </is>
      </c>
      <c r="F2" s="44" t="inlineStr">
        <is>
          <t>Target Date</t>
        </is>
      </c>
      <c r="G2" s="44" t="inlineStr">
        <is>
          <t>Notes</t>
        </is>
      </c>
    </row>
    <row r="3">
      <c r="A3" s="35" t="inlineStr">
        <is>
          <t>Emergency Fund</t>
        </is>
      </c>
      <c r="B3" s="42" t="n">
        <v>10000</v>
      </c>
      <c r="C3" s="42" t="n">
        <v>3500</v>
      </c>
      <c r="D3" s="48">
        <f>B3-C3</f>
        <v/>
      </c>
      <c r="E3" s="52">
        <f>IF(B3=0,0,C3/B3)</f>
        <v/>
      </c>
      <c r="F3" s="35" t="inlineStr">
        <is>
          <t>2024-12-31</t>
        </is>
      </c>
      <c r="G3" s="35" t="inlineStr">
        <is>
          <t>3 months expenses</t>
        </is>
      </c>
    </row>
    <row r="4">
      <c r="A4" s="35" t="inlineStr">
        <is>
          <t>Vacation Fund</t>
        </is>
      </c>
      <c r="B4" s="42" t="n">
        <v>5000</v>
      </c>
      <c r="C4" s="42" t="n">
        <v>1200</v>
      </c>
      <c r="D4" s="48">
        <f>B4-C4</f>
        <v/>
      </c>
      <c r="E4" s="52">
        <f>IF(B4=0,0,C4/B4)</f>
        <v/>
      </c>
      <c r="F4" s="35" t="inlineStr">
        <is>
          <t>2024-07-01</t>
        </is>
      </c>
      <c r="G4" s="35" t="inlineStr">
        <is>
          <t>Summer trip</t>
        </is>
      </c>
    </row>
    <row r="5">
      <c r="A5" s="35" t="inlineStr">
        <is>
          <t>New Car</t>
        </is>
      </c>
      <c r="B5" s="42" t="n">
        <v>20000</v>
      </c>
      <c r="C5" s="42" t="n">
        <v>5000</v>
      </c>
      <c r="D5" s="48">
        <f>B5-C5</f>
        <v/>
      </c>
      <c r="E5" s="52">
        <f>IF(B5=0,0,C5/B5)</f>
        <v/>
      </c>
      <c r="F5" s="35" t="inlineStr">
        <is>
          <t>2025-06-01</t>
        </is>
      </c>
      <c r="G5" s="35" t="inlineStr">
        <is>
          <t>Down payment</t>
        </is>
      </c>
    </row>
    <row r="6">
      <c r="A6" s="35" t="inlineStr">
        <is>
          <t>Home Down Payment</t>
        </is>
      </c>
      <c r="B6" s="42" t="n">
        <v>50000</v>
      </c>
      <c r="C6" s="42" t="n">
        <v>12000</v>
      </c>
      <c r="D6" s="48">
        <f>B6-C6</f>
        <v/>
      </c>
      <c r="E6" s="52">
        <f>IF(B6=0,0,C6/B6)</f>
        <v/>
      </c>
      <c r="F6" s="35" t="inlineStr">
        <is>
          <t>2026-01-01</t>
        </is>
      </c>
      <c r="G6" s="35" t="inlineStr">
        <is>
          <t>20% down</t>
        </is>
      </c>
    </row>
    <row r="7">
      <c r="A7" s="35" t="inlineStr">
        <is>
          <t>Wedding</t>
        </is>
      </c>
      <c r="B7" s="42" t="n">
        <v>15000</v>
      </c>
      <c r="C7" s="42" t="n">
        <v>3000</v>
      </c>
      <c r="D7" s="48">
        <f>B7-C7</f>
        <v/>
      </c>
      <c r="E7" s="52">
        <f>IF(B7=0,0,C7/B7)</f>
        <v/>
      </c>
      <c r="F7" s="35" t="inlineStr">
        <is>
          <t>2025-09-01</t>
        </is>
      </c>
      <c r="G7" s="35" t="inlineStr"/>
    </row>
    <row r="8">
      <c r="A8" s="35" t="inlineStr"/>
      <c r="B8" s="42" t="n"/>
      <c r="C8" s="42" t="n"/>
      <c r="D8" s="48">
        <f>IF(B8="","",B8-C8)</f>
        <v/>
      </c>
      <c r="E8" s="52">
        <f>IF(B8=0,0,C8/B8)</f>
        <v/>
      </c>
      <c r="F8" s="35" t="inlineStr"/>
      <c r="G8" s="35" t="inlineStr"/>
    </row>
    <row r="9">
      <c r="A9" s="35" t="inlineStr"/>
      <c r="B9" s="42" t="n"/>
      <c r="C9" s="42" t="n"/>
      <c r="D9" s="48">
        <f>IF(B9="","",B9-C9)</f>
        <v/>
      </c>
      <c r="E9" s="52">
        <f>IF(B9=0,0,C9/B9)</f>
        <v/>
      </c>
      <c r="F9" s="35" t="inlineStr"/>
      <c r="G9" s="35" t="inlineStr"/>
    </row>
    <row r="10">
      <c r="A10" s="35" t="inlineStr"/>
      <c r="B10" s="42" t="n"/>
      <c r="C10" s="42" t="n"/>
      <c r="D10" s="48">
        <f>IF(B10="","",B10-C10)</f>
        <v/>
      </c>
      <c r="E10" s="52">
        <f>IF(B10=0,0,C10/B10)</f>
        <v/>
      </c>
      <c r="F10" s="35" t="inlineStr"/>
      <c r="G10" s="35" t="inlineStr"/>
    </row>
    <row r="11">
      <c r="A11" s="35" t="inlineStr"/>
      <c r="B11" s="42" t="n"/>
      <c r="C11" s="42" t="n"/>
      <c r="D11" s="48">
        <f>IF(B11="","",B11-C11)</f>
        <v/>
      </c>
      <c r="E11" s="52">
        <f>IF(B11=0,0,C11/B11)</f>
        <v/>
      </c>
      <c r="F11" s="35" t="inlineStr"/>
      <c r="G11" s="35" t="inlineStr"/>
    </row>
    <row r="12">
      <c r="A12" s="35" t="inlineStr"/>
      <c r="B12" s="42" t="n"/>
      <c r="C12" s="42" t="n"/>
      <c r="D12" s="48">
        <f>IF(B12="","",B12-C12)</f>
        <v/>
      </c>
      <c r="E12" s="52">
        <f>IF(B12=0,0,C12/B12)</f>
        <v/>
      </c>
      <c r="F12" s="35" t="inlineStr"/>
      <c r="G12" s="35" t="inlineStr"/>
    </row>
    <row r="13">
      <c r="A13" s="35" t="inlineStr"/>
      <c r="B13" s="42" t="n"/>
      <c r="C13" s="42" t="n"/>
      <c r="D13" s="48">
        <f>IF(B13="","",B13-C13)</f>
        <v/>
      </c>
      <c r="E13" s="52">
        <f>IF(B13=0,0,C13/B13)</f>
        <v/>
      </c>
      <c r="F13" s="35" t="inlineStr"/>
      <c r="G13" s="35" t="inlineStr"/>
    </row>
    <row r="14">
      <c r="A14" s="35" t="inlineStr"/>
      <c r="B14" s="42" t="n"/>
      <c r="C14" s="42" t="n"/>
      <c r="D14" s="48">
        <f>IF(B14="","",B14-C14)</f>
        <v/>
      </c>
      <c r="E14" s="52">
        <f>IF(B14=0,0,C14/B14)</f>
        <v/>
      </c>
      <c r="F14" s="35" t="inlineStr"/>
      <c r="G14" s="35" t="inlineStr"/>
    </row>
    <row r="15">
      <c r="A15" s="35" t="inlineStr"/>
      <c r="B15" s="42" t="n"/>
      <c r="C15" s="42" t="n"/>
      <c r="D15" s="48">
        <f>IF(B15="","",B15-C15)</f>
        <v/>
      </c>
      <c r="E15" s="52">
        <f>IF(B15=0,0,C15/B15)</f>
        <v/>
      </c>
      <c r="F15" s="35" t="inlineStr"/>
      <c r="G15" s="35" t="inlineStr"/>
    </row>
    <row r="16">
      <c r="A16" s="35" t="inlineStr"/>
      <c r="B16" s="42" t="n"/>
      <c r="C16" s="42" t="n"/>
      <c r="D16" s="48">
        <f>IF(B16="","",B16-C16)</f>
        <v/>
      </c>
      <c r="E16" s="52">
        <f>IF(B16=0,0,C16/B16)</f>
        <v/>
      </c>
      <c r="F16" s="35" t="inlineStr"/>
      <c r="G16" s="35" t="inlineStr"/>
    </row>
    <row r="17">
      <c r="A17" s="35" t="inlineStr"/>
      <c r="B17" s="42" t="n"/>
      <c r="C17" s="42" t="n"/>
      <c r="D17" s="48">
        <f>IF(B17="","",B17-C17)</f>
        <v/>
      </c>
      <c r="E17" s="52">
        <f>IF(B17=0,0,C17/B17)</f>
        <v/>
      </c>
      <c r="F17" s="35" t="inlineStr"/>
      <c r="G17" s="35" t="inlineStr"/>
    </row>
  </sheetData>
  <mergeCells count="1">
    <mergeCell ref="A1:G1"/>
  </mergeCells>
  <conditionalFormatting sqref="E3:E17">
    <cfRule type="colorScale" priority="1">
      <colorScale>
        <cfvo type="num" val="0"/>
        <cfvo type="num" val="1"/>
        <color rgb="FFFFFFFF"/>
        <color rgb="FF8B9A7A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C0907E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12" customWidth="1" min="5" max="5"/>
  </cols>
  <sheetData>
    <row r="1">
      <c r="A1" s="29" t="inlineStr">
        <is>
          <t>Sinking Funds</t>
        </is>
      </c>
      <c r="B1" s="2" t="n"/>
      <c r="C1" s="2" t="n"/>
      <c r="D1" s="2" t="n"/>
      <c r="E1" s="2" t="n"/>
    </row>
    <row r="2">
      <c r="A2" s="44" t="inlineStr">
        <is>
          <t>Fund Name</t>
        </is>
      </c>
      <c r="B2" s="44" t="inlineStr">
        <is>
          <t>Monthly Contribution</t>
        </is>
      </c>
      <c r="C2" s="44" t="inlineStr">
        <is>
          <t>Current Balance</t>
        </is>
      </c>
      <c r="D2" s="44" t="inlineStr">
        <is>
          <t>Target</t>
        </is>
      </c>
      <c r="E2" s="44" t="inlineStr">
        <is>
          <t>% Funded</t>
        </is>
      </c>
    </row>
    <row r="3">
      <c r="A3" s="35" t="inlineStr">
        <is>
          <t>Car Repair</t>
        </is>
      </c>
      <c r="B3" s="42" t="n">
        <v>100</v>
      </c>
      <c r="C3" s="42" t="n">
        <v>400</v>
      </c>
      <c r="D3" s="42" t="n">
        <v>1000</v>
      </c>
      <c r="E3" s="52">
        <f>IF(D3=0,0,C3/D3)</f>
        <v/>
      </c>
    </row>
    <row r="4">
      <c r="A4" s="35" t="inlineStr">
        <is>
          <t>Vacation</t>
        </is>
      </c>
      <c r="B4" s="42" t="n">
        <v>200</v>
      </c>
      <c r="C4" s="42" t="n">
        <v>600</v>
      </c>
      <c r="D4" s="42" t="n">
        <v>3000</v>
      </c>
      <c r="E4" s="52">
        <f>IF(D4=0,0,C4/D4)</f>
        <v/>
      </c>
    </row>
    <row r="5">
      <c r="A5" s="35" t="inlineStr">
        <is>
          <t>Emergency</t>
        </is>
      </c>
      <c r="B5" s="42" t="n">
        <v>300</v>
      </c>
      <c r="C5" s="42" t="n">
        <v>1200</v>
      </c>
      <c r="D5" s="42" t="n">
        <v>6000</v>
      </c>
      <c r="E5" s="52">
        <f>IF(D5=0,0,C5/D5)</f>
        <v/>
      </c>
    </row>
    <row r="6">
      <c r="A6" s="35" t="inlineStr">
        <is>
          <t>Home Repair</t>
        </is>
      </c>
      <c r="B6" s="42" t="n">
        <v>150</v>
      </c>
      <c r="C6" s="42" t="n">
        <v>300</v>
      </c>
      <c r="D6" s="42" t="n">
        <v>2000</v>
      </c>
      <c r="E6" s="52">
        <f>IF(D6=0,0,C6/D6)</f>
        <v/>
      </c>
    </row>
    <row r="7">
      <c r="A7" s="35" t="inlineStr"/>
      <c r="B7" s="42" t="n"/>
      <c r="C7" s="42" t="n"/>
      <c r="D7" s="42" t="n"/>
      <c r="E7" s="52">
        <f>IF(D7=0,0,C7/D7)</f>
        <v/>
      </c>
    </row>
    <row r="8">
      <c r="A8" s="35" t="inlineStr"/>
      <c r="B8" s="42" t="n"/>
      <c r="C8" s="42" t="n"/>
      <c r="D8" s="42" t="n"/>
      <c r="E8" s="52">
        <f>IF(D8=0,0,C8/D8)</f>
        <v/>
      </c>
    </row>
    <row r="9">
      <c r="A9" s="35" t="inlineStr"/>
      <c r="B9" s="42" t="n"/>
      <c r="C9" s="42" t="n"/>
      <c r="D9" s="42" t="n"/>
      <c r="E9" s="52">
        <f>IF(D9=0,0,C9/D9)</f>
        <v/>
      </c>
    </row>
    <row r="10">
      <c r="A10" s="35" t="inlineStr"/>
      <c r="B10" s="42" t="n"/>
      <c r="C10" s="42" t="n"/>
      <c r="D10" s="42" t="n"/>
      <c r="E10" s="52">
        <f>IF(D10=0,0,C10/D10)</f>
        <v/>
      </c>
    </row>
    <row r="11">
      <c r="A11" s="35" t="inlineStr"/>
      <c r="B11" s="42" t="n"/>
      <c r="C11" s="42" t="n"/>
      <c r="D11" s="42" t="n"/>
      <c r="E11" s="52">
        <f>IF(D11=0,0,C11/D11)</f>
        <v/>
      </c>
    </row>
    <row r="12">
      <c r="A12" s="35" t="inlineStr"/>
      <c r="B12" s="42" t="n"/>
      <c r="C12" s="42" t="n"/>
      <c r="D12" s="42" t="n"/>
      <c r="E12" s="52">
        <f>IF(D12=0,0,C12/D12)</f>
        <v/>
      </c>
    </row>
    <row r="13">
      <c r="A13" s="35" t="inlineStr"/>
      <c r="B13" s="42" t="n"/>
      <c r="C13" s="42" t="n"/>
      <c r="D13" s="42" t="n"/>
      <c r="E13" s="52">
        <f>IF(D13=0,0,C13/D13)</f>
        <v/>
      </c>
    </row>
    <row r="14">
      <c r="A14" s="35" t="inlineStr"/>
      <c r="B14" s="42" t="n"/>
      <c r="C14" s="42" t="n"/>
      <c r="D14" s="42" t="n"/>
      <c r="E14" s="52">
        <f>IF(D14=0,0,C14/D14)</f>
        <v/>
      </c>
    </row>
    <row r="15">
      <c r="A15" s="35" t="inlineStr"/>
      <c r="B15" s="42" t="n"/>
      <c r="C15" s="42" t="n"/>
      <c r="D15" s="42" t="n"/>
      <c r="E15" s="52">
        <f>IF(D15=0,0,C15/D15)</f>
        <v/>
      </c>
    </row>
    <row r="16">
      <c r="A16" s="35" t="inlineStr"/>
      <c r="B16" s="42" t="n"/>
      <c r="C16" s="42" t="n"/>
      <c r="D16" s="42" t="n"/>
      <c r="E16" s="52">
        <f>IF(D16=0,0,C16/D16)</f>
        <v/>
      </c>
    </row>
    <row r="17">
      <c r="A17" s="35" t="inlineStr"/>
      <c r="B17" s="42" t="n"/>
      <c r="C17" s="42" t="n"/>
      <c r="D17" s="42" t="n"/>
      <c r="E17" s="52">
        <f>IF(D17=0,0,C17/D17)</f>
        <v/>
      </c>
    </row>
  </sheetData>
  <mergeCells count="1">
    <mergeCell ref="A1:E1"/>
  </mergeCells>
  <conditionalFormatting sqref="E3:E17">
    <cfRule type="colorScale" priority="1">
      <colorScale>
        <cfvo type="num" val="0"/>
        <cfvo type="num" val="1"/>
        <color rgb="FFFFFFFF"/>
        <color rgb="FF8B9A7A"/>
      </colorScale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0907E"/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4" max="4"/>
    <col width="16" customWidth="1" min="5" max="5"/>
  </cols>
  <sheetData>
    <row r="1">
      <c r="A1" s="29" t="inlineStr">
        <is>
          <t>Net Worth Tracker</t>
        </is>
      </c>
      <c r="B1" s="2" t="n"/>
      <c r="C1" s="2" t="n"/>
      <c r="D1" s="2" t="n"/>
      <c r="E1" s="2" t="n"/>
    </row>
    <row r="2">
      <c r="A2" s="45" t="inlineStr">
        <is>
          <t>ASSETS</t>
        </is>
      </c>
      <c r="B2" s="45" t="inlineStr">
        <is>
          <t>Balance</t>
        </is>
      </c>
    </row>
    <row r="3">
      <c r="A3" s="35" t="inlineStr">
        <is>
          <t>Checking Account</t>
        </is>
      </c>
      <c r="B3" s="42" t="n">
        <v>2500</v>
      </c>
    </row>
    <row r="4">
      <c r="A4" s="35" t="inlineStr">
        <is>
          <t>Savings Account</t>
        </is>
      </c>
      <c r="B4" s="42" t="n">
        <v>8000</v>
      </c>
    </row>
    <row r="5">
      <c r="A5" s="35" t="inlineStr">
        <is>
          <t>Investment Account</t>
        </is>
      </c>
      <c r="B5" s="42" t="n">
        <v>15000</v>
      </c>
    </row>
    <row r="6">
      <c r="A6" s="35" t="inlineStr">
        <is>
          <t>Cash</t>
        </is>
      </c>
      <c r="B6" s="42" t="n">
        <v>500</v>
      </c>
    </row>
    <row r="7">
      <c r="A7" s="35" t="inlineStr">
        <is>
          <t>Real Estate</t>
        </is>
      </c>
      <c r="B7" s="42" t="n">
        <v>200000</v>
      </c>
    </row>
    <row r="8">
      <c r="A8" s="35" t="inlineStr"/>
      <c r="B8" s="42" t="n"/>
    </row>
    <row r="9">
      <c r="A9" s="35" t="inlineStr"/>
      <c r="B9" s="42" t="n"/>
    </row>
    <row r="10">
      <c r="A10" s="35" t="inlineStr"/>
      <c r="B10" s="42" t="n"/>
    </row>
    <row r="11">
      <c r="A11" s="35" t="inlineStr"/>
      <c r="B11" s="42" t="n"/>
    </row>
    <row r="12">
      <c r="A12" s="35" t="inlineStr"/>
      <c r="B12" s="42" t="n"/>
    </row>
    <row r="13">
      <c r="A13" s="35" t="inlineStr"/>
      <c r="B13" s="42" t="n"/>
    </row>
    <row r="14">
      <c r="A14" s="35" t="inlineStr"/>
      <c r="B14" s="42" t="n"/>
    </row>
    <row r="15">
      <c r="A15" s="45" t="inlineStr">
        <is>
          <t>Total Assets</t>
        </is>
      </c>
      <c r="B15" s="50">
        <f>SUM(B3:B14)</f>
        <v/>
      </c>
    </row>
    <row r="17">
      <c r="A17" s="53" t="inlineStr">
        <is>
          <t>LIABILITIES</t>
        </is>
      </c>
      <c r="B17" s="53" t="inlineStr">
        <is>
          <t>Balance</t>
        </is>
      </c>
    </row>
    <row r="18">
      <c r="A18" s="35" t="inlineStr">
        <is>
          <t>Mortgage</t>
        </is>
      </c>
      <c r="B18" s="42" t="n">
        <v>180000</v>
      </c>
    </row>
    <row r="19">
      <c r="A19" s="35" t="inlineStr">
        <is>
          <t>Car Loan</t>
        </is>
      </c>
      <c r="B19" s="42" t="n">
        <v>12000</v>
      </c>
    </row>
    <row r="20">
      <c r="A20" s="35" t="inlineStr">
        <is>
          <t>Credit Card</t>
        </is>
      </c>
      <c r="B20" s="42" t="n">
        <v>3500</v>
      </c>
    </row>
    <row r="21">
      <c r="A21" s="35" t="inlineStr">
        <is>
          <t>Student Loan</t>
        </is>
      </c>
      <c r="B21" s="42" t="n">
        <v>25000</v>
      </c>
    </row>
    <row r="22">
      <c r="A22" s="35" t="inlineStr"/>
      <c r="B22" s="42" t="n"/>
    </row>
    <row r="23">
      <c r="A23" s="35" t="inlineStr"/>
      <c r="B23" s="42" t="n"/>
    </row>
    <row r="24">
      <c r="A24" s="35" t="inlineStr"/>
      <c r="B24" s="42" t="n"/>
    </row>
    <row r="25">
      <c r="A25" s="35" t="inlineStr"/>
      <c r="B25" s="42" t="n"/>
    </row>
    <row r="26">
      <c r="A26" s="35" t="inlineStr"/>
      <c r="B26" s="42" t="n"/>
    </row>
    <row r="27">
      <c r="A27" s="35" t="inlineStr"/>
      <c r="B27" s="42" t="n"/>
    </row>
    <row r="28">
      <c r="A28" s="35" t="inlineStr"/>
      <c r="B28" s="42" t="n"/>
    </row>
    <row r="29">
      <c r="A29" s="35" t="inlineStr"/>
      <c r="B29" s="42" t="n"/>
    </row>
    <row r="30">
      <c r="A30" s="53" t="inlineStr">
        <is>
          <t>Total Liabilities</t>
        </is>
      </c>
      <c r="B30" s="54">
        <f>SUM(B18:B29)</f>
        <v/>
      </c>
    </row>
    <row r="32">
      <c r="A32" s="65" t="inlineStr">
        <is>
          <t>NET WORTH</t>
        </is>
      </c>
      <c r="B32" s="66">
        <f>B15-B30</f>
        <v/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C0907E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</cols>
  <sheetData>
    <row r="1">
      <c r="A1" s="29" t="inlineStr">
        <is>
          <t>Subscriptions Tracker</t>
        </is>
      </c>
      <c r="B1" s="2" t="n"/>
      <c r="C1" s="2" t="n"/>
      <c r="D1" s="2" t="n"/>
      <c r="E1" s="2" t="n"/>
      <c r="F1" s="2" t="n"/>
    </row>
    <row r="2">
      <c r="A2" s="44" t="inlineStr">
        <is>
          <t>Service</t>
        </is>
      </c>
      <c r="B2" s="44" t="inlineStr">
        <is>
          <t>Monthly Cost</t>
        </is>
      </c>
      <c r="C2" s="44" t="inlineStr">
        <is>
          <t>Annual Cost</t>
        </is>
      </c>
      <c r="D2" s="44" t="inlineStr">
        <is>
          <t>Category</t>
        </is>
      </c>
      <c r="E2" s="44" t="inlineStr">
        <is>
          <t>Renewal Date</t>
        </is>
      </c>
      <c r="F2" s="44" t="inlineStr">
        <is>
          <t>Status</t>
        </is>
      </c>
    </row>
    <row r="3">
      <c r="A3" s="35" t="inlineStr">
        <is>
          <t>Netflix</t>
        </is>
      </c>
      <c r="B3" s="42" t="n">
        <v>16</v>
      </c>
      <c r="C3" s="48">
        <f>B3*12</f>
        <v/>
      </c>
      <c r="D3" s="35" t="inlineStr">
        <is>
          <t>Entertainment</t>
        </is>
      </c>
      <c r="E3" s="35" t="inlineStr">
        <is>
          <t>2024-02-05</t>
        </is>
      </c>
      <c r="F3" s="38" t="inlineStr">
        <is>
          <t>Active</t>
        </is>
      </c>
    </row>
    <row r="4">
      <c r="A4" s="35" t="inlineStr">
        <is>
          <t>Spotify</t>
        </is>
      </c>
      <c r="B4" s="42" t="n">
        <v>10</v>
      </c>
      <c r="C4" s="48">
        <f>B4*12</f>
        <v/>
      </c>
      <c r="D4" s="35" t="inlineStr">
        <is>
          <t>Entertainment</t>
        </is>
      </c>
      <c r="E4" s="35" t="inlineStr">
        <is>
          <t>2024-02-08</t>
        </is>
      </c>
      <c r="F4" s="38" t="inlineStr">
        <is>
          <t>Active</t>
        </is>
      </c>
    </row>
    <row r="5">
      <c r="A5" s="35" t="inlineStr">
        <is>
          <t>Amazon Prime</t>
        </is>
      </c>
      <c r="B5" s="42" t="n">
        <v>15</v>
      </c>
      <c r="C5" s="48">
        <f>B5*12</f>
        <v/>
      </c>
      <c r="D5" s="35" t="inlineStr">
        <is>
          <t>Shopping</t>
        </is>
      </c>
      <c r="E5" s="35" t="inlineStr">
        <is>
          <t>2024-02-12</t>
        </is>
      </c>
      <c r="F5" s="38" t="inlineStr">
        <is>
          <t>Active</t>
        </is>
      </c>
    </row>
    <row r="6">
      <c r="A6" s="35" t="inlineStr">
        <is>
          <t>YouTube Premium</t>
        </is>
      </c>
      <c r="B6" s="42" t="n">
        <v>14</v>
      </c>
      <c r="C6" s="48">
        <f>B6*12</f>
        <v/>
      </c>
      <c r="D6" s="35" t="inlineStr">
        <is>
          <t>Entertainment</t>
        </is>
      </c>
      <c r="E6" s="35" t="inlineStr">
        <is>
          <t>2024-02-20</t>
        </is>
      </c>
      <c r="F6" s="38" t="inlineStr">
        <is>
          <t>Active</t>
        </is>
      </c>
    </row>
    <row r="7">
      <c r="A7" s="35" t="inlineStr">
        <is>
          <t>iCloud Storage</t>
        </is>
      </c>
      <c r="B7" s="42" t="n">
        <v>3</v>
      </c>
      <c r="C7" s="48">
        <f>B7*12</f>
        <v/>
      </c>
      <c r="D7" s="35" t="inlineStr">
        <is>
          <t>Technology</t>
        </is>
      </c>
      <c r="E7" s="35" t="inlineStr">
        <is>
          <t>2024-02-01</t>
        </is>
      </c>
      <c r="F7" s="38" t="inlineStr">
        <is>
          <t>Active</t>
        </is>
      </c>
    </row>
    <row r="8">
      <c r="A8" s="35" t="inlineStr">
        <is>
          <t>Adobe CC</t>
        </is>
      </c>
      <c r="B8" s="42" t="n">
        <v>55</v>
      </c>
      <c r="C8" s="48">
        <f>B8*12</f>
        <v/>
      </c>
      <c r="D8" s="35" t="inlineStr">
        <is>
          <t>Software</t>
        </is>
      </c>
      <c r="E8" s="35" t="inlineStr">
        <is>
          <t>2024-02-15</t>
        </is>
      </c>
      <c r="F8" s="38" t="inlineStr">
        <is>
          <t>Active</t>
        </is>
      </c>
    </row>
    <row r="9">
      <c r="A9" s="35" t="inlineStr">
        <is>
          <t>Microsoft 365</t>
        </is>
      </c>
      <c r="B9" s="42" t="n">
        <v>10</v>
      </c>
      <c r="C9" s="48">
        <f>B9*12</f>
        <v/>
      </c>
      <c r="D9" s="35" t="inlineStr">
        <is>
          <t>Software</t>
        </is>
      </c>
      <c r="E9" s="35" t="inlineStr">
        <is>
          <t>2024-02-10</t>
        </is>
      </c>
      <c r="F9" s="38" t="inlineStr">
        <is>
          <t>Active</t>
        </is>
      </c>
    </row>
    <row r="10">
      <c r="A10" s="35" t="inlineStr">
        <is>
          <t>Gym Membership</t>
        </is>
      </c>
      <c r="B10" s="42" t="n">
        <v>50</v>
      </c>
      <c r="C10" s="48">
        <f>B10*12</f>
        <v/>
      </c>
      <c r="D10" s="35" t="inlineStr">
        <is>
          <t>Gym/Fitness</t>
        </is>
      </c>
      <c r="E10" s="35" t="inlineStr">
        <is>
          <t>2024-02-03</t>
        </is>
      </c>
      <c r="F10" s="38" t="inlineStr">
        <is>
          <t>Active</t>
        </is>
      </c>
    </row>
    <row r="11">
      <c r="A11" s="35" t="inlineStr"/>
      <c r="B11" s="42" t="n"/>
      <c r="C11" s="48">
        <f>IF(B11="","",B11*12)</f>
        <v/>
      </c>
      <c r="D11" s="35" t="inlineStr"/>
      <c r="E11" s="35" t="inlineStr"/>
      <c r="F11" s="38" t="inlineStr"/>
    </row>
    <row r="12">
      <c r="A12" s="35" t="inlineStr"/>
      <c r="B12" s="42" t="n"/>
      <c r="C12" s="48">
        <f>IF(B12="","",B12*12)</f>
        <v/>
      </c>
      <c r="D12" s="35" t="inlineStr"/>
      <c r="E12" s="35" t="inlineStr"/>
      <c r="F12" s="38" t="inlineStr"/>
    </row>
    <row r="13">
      <c r="A13" s="35" t="inlineStr"/>
      <c r="B13" s="42" t="n"/>
      <c r="C13" s="48">
        <f>IF(B13="","",B13*12)</f>
        <v/>
      </c>
      <c r="D13" s="35" t="inlineStr"/>
      <c r="E13" s="35" t="inlineStr"/>
      <c r="F13" s="38" t="inlineStr"/>
    </row>
    <row r="14">
      <c r="A14" s="35" t="inlineStr"/>
      <c r="B14" s="42" t="n"/>
      <c r="C14" s="48">
        <f>IF(B14="","",B14*12)</f>
        <v/>
      </c>
      <c r="D14" s="35" t="inlineStr"/>
      <c r="E14" s="35" t="inlineStr"/>
      <c r="F14" s="38" t="inlineStr"/>
    </row>
    <row r="15">
      <c r="A15" s="35" t="inlineStr"/>
      <c r="B15" s="42" t="n"/>
      <c r="C15" s="48">
        <f>IF(B15="","",B15*12)</f>
        <v/>
      </c>
      <c r="D15" s="35" t="inlineStr"/>
      <c r="E15" s="35" t="inlineStr"/>
      <c r="F15" s="38" t="inlineStr"/>
    </row>
    <row r="16">
      <c r="A16" s="35" t="inlineStr"/>
      <c r="B16" s="42" t="n"/>
      <c r="C16" s="48">
        <f>IF(B16="","",B16*12)</f>
        <v/>
      </c>
      <c r="D16" s="35" t="inlineStr"/>
      <c r="E16" s="35" t="inlineStr"/>
      <c r="F16" s="38" t="inlineStr"/>
    </row>
    <row r="17">
      <c r="A17" s="35" t="inlineStr"/>
      <c r="B17" s="42" t="n"/>
      <c r="C17" s="48">
        <f>IF(B17="","",B17*12)</f>
        <v/>
      </c>
      <c r="D17" s="35" t="inlineStr"/>
      <c r="E17" s="35" t="inlineStr"/>
      <c r="F17" s="38" t="inlineStr"/>
    </row>
    <row r="18">
      <c r="A18" s="35" t="inlineStr"/>
      <c r="B18" s="42" t="n"/>
      <c r="C18" s="48">
        <f>IF(B18="","",B18*12)</f>
        <v/>
      </c>
      <c r="D18" s="35" t="inlineStr"/>
      <c r="E18" s="35" t="inlineStr"/>
      <c r="F18" s="38" t="inlineStr"/>
    </row>
    <row r="19">
      <c r="A19" s="35" t="inlineStr"/>
      <c r="B19" s="42" t="n"/>
      <c r="C19" s="48">
        <f>IF(B19="","",B19*12)</f>
        <v/>
      </c>
      <c r="D19" s="35" t="inlineStr"/>
      <c r="E19" s="35" t="inlineStr"/>
      <c r="F19" s="38" t="inlineStr"/>
    </row>
    <row r="20">
      <c r="A20" s="35" t="inlineStr"/>
      <c r="B20" s="42" t="n"/>
      <c r="C20" s="48">
        <f>IF(B20="","",B20*12)</f>
        <v/>
      </c>
      <c r="D20" s="35" t="inlineStr"/>
      <c r="E20" s="35" t="inlineStr"/>
      <c r="F20" s="38" t="inlineStr"/>
    </row>
    <row r="21">
      <c r="A21" s="35" t="inlineStr"/>
      <c r="B21" s="42" t="n"/>
      <c r="C21" s="48">
        <f>IF(B21="","",B21*12)</f>
        <v/>
      </c>
      <c r="D21" s="35" t="inlineStr"/>
      <c r="E21" s="35" t="inlineStr"/>
      <c r="F21" s="38" t="inlineStr"/>
    </row>
    <row r="22">
      <c r="A22" s="35" t="inlineStr"/>
      <c r="B22" s="42" t="n"/>
      <c r="C22" s="48">
        <f>IF(B22="","",B22*12)</f>
        <v/>
      </c>
      <c r="D22" s="35" t="inlineStr"/>
      <c r="E22" s="35" t="inlineStr"/>
      <c r="F22" s="38" t="inlineStr"/>
    </row>
    <row r="23">
      <c r="A23" s="45" t="inlineStr">
        <is>
          <t>Monthly Total</t>
        </is>
      </c>
      <c r="B23" s="50">
        <f>SUM(B3:B22)</f>
        <v/>
      </c>
      <c r="C23" s="50">
        <f>SUM(C3:C22)</f>
        <v/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0907E"/>
    <outlinePr summaryBelow="1" summaryRight="1"/>
    <pageSetUpPr/>
  </sheetPr>
  <dimension ref="A1:N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29" t="inlineStr">
        <is>
          <t>Income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45" t="inlineStr">
        <is>
          <t>Income Source</t>
        </is>
      </c>
      <c r="B2" s="44" t="inlineStr">
        <is>
          <t>Jan</t>
        </is>
      </c>
      <c r="C2" s="44" t="inlineStr">
        <is>
          <t>Feb</t>
        </is>
      </c>
      <c r="D2" s="44" t="inlineStr">
        <is>
          <t>Mar</t>
        </is>
      </c>
      <c r="E2" s="44" t="inlineStr">
        <is>
          <t>Apr</t>
        </is>
      </c>
      <c r="F2" s="44" t="inlineStr">
        <is>
          <t>May</t>
        </is>
      </c>
      <c r="G2" s="44" t="inlineStr">
        <is>
          <t>Jun</t>
        </is>
      </c>
      <c r="H2" s="44" t="inlineStr">
        <is>
          <t>Jul</t>
        </is>
      </c>
      <c r="I2" s="44" t="inlineStr">
        <is>
          <t>Aug</t>
        </is>
      </c>
      <c r="J2" s="44" t="inlineStr">
        <is>
          <t>Sep</t>
        </is>
      </c>
      <c r="K2" s="44" t="inlineStr">
        <is>
          <t>Oct</t>
        </is>
      </c>
      <c r="L2" s="44" t="inlineStr">
        <is>
          <t>Nov</t>
        </is>
      </c>
      <c r="M2" s="44" t="inlineStr">
        <is>
          <t>Dec</t>
        </is>
      </c>
      <c r="N2" s="46" t="inlineStr">
        <is>
          <t>YTD</t>
        </is>
      </c>
    </row>
    <row r="3">
      <c r="A3" s="35" t="inlineStr">
        <is>
          <t>Salary</t>
        </is>
      </c>
      <c r="B3" s="47">
        <f>IFERROR(SUMIFS(Transactions!$F$2:$F$601,Transactions!$H$2:$H$601,Settings!$B$2,Transactions!$G$2:$G$601,1,Transactions!$C$2:$C$601,A3),0)</f>
        <v/>
      </c>
      <c r="C3" s="47">
        <f>IFERROR(SUMIFS(Transactions!$F$2:$F$601,Transactions!$H$2:$H$601,Settings!$B$2,Transactions!$G$2:$G$601,2,Transactions!$C$2:$C$601,A3),0)</f>
        <v/>
      </c>
      <c r="D3" s="47">
        <f>IFERROR(SUMIFS(Transactions!$F$2:$F$601,Transactions!$H$2:$H$601,Settings!$B$2,Transactions!$G$2:$G$601,3,Transactions!$C$2:$C$601,A3),0)</f>
        <v/>
      </c>
      <c r="E3" s="47">
        <f>IFERROR(SUMIFS(Transactions!$F$2:$F$601,Transactions!$H$2:$H$601,Settings!$B$2,Transactions!$G$2:$G$601,4,Transactions!$C$2:$C$601,A3),0)</f>
        <v/>
      </c>
      <c r="F3" s="47">
        <f>IFERROR(SUMIFS(Transactions!$F$2:$F$601,Transactions!$H$2:$H$601,Settings!$B$2,Transactions!$G$2:$G$601,5,Transactions!$C$2:$C$601,A3),0)</f>
        <v/>
      </c>
      <c r="G3" s="47">
        <f>IFERROR(SUMIFS(Transactions!$F$2:$F$601,Transactions!$H$2:$H$601,Settings!$B$2,Transactions!$G$2:$G$601,6,Transactions!$C$2:$C$601,A3),0)</f>
        <v/>
      </c>
      <c r="H3" s="47">
        <f>IFERROR(SUMIFS(Transactions!$F$2:$F$601,Transactions!$H$2:$H$601,Settings!$B$2,Transactions!$G$2:$G$601,7,Transactions!$C$2:$C$601,A3),0)</f>
        <v/>
      </c>
      <c r="I3" s="47">
        <f>IFERROR(SUMIFS(Transactions!$F$2:$F$601,Transactions!$H$2:$H$601,Settings!$B$2,Transactions!$G$2:$G$601,8,Transactions!$C$2:$C$601,A3),0)</f>
        <v/>
      </c>
      <c r="J3" s="47">
        <f>IFERROR(SUMIFS(Transactions!$F$2:$F$601,Transactions!$H$2:$H$601,Settings!$B$2,Transactions!$G$2:$G$601,9,Transactions!$C$2:$C$601,A3),0)</f>
        <v/>
      </c>
      <c r="K3" s="47">
        <f>IFERROR(SUMIFS(Transactions!$F$2:$F$601,Transactions!$H$2:$H$601,Settings!$B$2,Transactions!$G$2:$G$601,10,Transactions!$C$2:$C$601,A3),0)</f>
        <v/>
      </c>
      <c r="L3" s="47">
        <f>IFERROR(SUMIFS(Transactions!$F$2:$F$601,Transactions!$H$2:$H$601,Settings!$B$2,Transactions!$G$2:$G$601,11,Transactions!$C$2:$C$601,A3),0)</f>
        <v/>
      </c>
      <c r="M3" s="47">
        <f>IFERROR(SUMIFS(Transactions!$F$2:$F$601,Transactions!$H$2:$H$601,Settings!$B$2,Transactions!$G$2:$G$601,12,Transactions!$C$2:$C$601,A3),0)</f>
        <v/>
      </c>
      <c r="N3" s="48">
        <f>SUM(B3:M3)</f>
        <v/>
      </c>
    </row>
    <row r="4">
      <c r="A4" s="35" t="inlineStr">
        <is>
          <t>Partner Income</t>
        </is>
      </c>
      <c r="B4" s="47">
        <f>IFERROR(SUMIFS(Transactions!$F$2:$F$601,Transactions!$H$2:$H$601,Settings!$B$2,Transactions!$G$2:$G$601,1,Transactions!$C$2:$C$601,A4),0)</f>
        <v/>
      </c>
      <c r="C4" s="47">
        <f>IFERROR(SUMIFS(Transactions!$F$2:$F$601,Transactions!$H$2:$H$601,Settings!$B$2,Transactions!$G$2:$G$601,2,Transactions!$C$2:$C$601,A4),0)</f>
        <v/>
      </c>
      <c r="D4" s="47">
        <f>IFERROR(SUMIFS(Transactions!$F$2:$F$601,Transactions!$H$2:$H$601,Settings!$B$2,Transactions!$G$2:$G$601,3,Transactions!$C$2:$C$601,A4),0)</f>
        <v/>
      </c>
      <c r="E4" s="47">
        <f>IFERROR(SUMIFS(Transactions!$F$2:$F$601,Transactions!$H$2:$H$601,Settings!$B$2,Transactions!$G$2:$G$601,4,Transactions!$C$2:$C$601,A4),0)</f>
        <v/>
      </c>
      <c r="F4" s="47">
        <f>IFERROR(SUMIFS(Transactions!$F$2:$F$601,Transactions!$H$2:$H$601,Settings!$B$2,Transactions!$G$2:$G$601,5,Transactions!$C$2:$C$601,A4),0)</f>
        <v/>
      </c>
      <c r="G4" s="47">
        <f>IFERROR(SUMIFS(Transactions!$F$2:$F$601,Transactions!$H$2:$H$601,Settings!$B$2,Transactions!$G$2:$G$601,6,Transactions!$C$2:$C$601,A4),0)</f>
        <v/>
      </c>
      <c r="H4" s="47">
        <f>IFERROR(SUMIFS(Transactions!$F$2:$F$601,Transactions!$H$2:$H$601,Settings!$B$2,Transactions!$G$2:$G$601,7,Transactions!$C$2:$C$601,A4),0)</f>
        <v/>
      </c>
      <c r="I4" s="47">
        <f>IFERROR(SUMIFS(Transactions!$F$2:$F$601,Transactions!$H$2:$H$601,Settings!$B$2,Transactions!$G$2:$G$601,8,Transactions!$C$2:$C$601,A4),0)</f>
        <v/>
      </c>
      <c r="J4" s="47">
        <f>IFERROR(SUMIFS(Transactions!$F$2:$F$601,Transactions!$H$2:$H$601,Settings!$B$2,Transactions!$G$2:$G$601,9,Transactions!$C$2:$C$601,A4),0)</f>
        <v/>
      </c>
      <c r="K4" s="47">
        <f>IFERROR(SUMIFS(Transactions!$F$2:$F$601,Transactions!$H$2:$H$601,Settings!$B$2,Transactions!$G$2:$G$601,10,Transactions!$C$2:$C$601,A4),0)</f>
        <v/>
      </c>
      <c r="L4" s="47">
        <f>IFERROR(SUMIFS(Transactions!$F$2:$F$601,Transactions!$H$2:$H$601,Settings!$B$2,Transactions!$G$2:$G$601,11,Transactions!$C$2:$C$601,A4),0)</f>
        <v/>
      </c>
      <c r="M4" s="47">
        <f>IFERROR(SUMIFS(Transactions!$F$2:$F$601,Transactions!$H$2:$H$601,Settings!$B$2,Transactions!$G$2:$G$601,12,Transactions!$C$2:$C$601,A4),0)</f>
        <v/>
      </c>
      <c r="N4" s="48">
        <f>SUM(B4:M4)</f>
        <v/>
      </c>
    </row>
    <row r="5">
      <c r="A5" s="35" t="inlineStr">
        <is>
          <t>Freelance</t>
        </is>
      </c>
      <c r="B5" s="47">
        <f>IFERROR(SUMIFS(Transactions!$F$2:$F$601,Transactions!$H$2:$H$601,Settings!$B$2,Transactions!$G$2:$G$601,1,Transactions!$C$2:$C$601,A5),0)</f>
        <v/>
      </c>
      <c r="C5" s="47">
        <f>IFERROR(SUMIFS(Transactions!$F$2:$F$601,Transactions!$H$2:$H$601,Settings!$B$2,Transactions!$G$2:$G$601,2,Transactions!$C$2:$C$601,A5),0)</f>
        <v/>
      </c>
      <c r="D5" s="47">
        <f>IFERROR(SUMIFS(Transactions!$F$2:$F$601,Transactions!$H$2:$H$601,Settings!$B$2,Transactions!$G$2:$G$601,3,Transactions!$C$2:$C$601,A5),0)</f>
        <v/>
      </c>
      <c r="E5" s="47">
        <f>IFERROR(SUMIFS(Transactions!$F$2:$F$601,Transactions!$H$2:$H$601,Settings!$B$2,Transactions!$G$2:$G$601,4,Transactions!$C$2:$C$601,A5),0)</f>
        <v/>
      </c>
      <c r="F5" s="47">
        <f>IFERROR(SUMIFS(Transactions!$F$2:$F$601,Transactions!$H$2:$H$601,Settings!$B$2,Transactions!$G$2:$G$601,5,Transactions!$C$2:$C$601,A5),0)</f>
        <v/>
      </c>
      <c r="G5" s="47">
        <f>IFERROR(SUMIFS(Transactions!$F$2:$F$601,Transactions!$H$2:$H$601,Settings!$B$2,Transactions!$G$2:$G$601,6,Transactions!$C$2:$C$601,A5),0)</f>
        <v/>
      </c>
      <c r="H5" s="47">
        <f>IFERROR(SUMIFS(Transactions!$F$2:$F$601,Transactions!$H$2:$H$601,Settings!$B$2,Transactions!$G$2:$G$601,7,Transactions!$C$2:$C$601,A5),0)</f>
        <v/>
      </c>
      <c r="I5" s="47">
        <f>IFERROR(SUMIFS(Transactions!$F$2:$F$601,Transactions!$H$2:$H$601,Settings!$B$2,Transactions!$G$2:$G$601,8,Transactions!$C$2:$C$601,A5),0)</f>
        <v/>
      </c>
      <c r="J5" s="47">
        <f>IFERROR(SUMIFS(Transactions!$F$2:$F$601,Transactions!$H$2:$H$601,Settings!$B$2,Transactions!$G$2:$G$601,9,Transactions!$C$2:$C$601,A5),0)</f>
        <v/>
      </c>
      <c r="K5" s="47">
        <f>IFERROR(SUMIFS(Transactions!$F$2:$F$601,Transactions!$H$2:$H$601,Settings!$B$2,Transactions!$G$2:$G$601,10,Transactions!$C$2:$C$601,A5),0)</f>
        <v/>
      </c>
      <c r="L5" s="47">
        <f>IFERROR(SUMIFS(Transactions!$F$2:$F$601,Transactions!$H$2:$H$601,Settings!$B$2,Transactions!$G$2:$G$601,11,Transactions!$C$2:$C$601,A5),0)</f>
        <v/>
      </c>
      <c r="M5" s="47">
        <f>IFERROR(SUMIFS(Transactions!$F$2:$F$601,Transactions!$H$2:$H$601,Settings!$B$2,Transactions!$G$2:$G$601,12,Transactions!$C$2:$C$601,A5),0)</f>
        <v/>
      </c>
      <c r="N5" s="48">
        <f>SUM(B5:M5)</f>
        <v/>
      </c>
    </row>
    <row r="6">
      <c r="A6" s="35" t="inlineStr">
        <is>
          <t>Business</t>
        </is>
      </c>
      <c r="B6" s="47">
        <f>IFERROR(SUMIFS(Transactions!$F$2:$F$601,Transactions!$H$2:$H$601,Settings!$B$2,Transactions!$G$2:$G$601,1,Transactions!$C$2:$C$601,A6),0)</f>
        <v/>
      </c>
      <c r="C6" s="47">
        <f>IFERROR(SUMIFS(Transactions!$F$2:$F$601,Transactions!$H$2:$H$601,Settings!$B$2,Transactions!$G$2:$G$601,2,Transactions!$C$2:$C$601,A6),0)</f>
        <v/>
      </c>
      <c r="D6" s="47">
        <f>IFERROR(SUMIFS(Transactions!$F$2:$F$601,Transactions!$H$2:$H$601,Settings!$B$2,Transactions!$G$2:$G$601,3,Transactions!$C$2:$C$601,A6),0)</f>
        <v/>
      </c>
      <c r="E6" s="47">
        <f>IFERROR(SUMIFS(Transactions!$F$2:$F$601,Transactions!$H$2:$H$601,Settings!$B$2,Transactions!$G$2:$G$601,4,Transactions!$C$2:$C$601,A6),0)</f>
        <v/>
      </c>
      <c r="F6" s="47">
        <f>IFERROR(SUMIFS(Transactions!$F$2:$F$601,Transactions!$H$2:$H$601,Settings!$B$2,Transactions!$G$2:$G$601,5,Transactions!$C$2:$C$601,A6),0)</f>
        <v/>
      </c>
      <c r="G6" s="47">
        <f>IFERROR(SUMIFS(Transactions!$F$2:$F$601,Transactions!$H$2:$H$601,Settings!$B$2,Transactions!$G$2:$G$601,6,Transactions!$C$2:$C$601,A6),0)</f>
        <v/>
      </c>
      <c r="H6" s="47">
        <f>IFERROR(SUMIFS(Transactions!$F$2:$F$601,Transactions!$H$2:$H$601,Settings!$B$2,Transactions!$G$2:$G$601,7,Transactions!$C$2:$C$601,A6),0)</f>
        <v/>
      </c>
      <c r="I6" s="47">
        <f>IFERROR(SUMIFS(Transactions!$F$2:$F$601,Transactions!$H$2:$H$601,Settings!$B$2,Transactions!$G$2:$G$601,8,Transactions!$C$2:$C$601,A6),0)</f>
        <v/>
      </c>
      <c r="J6" s="47">
        <f>IFERROR(SUMIFS(Transactions!$F$2:$F$601,Transactions!$H$2:$H$601,Settings!$B$2,Transactions!$G$2:$G$601,9,Transactions!$C$2:$C$601,A6),0)</f>
        <v/>
      </c>
      <c r="K6" s="47">
        <f>IFERROR(SUMIFS(Transactions!$F$2:$F$601,Transactions!$H$2:$H$601,Settings!$B$2,Transactions!$G$2:$G$601,10,Transactions!$C$2:$C$601,A6),0)</f>
        <v/>
      </c>
      <c r="L6" s="47">
        <f>IFERROR(SUMIFS(Transactions!$F$2:$F$601,Transactions!$H$2:$H$601,Settings!$B$2,Transactions!$G$2:$G$601,11,Transactions!$C$2:$C$601,A6),0)</f>
        <v/>
      </c>
      <c r="M6" s="47">
        <f>IFERROR(SUMIFS(Transactions!$F$2:$F$601,Transactions!$H$2:$H$601,Settings!$B$2,Transactions!$G$2:$G$601,12,Transactions!$C$2:$C$601,A6),0)</f>
        <v/>
      </c>
      <c r="N6" s="48">
        <f>SUM(B6:M6)</f>
        <v/>
      </c>
    </row>
    <row r="7">
      <c r="A7" s="35" t="inlineStr">
        <is>
          <t>Investments</t>
        </is>
      </c>
      <c r="B7" s="47">
        <f>IFERROR(SUMIFS(Transactions!$F$2:$F$601,Transactions!$H$2:$H$601,Settings!$B$2,Transactions!$G$2:$G$601,1,Transactions!$C$2:$C$601,A7),0)</f>
        <v/>
      </c>
      <c r="C7" s="47">
        <f>IFERROR(SUMIFS(Transactions!$F$2:$F$601,Transactions!$H$2:$H$601,Settings!$B$2,Transactions!$G$2:$G$601,2,Transactions!$C$2:$C$601,A7),0)</f>
        <v/>
      </c>
      <c r="D7" s="47">
        <f>IFERROR(SUMIFS(Transactions!$F$2:$F$601,Transactions!$H$2:$H$601,Settings!$B$2,Transactions!$G$2:$G$601,3,Transactions!$C$2:$C$601,A7),0)</f>
        <v/>
      </c>
      <c r="E7" s="47">
        <f>IFERROR(SUMIFS(Transactions!$F$2:$F$601,Transactions!$H$2:$H$601,Settings!$B$2,Transactions!$G$2:$G$601,4,Transactions!$C$2:$C$601,A7),0)</f>
        <v/>
      </c>
      <c r="F7" s="47">
        <f>IFERROR(SUMIFS(Transactions!$F$2:$F$601,Transactions!$H$2:$H$601,Settings!$B$2,Transactions!$G$2:$G$601,5,Transactions!$C$2:$C$601,A7),0)</f>
        <v/>
      </c>
      <c r="G7" s="47">
        <f>IFERROR(SUMIFS(Transactions!$F$2:$F$601,Transactions!$H$2:$H$601,Settings!$B$2,Transactions!$G$2:$G$601,6,Transactions!$C$2:$C$601,A7),0)</f>
        <v/>
      </c>
      <c r="H7" s="47">
        <f>IFERROR(SUMIFS(Transactions!$F$2:$F$601,Transactions!$H$2:$H$601,Settings!$B$2,Transactions!$G$2:$G$601,7,Transactions!$C$2:$C$601,A7),0)</f>
        <v/>
      </c>
      <c r="I7" s="47">
        <f>IFERROR(SUMIFS(Transactions!$F$2:$F$601,Transactions!$H$2:$H$601,Settings!$B$2,Transactions!$G$2:$G$601,8,Transactions!$C$2:$C$601,A7),0)</f>
        <v/>
      </c>
      <c r="J7" s="47">
        <f>IFERROR(SUMIFS(Transactions!$F$2:$F$601,Transactions!$H$2:$H$601,Settings!$B$2,Transactions!$G$2:$G$601,9,Transactions!$C$2:$C$601,A7),0)</f>
        <v/>
      </c>
      <c r="K7" s="47">
        <f>IFERROR(SUMIFS(Transactions!$F$2:$F$601,Transactions!$H$2:$H$601,Settings!$B$2,Transactions!$G$2:$G$601,10,Transactions!$C$2:$C$601,A7),0)</f>
        <v/>
      </c>
      <c r="L7" s="47">
        <f>IFERROR(SUMIFS(Transactions!$F$2:$F$601,Transactions!$H$2:$H$601,Settings!$B$2,Transactions!$G$2:$G$601,11,Transactions!$C$2:$C$601,A7),0)</f>
        <v/>
      </c>
      <c r="M7" s="47">
        <f>IFERROR(SUMIFS(Transactions!$F$2:$F$601,Transactions!$H$2:$H$601,Settings!$B$2,Transactions!$G$2:$G$601,12,Transactions!$C$2:$C$601,A7),0)</f>
        <v/>
      </c>
      <c r="N7" s="48">
        <f>SUM(B7:M7)</f>
        <v/>
      </c>
    </row>
    <row r="8">
      <c r="A8" s="35" t="inlineStr">
        <is>
          <t>Rental Income</t>
        </is>
      </c>
      <c r="B8" s="47">
        <f>IFERROR(SUMIFS(Transactions!$F$2:$F$601,Transactions!$H$2:$H$601,Settings!$B$2,Transactions!$G$2:$G$601,1,Transactions!$C$2:$C$601,A8),0)</f>
        <v/>
      </c>
      <c r="C8" s="47">
        <f>IFERROR(SUMIFS(Transactions!$F$2:$F$601,Transactions!$H$2:$H$601,Settings!$B$2,Transactions!$G$2:$G$601,2,Transactions!$C$2:$C$601,A8),0)</f>
        <v/>
      </c>
      <c r="D8" s="47">
        <f>IFERROR(SUMIFS(Transactions!$F$2:$F$601,Transactions!$H$2:$H$601,Settings!$B$2,Transactions!$G$2:$G$601,3,Transactions!$C$2:$C$601,A8),0)</f>
        <v/>
      </c>
      <c r="E8" s="47">
        <f>IFERROR(SUMIFS(Transactions!$F$2:$F$601,Transactions!$H$2:$H$601,Settings!$B$2,Transactions!$G$2:$G$601,4,Transactions!$C$2:$C$601,A8),0)</f>
        <v/>
      </c>
      <c r="F8" s="47">
        <f>IFERROR(SUMIFS(Transactions!$F$2:$F$601,Transactions!$H$2:$H$601,Settings!$B$2,Transactions!$G$2:$G$601,5,Transactions!$C$2:$C$601,A8),0)</f>
        <v/>
      </c>
      <c r="G8" s="47">
        <f>IFERROR(SUMIFS(Transactions!$F$2:$F$601,Transactions!$H$2:$H$601,Settings!$B$2,Transactions!$G$2:$G$601,6,Transactions!$C$2:$C$601,A8),0)</f>
        <v/>
      </c>
      <c r="H8" s="47">
        <f>IFERROR(SUMIFS(Transactions!$F$2:$F$601,Transactions!$H$2:$H$601,Settings!$B$2,Transactions!$G$2:$G$601,7,Transactions!$C$2:$C$601,A8),0)</f>
        <v/>
      </c>
      <c r="I8" s="47">
        <f>IFERROR(SUMIFS(Transactions!$F$2:$F$601,Transactions!$H$2:$H$601,Settings!$B$2,Transactions!$G$2:$G$601,8,Transactions!$C$2:$C$601,A8),0)</f>
        <v/>
      </c>
      <c r="J8" s="47">
        <f>IFERROR(SUMIFS(Transactions!$F$2:$F$601,Transactions!$H$2:$H$601,Settings!$B$2,Transactions!$G$2:$G$601,9,Transactions!$C$2:$C$601,A8),0)</f>
        <v/>
      </c>
      <c r="K8" s="47">
        <f>IFERROR(SUMIFS(Transactions!$F$2:$F$601,Transactions!$H$2:$H$601,Settings!$B$2,Transactions!$G$2:$G$601,10,Transactions!$C$2:$C$601,A8),0)</f>
        <v/>
      </c>
      <c r="L8" s="47">
        <f>IFERROR(SUMIFS(Transactions!$F$2:$F$601,Transactions!$H$2:$H$601,Settings!$B$2,Transactions!$G$2:$G$601,11,Transactions!$C$2:$C$601,A8),0)</f>
        <v/>
      </c>
      <c r="M8" s="47">
        <f>IFERROR(SUMIFS(Transactions!$F$2:$F$601,Transactions!$H$2:$H$601,Settings!$B$2,Transactions!$G$2:$G$601,12,Transactions!$C$2:$C$601,A8),0)</f>
        <v/>
      </c>
      <c r="N8" s="48">
        <f>SUM(B8:M8)</f>
        <v/>
      </c>
    </row>
    <row r="9">
      <c r="A9" s="35" t="inlineStr">
        <is>
          <t>Refunds</t>
        </is>
      </c>
      <c r="B9" s="47">
        <f>IFERROR(SUMIFS(Transactions!$F$2:$F$601,Transactions!$H$2:$H$601,Settings!$B$2,Transactions!$G$2:$G$601,1,Transactions!$C$2:$C$601,A9),0)</f>
        <v/>
      </c>
      <c r="C9" s="47">
        <f>IFERROR(SUMIFS(Transactions!$F$2:$F$601,Transactions!$H$2:$H$601,Settings!$B$2,Transactions!$G$2:$G$601,2,Transactions!$C$2:$C$601,A9),0)</f>
        <v/>
      </c>
      <c r="D9" s="47">
        <f>IFERROR(SUMIFS(Transactions!$F$2:$F$601,Transactions!$H$2:$H$601,Settings!$B$2,Transactions!$G$2:$G$601,3,Transactions!$C$2:$C$601,A9),0)</f>
        <v/>
      </c>
      <c r="E9" s="47">
        <f>IFERROR(SUMIFS(Transactions!$F$2:$F$601,Transactions!$H$2:$H$601,Settings!$B$2,Transactions!$G$2:$G$601,4,Transactions!$C$2:$C$601,A9),0)</f>
        <v/>
      </c>
      <c r="F9" s="47">
        <f>IFERROR(SUMIFS(Transactions!$F$2:$F$601,Transactions!$H$2:$H$601,Settings!$B$2,Transactions!$G$2:$G$601,5,Transactions!$C$2:$C$601,A9),0)</f>
        <v/>
      </c>
      <c r="G9" s="47">
        <f>IFERROR(SUMIFS(Transactions!$F$2:$F$601,Transactions!$H$2:$H$601,Settings!$B$2,Transactions!$G$2:$G$601,6,Transactions!$C$2:$C$601,A9),0)</f>
        <v/>
      </c>
      <c r="H9" s="47">
        <f>IFERROR(SUMIFS(Transactions!$F$2:$F$601,Transactions!$H$2:$H$601,Settings!$B$2,Transactions!$G$2:$G$601,7,Transactions!$C$2:$C$601,A9),0)</f>
        <v/>
      </c>
      <c r="I9" s="47">
        <f>IFERROR(SUMIFS(Transactions!$F$2:$F$601,Transactions!$H$2:$H$601,Settings!$B$2,Transactions!$G$2:$G$601,8,Transactions!$C$2:$C$601,A9),0)</f>
        <v/>
      </c>
      <c r="J9" s="47">
        <f>IFERROR(SUMIFS(Transactions!$F$2:$F$601,Transactions!$H$2:$H$601,Settings!$B$2,Transactions!$G$2:$G$601,9,Transactions!$C$2:$C$601,A9),0)</f>
        <v/>
      </c>
      <c r="K9" s="47">
        <f>IFERROR(SUMIFS(Transactions!$F$2:$F$601,Transactions!$H$2:$H$601,Settings!$B$2,Transactions!$G$2:$G$601,10,Transactions!$C$2:$C$601,A9),0)</f>
        <v/>
      </c>
      <c r="L9" s="47">
        <f>IFERROR(SUMIFS(Transactions!$F$2:$F$601,Transactions!$H$2:$H$601,Settings!$B$2,Transactions!$G$2:$G$601,11,Transactions!$C$2:$C$601,A9),0)</f>
        <v/>
      </c>
      <c r="M9" s="47">
        <f>IFERROR(SUMIFS(Transactions!$F$2:$F$601,Transactions!$H$2:$H$601,Settings!$B$2,Transactions!$G$2:$G$601,12,Transactions!$C$2:$C$601,A9),0)</f>
        <v/>
      </c>
      <c r="N9" s="48">
        <f>SUM(B9:M9)</f>
        <v/>
      </c>
    </row>
    <row r="10">
      <c r="A10" s="35" t="inlineStr">
        <is>
          <t>Other Income</t>
        </is>
      </c>
      <c r="B10" s="47">
        <f>IFERROR(SUMIFS(Transactions!$F$2:$F$601,Transactions!$H$2:$H$601,Settings!$B$2,Transactions!$G$2:$G$601,1,Transactions!$C$2:$C$601,A10),0)</f>
        <v/>
      </c>
      <c r="C10" s="47">
        <f>IFERROR(SUMIFS(Transactions!$F$2:$F$601,Transactions!$H$2:$H$601,Settings!$B$2,Transactions!$G$2:$G$601,2,Transactions!$C$2:$C$601,A10),0)</f>
        <v/>
      </c>
      <c r="D10" s="47">
        <f>IFERROR(SUMIFS(Transactions!$F$2:$F$601,Transactions!$H$2:$H$601,Settings!$B$2,Transactions!$G$2:$G$601,3,Transactions!$C$2:$C$601,A10),0)</f>
        <v/>
      </c>
      <c r="E10" s="47">
        <f>IFERROR(SUMIFS(Transactions!$F$2:$F$601,Transactions!$H$2:$H$601,Settings!$B$2,Transactions!$G$2:$G$601,4,Transactions!$C$2:$C$601,A10),0)</f>
        <v/>
      </c>
      <c r="F10" s="47">
        <f>IFERROR(SUMIFS(Transactions!$F$2:$F$601,Transactions!$H$2:$H$601,Settings!$B$2,Transactions!$G$2:$G$601,5,Transactions!$C$2:$C$601,A10),0)</f>
        <v/>
      </c>
      <c r="G10" s="47">
        <f>IFERROR(SUMIFS(Transactions!$F$2:$F$601,Transactions!$H$2:$H$601,Settings!$B$2,Transactions!$G$2:$G$601,6,Transactions!$C$2:$C$601,A10),0)</f>
        <v/>
      </c>
      <c r="H10" s="47">
        <f>IFERROR(SUMIFS(Transactions!$F$2:$F$601,Transactions!$H$2:$H$601,Settings!$B$2,Transactions!$G$2:$G$601,7,Transactions!$C$2:$C$601,A10),0)</f>
        <v/>
      </c>
      <c r="I10" s="47">
        <f>IFERROR(SUMIFS(Transactions!$F$2:$F$601,Transactions!$H$2:$H$601,Settings!$B$2,Transactions!$G$2:$G$601,8,Transactions!$C$2:$C$601,A10),0)</f>
        <v/>
      </c>
      <c r="J10" s="47">
        <f>IFERROR(SUMIFS(Transactions!$F$2:$F$601,Transactions!$H$2:$H$601,Settings!$B$2,Transactions!$G$2:$G$601,9,Transactions!$C$2:$C$601,A10),0)</f>
        <v/>
      </c>
      <c r="K10" s="47">
        <f>IFERROR(SUMIFS(Transactions!$F$2:$F$601,Transactions!$H$2:$H$601,Settings!$B$2,Transactions!$G$2:$G$601,10,Transactions!$C$2:$C$601,A10),0)</f>
        <v/>
      </c>
      <c r="L10" s="47">
        <f>IFERROR(SUMIFS(Transactions!$F$2:$F$601,Transactions!$H$2:$H$601,Settings!$B$2,Transactions!$G$2:$G$601,11,Transactions!$C$2:$C$601,A10),0)</f>
        <v/>
      </c>
      <c r="M10" s="47">
        <f>IFERROR(SUMIFS(Transactions!$F$2:$F$601,Transactions!$H$2:$H$601,Settings!$B$2,Transactions!$G$2:$G$601,12,Transactions!$C$2:$C$601,A10),0)</f>
        <v/>
      </c>
      <c r="N10" s="48">
        <f>SUM(B10:M10)</f>
        <v/>
      </c>
    </row>
    <row r="11">
      <c r="A11" s="35" t="inlineStr"/>
      <c r="B11" s="47" t="inlineStr"/>
      <c r="C11" s="47" t="inlineStr"/>
      <c r="D11" s="47" t="inlineStr"/>
      <c r="E11" s="47" t="inlineStr"/>
      <c r="F11" s="47" t="inlineStr"/>
      <c r="G11" s="47" t="inlineStr"/>
      <c r="H11" s="47" t="inlineStr"/>
      <c r="I11" s="47" t="inlineStr"/>
      <c r="J11" s="47" t="inlineStr"/>
      <c r="K11" s="47" t="inlineStr"/>
      <c r="L11" s="47" t="inlineStr"/>
      <c r="M11" s="47" t="inlineStr"/>
      <c r="N11" s="48" t="inlineStr"/>
    </row>
    <row r="12">
      <c r="A12" s="35" t="inlineStr"/>
      <c r="B12" s="47" t="inlineStr"/>
      <c r="C12" s="47" t="inlineStr"/>
      <c r="D12" s="47" t="inlineStr"/>
      <c r="E12" s="47" t="inlineStr"/>
      <c r="F12" s="47" t="inlineStr"/>
      <c r="G12" s="47" t="inlineStr"/>
      <c r="H12" s="47" t="inlineStr"/>
      <c r="I12" s="47" t="inlineStr"/>
      <c r="J12" s="47" t="inlineStr"/>
      <c r="K12" s="47" t="inlineStr"/>
      <c r="L12" s="47" t="inlineStr"/>
      <c r="M12" s="47" t="inlineStr"/>
      <c r="N12" s="48" t="inlineStr"/>
    </row>
    <row r="13">
      <c r="A13" s="35" t="inlineStr"/>
      <c r="B13" s="47" t="inlineStr"/>
      <c r="C13" s="47" t="inlineStr"/>
      <c r="D13" s="47" t="inlineStr"/>
      <c r="E13" s="47" t="inlineStr"/>
      <c r="F13" s="47" t="inlineStr"/>
      <c r="G13" s="47" t="inlineStr"/>
      <c r="H13" s="47" t="inlineStr"/>
      <c r="I13" s="47" t="inlineStr"/>
      <c r="J13" s="47" t="inlineStr"/>
      <c r="K13" s="47" t="inlineStr"/>
      <c r="L13" s="47" t="inlineStr"/>
      <c r="M13" s="47" t="inlineStr"/>
      <c r="N13" s="48" t="inlineStr"/>
    </row>
    <row r="14">
      <c r="A14" s="35" t="inlineStr"/>
      <c r="B14" s="47" t="inlineStr"/>
      <c r="C14" s="47" t="inlineStr"/>
      <c r="D14" s="47" t="inlineStr"/>
      <c r="E14" s="47" t="inlineStr"/>
      <c r="F14" s="47" t="inlineStr"/>
      <c r="G14" s="47" t="inlineStr"/>
      <c r="H14" s="47" t="inlineStr"/>
      <c r="I14" s="47" t="inlineStr"/>
      <c r="J14" s="47" t="inlineStr"/>
      <c r="K14" s="47" t="inlineStr"/>
      <c r="L14" s="47" t="inlineStr"/>
      <c r="M14" s="47" t="inlineStr"/>
      <c r="N14" s="48" t="inlineStr"/>
    </row>
    <row r="15">
      <c r="A15" s="35" t="inlineStr"/>
      <c r="B15" s="47" t="inlineStr"/>
      <c r="C15" s="47" t="inlineStr"/>
      <c r="D15" s="47" t="inlineStr"/>
      <c r="E15" s="47" t="inlineStr"/>
      <c r="F15" s="47" t="inlineStr"/>
      <c r="G15" s="47" t="inlineStr"/>
      <c r="H15" s="47" t="inlineStr"/>
      <c r="I15" s="47" t="inlineStr"/>
      <c r="J15" s="47" t="inlineStr"/>
      <c r="K15" s="47" t="inlineStr"/>
      <c r="L15" s="47" t="inlineStr"/>
      <c r="M15" s="47" t="inlineStr"/>
      <c r="N15" s="48" t="inlineStr"/>
    </row>
    <row r="16">
      <c r="A16" s="35" t="inlineStr"/>
      <c r="B16" s="47" t="inlineStr"/>
      <c r="C16" s="47" t="inlineStr"/>
      <c r="D16" s="47" t="inlineStr"/>
      <c r="E16" s="47" t="inlineStr"/>
      <c r="F16" s="47" t="inlineStr"/>
      <c r="G16" s="47" t="inlineStr"/>
      <c r="H16" s="47" t="inlineStr"/>
      <c r="I16" s="47" t="inlineStr"/>
      <c r="J16" s="47" t="inlineStr"/>
      <c r="K16" s="47" t="inlineStr"/>
      <c r="L16" s="47" t="inlineStr"/>
      <c r="M16" s="47" t="inlineStr"/>
      <c r="N16" s="48" t="inlineStr"/>
    </row>
    <row r="17">
      <c r="A17" s="35" t="inlineStr"/>
      <c r="B17" s="47" t="inlineStr"/>
      <c r="C17" s="47" t="inlineStr"/>
      <c r="D17" s="47" t="inlineStr"/>
      <c r="E17" s="47" t="inlineStr"/>
      <c r="F17" s="47" t="inlineStr"/>
      <c r="G17" s="47" t="inlineStr"/>
      <c r="H17" s="47" t="inlineStr"/>
      <c r="I17" s="47" t="inlineStr"/>
      <c r="J17" s="47" t="inlineStr"/>
      <c r="K17" s="47" t="inlineStr"/>
      <c r="L17" s="47" t="inlineStr"/>
      <c r="M17" s="47" t="inlineStr"/>
      <c r="N17" s="48" t="inlineStr"/>
    </row>
    <row r="18">
      <c r="A18" s="35" t="inlineStr"/>
      <c r="B18" s="47" t="inlineStr"/>
      <c r="C18" s="47" t="inlineStr"/>
      <c r="D18" s="47" t="inlineStr"/>
      <c r="E18" s="47" t="inlineStr"/>
      <c r="F18" s="47" t="inlineStr"/>
      <c r="G18" s="47" t="inlineStr"/>
      <c r="H18" s="47" t="inlineStr"/>
      <c r="I18" s="47" t="inlineStr"/>
      <c r="J18" s="47" t="inlineStr"/>
      <c r="K18" s="47" t="inlineStr"/>
      <c r="L18" s="47" t="inlineStr"/>
      <c r="M18" s="47" t="inlineStr"/>
      <c r="N18" s="48" t="inlineStr"/>
    </row>
    <row r="19">
      <c r="A19" s="35" t="inlineStr"/>
      <c r="B19" s="47" t="inlineStr"/>
      <c r="C19" s="47" t="inlineStr"/>
      <c r="D19" s="47" t="inlineStr"/>
      <c r="E19" s="47" t="inlineStr"/>
      <c r="F19" s="47" t="inlineStr"/>
      <c r="G19" s="47" t="inlineStr"/>
      <c r="H19" s="47" t="inlineStr"/>
      <c r="I19" s="47" t="inlineStr"/>
      <c r="J19" s="47" t="inlineStr"/>
      <c r="K19" s="47" t="inlineStr"/>
      <c r="L19" s="47" t="inlineStr"/>
      <c r="M19" s="47" t="inlineStr"/>
      <c r="N19" s="48" t="inlineStr"/>
    </row>
    <row r="20">
      <c r="A20" s="35" t="inlineStr"/>
      <c r="B20" s="47" t="inlineStr"/>
      <c r="C20" s="47" t="inlineStr"/>
      <c r="D20" s="47" t="inlineStr"/>
      <c r="E20" s="47" t="inlineStr"/>
      <c r="F20" s="47" t="inlineStr"/>
      <c r="G20" s="47" t="inlineStr"/>
      <c r="H20" s="47" t="inlineStr"/>
      <c r="I20" s="47" t="inlineStr"/>
      <c r="J20" s="47" t="inlineStr"/>
      <c r="K20" s="47" t="inlineStr"/>
      <c r="L20" s="47" t="inlineStr"/>
      <c r="M20" s="47" t="inlineStr"/>
      <c r="N20" s="48" t="inlineStr"/>
    </row>
    <row r="21">
      <c r="A21" s="35" t="inlineStr"/>
      <c r="B21" s="47" t="inlineStr"/>
      <c r="C21" s="47" t="inlineStr"/>
      <c r="D21" s="47" t="inlineStr"/>
      <c r="E21" s="47" t="inlineStr"/>
      <c r="F21" s="47" t="inlineStr"/>
      <c r="G21" s="47" t="inlineStr"/>
      <c r="H21" s="47" t="inlineStr"/>
      <c r="I21" s="47" t="inlineStr"/>
      <c r="J21" s="47" t="inlineStr"/>
      <c r="K21" s="47" t="inlineStr"/>
      <c r="L21" s="47" t="inlineStr"/>
      <c r="M21" s="47" t="inlineStr"/>
      <c r="N21" s="48" t="inlineStr"/>
    </row>
    <row r="22">
      <c r="A22" s="35" t="inlineStr"/>
      <c r="B22" s="47" t="inlineStr"/>
      <c r="C22" s="47" t="inlineStr"/>
      <c r="D22" s="47" t="inlineStr"/>
      <c r="E22" s="47" t="inlineStr"/>
      <c r="F22" s="47" t="inlineStr"/>
      <c r="G22" s="47" t="inlineStr"/>
      <c r="H22" s="47" t="inlineStr"/>
      <c r="I22" s="47" t="inlineStr"/>
      <c r="J22" s="47" t="inlineStr"/>
      <c r="K22" s="47" t="inlineStr"/>
      <c r="L22" s="47" t="inlineStr"/>
      <c r="M22" s="47" t="inlineStr"/>
      <c r="N22" s="48" t="inlineStr"/>
    </row>
    <row r="23">
      <c r="A23" s="45" t="inlineStr">
        <is>
          <t>Total Income</t>
        </is>
      </c>
      <c r="B23" s="50">
        <f>SUM(B3:B22)</f>
        <v/>
      </c>
      <c r="C23" s="50">
        <f>SUM(C3:C22)</f>
        <v/>
      </c>
      <c r="D23" s="50">
        <f>SUM(D3:D22)</f>
        <v/>
      </c>
      <c r="E23" s="50">
        <f>SUM(E3:E22)</f>
        <v/>
      </c>
      <c r="F23" s="50">
        <f>SUM(F3:F22)</f>
        <v/>
      </c>
      <c r="G23" s="50">
        <f>SUM(G3:G22)</f>
        <v/>
      </c>
      <c r="H23" s="50">
        <f>SUM(H3:H22)</f>
        <v/>
      </c>
      <c r="I23" s="50">
        <f>SUM(I3:I22)</f>
        <v/>
      </c>
      <c r="J23" s="50">
        <f>SUM(J3:J22)</f>
        <v/>
      </c>
      <c r="K23" s="50">
        <f>SUM(K3:K22)</f>
        <v/>
      </c>
      <c r="L23" s="50">
        <f>SUM(L3:L22)</f>
        <v/>
      </c>
      <c r="M23" s="50">
        <f>SUM(M3:M22)</f>
        <v/>
      </c>
      <c r="N23" s="67">
        <f>SUM(N3:N22)</f>
        <v/>
      </c>
    </row>
  </sheetData>
  <mergeCells count="1"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0907E"/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29" t="inlineStr">
        <is>
          <t>Spending Analysis</t>
        </is>
      </c>
      <c r="B1" s="2" t="n"/>
      <c r="C1" s="2" t="n"/>
      <c r="D1" s="2" t="n"/>
      <c r="E1" s="2" t="n"/>
    </row>
    <row r="2">
      <c r="A2" s="59" t="inlineStr">
        <is>
          <t>Category</t>
        </is>
      </c>
      <c r="B2" s="59" t="inlineStr">
        <is>
          <t>Budget (YTD)</t>
        </is>
      </c>
      <c r="C2" s="59" t="inlineStr">
        <is>
          <t>Actual (YTD)</t>
        </is>
      </c>
      <c r="D2" s="59" t="inlineStr">
        <is>
          <t>Variance</t>
        </is>
      </c>
      <c r="E2" s="59" t="inlineStr">
        <is>
          <t>% of Total Spending</t>
        </is>
      </c>
    </row>
    <row r="3">
      <c r="A3" s="35" t="inlineStr">
        <is>
          <t>Rent/Mortgage</t>
        </is>
      </c>
      <c r="B3" s="48">
        <f>IFERROR(VLOOKUP("Rent/Mortgage",Settings!$A$30:$C$59,3,FALSE),0)*12</f>
        <v/>
      </c>
      <c r="C3" s="47">
        <f>IFERROR(SUMIFS(Transactions!$F$2:$F$601,Transactions!$H$2:$H$601,Settings!$B$2,Transactions!$C$2:$C$601,A3),0)</f>
        <v/>
      </c>
      <c r="D3" s="47">
        <f>B3-C3</f>
        <v/>
      </c>
      <c r="E3" s="68">
        <f>IF(SUM(C3:C24)=0,0,C3/SUM(C$3:C$24))</f>
        <v/>
      </c>
    </row>
    <row r="4">
      <c r="A4" s="35" t="inlineStr">
        <is>
          <t>Utilities</t>
        </is>
      </c>
      <c r="B4" s="48">
        <f>IFERROR(VLOOKUP("Utilities",Settings!$A$30:$C$59,3,FALSE),0)*12</f>
        <v/>
      </c>
      <c r="C4" s="47">
        <f>IFERROR(SUMIFS(Transactions!$F$2:$F$601,Transactions!$H$2:$H$601,Settings!$B$2,Transactions!$C$2:$C$601,A4),0)</f>
        <v/>
      </c>
      <c r="D4" s="47">
        <f>B4-C4</f>
        <v/>
      </c>
      <c r="E4" s="68">
        <f>IF(SUM(C3:C24)=0,0,C4/SUM(C$3:C$24))</f>
        <v/>
      </c>
    </row>
    <row r="5">
      <c r="A5" s="35" t="inlineStr">
        <is>
          <t>Groceries</t>
        </is>
      </c>
      <c r="B5" s="48">
        <f>IFERROR(VLOOKUP("Groceries",Settings!$A$30:$C$59,3,FALSE),0)*12</f>
        <v/>
      </c>
      <c r="C5" s="47">
        <f>IFERROR(SUMIFS(Transactions!$F$2:$F$601,Transactions!$H$2:$H$601,Settings!$B$2,Transactions!$C$2:$C$601,A5),0)</f>
        <v/>
      </c>
      <c r="D5" s="47">
        <f>B5-C5</f>
        <v/>
      </c>
      <c r="E5" s="68">
        <f>IF(SUM(C3:C24)=0,0,C5/SUM(C$3:C$24))</f>
        <v/>
      </c>
    </row>
    <row r="6">
      <c r="A6" s="35" t="inlineStr">
        <is>
          <t>Dining Out</t>
        </is>
      </c>
      <c r="B6" s="48">
        <f>IFERROR(VLOOKUP("Dining Out",Settings!$A$30:$C$59,3,FALSE),0)*12</f>
        <v/>
      </c>
      <c r="C6" s="47">
        <f>IFERROR(SUMIFS(Transactions!$F$2:$F$601,Transactions!$H$2:$H$601,Settings!$B$2,Transactions!$C$2:$C$601,A6),0)</f>
        <v/>
      </c>
      <c r="D6" s="47">
        <f>B6-C6</f>
        <v/>
      </c>
      <c r="E6" s="68">
        <f>IF(SUM(C3:C24)=0,0,C6/SUM(C$3:C$24))</f>
        <v/>
      </c>
    </row>
    <row r="7">
      <c r="A7" s="35" t="inlineStr">
        <is>
          <t>Transport</t>
        </is>
      </c>
      <c r="B7" s="48">
        <f>IFERROR(VLOOKUP("Transport",Settings!$A$30:$C$59,3,FALSE),0)*12</f>
        <v/>
      </c>
      <c r="C7" s="47">
        <f>IFERROR(SUMIFS(Transactions!$F$2:$F$601,Transactions!$H$2:$H$601,Settings!$B$2,Transactions!$C$2:$C$601,A7),0)</f>
        <v/>
      </c>
      <c r="D7" s="47">
        <f>B7-C7</f>
        <v/>
      </c>
      <c r="E7" s="68">
        <f>IF(SUM(C3:C24)=0,0,C7/SUM(C$3:C$24))</f>
        <v/>
      </c>
    </row>
    <row r="8">
      <c r="A8" s="35" t="inlineStr">
        <is>
          <t>Fuel</t>
        </is>
      </c>
      <c r="B8" s="48">
        <f>IFERROR(VLOOKUP("Fuel",Settings!$A$30:$C$59,3,FALSE),0)*12</f>
        <v/>
      </c>
      <c r="C8" s="47">
        <f>IFERROR(SUMIFS(Transactions!$F$2:$F$601,Transactions!$H$2:$H$601,Settings!$B$2,Transactions!$C$2:$C$601,A8),0)</f>
        <v/>
      </c>
      <c r="D8" s="47">
        <f>B8-C8</f>
        <v/>
      </c>
      <c r="E8" s="68">
        <f>IF(SUM(C3:C24)=0,0,C8/SUM(C$3:C$24))</f>
        <v/>
      </c>
    </row>
    <row r="9">
      <c r="A9" s="35" t="inlineStr">
        <is>
          <t>Car/Auto</t>
        </is>
      </c>
      <c r="B9" s="48">
        <f>IFERROR(VLOOKUP("Car/Auto",Settings!$A$30:$C$59,3,FALSE),0)*12</f>
        <v/>
      </c>
      <c r="C9" s="47">
        <f>IFERROR(SUMIFS(Transactions!$F$2:$F$601,Transactions!$H$2:$H$601,Settings!$B$2,Transactions!$C$2:$C$601,A9),0)</f>
        <v/>
      </c>
      <c r="D9" s="47">
        <f>B9-C9</f>
        <v/>
      </c>
      <c r="E9" s="68">
        <f>IF(SUM(C3:C24)=0,0,C9/SUM(C$3:C$24))</f>
        <v/>
      </c>
    </row>
    <row r="10">
      <c r="A10" s="35" t="inlineStr">
        <is>
          <t>Insurance</t>
        </is>
      </c>
      <c r="B10" s="48">
        <f>IFERROR(VLOOKUP("Insurance",Settings!$A$30:$C$59,3,FALSE),0)*12</f>
        <v/>
      </c>
      <c r="C10" s="47">
        <f>IFERROR(SUMIFS(Transactions!$F$2:$F$601,Transactions!$H$2:$H$601,Settings!$B$2,Transactions!$C$2:$C$601,A10),0)</f>
        <v/>
      </c>
      <c r="D10" s="47">
        <f>B10-C10</f>
        <v/>
      </c>
      <c r="E10" s="68">
        <f>IF(SUM(C3:C24)=0,0,C10/SUM(C$3:C$24))</f>
        <v/>
      </c>
    </row>
    <row r="11">
      <c r="A11" s="35" t="inlineStr">
        <is>
          <t>Health</t>
        </is>
      </c>
      <c r="B11" s="48">
        <f>IFERROR(VLOOKUP("Health",Settings!$A$30:$C$59,3,FALSE),0)*12</f>
        <v/>
      </c>
      <c r="C11" s="47">
        <f>IFERROR(SUMIFS(Transactions!$F$2:$F$601,Transactions!$H$2:$H$601,Settings!$B$2,Transactions!$C$2:$C$601,A11),0)</f>
        <v/>
      </c>
      <c r="D11" s="47">
        <f>B11-C11</f>
        <v/>
      </c>
      <c r="E11" s="68">
        <f>IF(SUM(C3:C24)=0,0,C11/SUM(C$3:C$24))</f>
        <v/>
      </c>
    </row>
    <row r="12">
      <c r="A12" s="35" t="inlineStr">
        <is>
          <t>Phone</t>
        </is>
      </c>
      <c r="B12" s="48">
        <f>IFERROR(VLOOKUP("Phone",Settings!$A$30:$C$59,3,FALSE),0)*12</f>
        <v/>
      </c>
      <c r="C12" s="47">
        <f>IFERROR(SUMIFS(Transactions!$F$2:$F$601,Transactions!$H$2:$H$601,Settings!$B$2,Transactions!$C$2:$C$601,A12),0)</f>
        <v/>
      </c>
      <c r="D12" s="47">
        <f>B12-C12</f>
        <v/>
      </c>
      <c r="E12" s="68">
        <f>IF(SUM(C3:C24)=0,0,C12/SUM(C$3:C$24))</f>
        <v/>
      </c>
    </row>
    <row r="13">
      <c r="A13" s="35" t="inlineStr">
        <is>
          <t>Internet</t>
        </is>
      </c>
      <c r="B13" s="48">
        <f>IFERROR(VLOOKUP("Internet",Settings!$A$30:$C$59,3,FALSE),0)*12</f>
        <v/>
      </c>
      <c r="C13" s="47">
        <f>IFERROR(SUMIFS(Transactions!$F$2:$F$601,Transactions!$H$2:$H$601,Settings!$B$2,Transactions!$C$2:$C$601,A13),0)</f>
        <v/>
      </c>
      <c r="D13" s="47">
        <f>B13-C13</f>
        <v/>
      </c>
      <c r="E13" s="68">
        <f>IF(SUM(C3:C24)=0,0,C13/SUM(C$3:C$24))</f>
        <v/>
      </c>
    </row>
    <row r="14">
      <c r="A14" s="35" t="inlineStr">
        <is>
          <t>Subscriptions</t>
        </is>
      </c>
      <c r="B14" s="48">
        <f>IFERROR(VLOOKUP("Subscriptions",Settings!$A$30:$C$59,3,FALSE),0)*12</f>
        <v/>
      </c>
      <c r="C14" s="47">
        <f>IFERROR(SUMIFS(Transactions!$F$2:$F$601,Transactions!$H$2:$H$601,Settings!$B$2,Transactions!$C$2:$C$601,A14),0)</f>
        <v/>
      </c>
      <c r="D14" s="47">
        <f>B14-C14</f>
        <v/>
      </c>
      <c r="E14" s="68">
        <f>IF(SUM(C3:C24)=0,0,C14/SUM(C$3:C$24))</f>
        <v/>
      </c>
    </row>
    <row r="15">
      <c r="A15" s="35" t="inlineStr">
        <is>
          <t>Entertainment</t>
        </is>
      </c>
      <c r="B15" s="48">
        <f>IFERROR(VLOOKUP("Entertainment",Settings!$A$30:$C$59,3,FALSE),0)*12</f>
        <v/>
      </c>
      <c r="C15" s="47">
        <f>IFERROR(SUMIFS(Transactions!$F$2:$F$601,Transactions!$H$2:$H$601,Settings!$B$2,Transactions!$C$2:$C$601,A15),0)</f>
        <v/>
      </c>
      <c r="D15" s="47">
        <f>B15-C15</f>
        <v/>
      </c>
      <c r="E15" s="68">
        <f>IF(SUM(C3:C24)=0,0,C15/SUM(C$3:C$24))</f>
        <v/>
      </c>
    </row>
    <row r="16">
      <c r="A16" s="35" t="inlineStr">
        <is>
          <t>Shopping</t>
        </is>
      </c>
      <c r="B16" s="48">
        <f>IFERROR(VLOOKUP("Shopping",Settings!$A$30:$C$59,3,FALSE),0)*12</f>
        <v/>
      </c>
      <c r="C16" s="47">
        <f>IFERROR(SUMIFS(Transactions!$F$2:$F$601,Transactions!$H$2:$H$601,Settings!$B$2,Transactions!$C$2:$C$601,A16),0)</f>
        <v/>
      </c>
      <c r="D16" s="47">
        <f>B16-C16</f>
        <v/>
      </c>
      <c r="E16" s="68">
        <f>IF(SUM(C3:C24)=0,0,C16/SUM(C$3:C$24))</f>
        <v/>
      </c>
    </row>
    <row r="17">
      <c r="A17" s="35" t="inlineStr">
        <is>
          <t>Clothing</t>
        </is>
      </c>
      <c r="B17" s="48">
        <f>IFERROR(VLOOKUP("Clothing",Settings!$A$30:$C$59,3,FALSE),0)*12</f>
        <v/>
      </c>
      <c r="C17" s="47">
        <f>IFERROR(SUMIFS(Transactions!$F$2:$F$601,Transactions!$H$2:$H$601,Settings!$B$2,Transactions!$C$2:$C$601,A17),0)</f>
        <v/>
      </c>
      <c r="D17" s="47">
        <f>B17-C17</f>
        <v/>
      </c>
      <c r="E17" s="68">
        <f>IF(SUM(C3:C24)=0,0,C17/SUM(C$3:C$24))</f>
        <v/>
      </c>
    </row>
    <row r="18">
      <c r="A18" s="35" t="inlineStr">
        <is>
          <t>Personal Care</t>
        </is>
      </c>
      <c r="B18" s="48">
        <f>IFERROR(VLOOKUP("Personal Care",Settings!$A$30:$C$59,3,FALSE),0)*12</f>
        <v/>
      </c>
      <c r="C18" s="47">
        <f>IFERROR(SUMIFS(Transactions!$F$2:$F$601,Transactions!$H$2:$H$601,Settings!$B$2,Transactions!$C$2:$C$601,A18),0)</f>
        <v/>
      </c>
      <c r="D18" s="47">
        <f>B18-C18</f>
        <v/>
      </c>
      <c r="E18" s="68">
        <f>IF(SUM(C3:C24)=0,0,C18/SUM(C$3:C$24))</f>
        <v/>
      </c>
    </row>
    <row r="19">
      <c r="A19" s="35" t="inlineStr">
        <is>
          <t>Gym/Fitness</t>
        </is>
      </c>
      <c r="B19" s="48">
        <f>IFERROR(VLOOKUP("Gym/Fitness",Settings!$A$30:$C$59,3,FALSE),0)*12</f>
        <v/>
      </c>
      <c r="C19" s="47">
        <f>IFERROR(SUMIFS(Transactions!$F$2:$F$601,Transactions!$H$2:$H$601,Settings!$B$2,Transactions!$C$2:$C$601,A19),0)</f>
        <v/>
      </c>
      <c r="D19" s="47">
        <f>B19-C19</f>
        <v/>
      </c>
      <c r="E19" s="68">
        <f>IF(SUM(C3:C24)=0,0,C19/SUM(C$3:C$24))</f>
        <v/>
      </c>
    </row>
    <row r="20">
      <c r="A20" s="35" t="inlineStr">
        <is>
          <t>Pets</t>
        </is>
      </c>
      <c r="B20" s="48">
        <f>IFERROR(VLOOKUP("Pets",Settings!$A$30:$C$59,3,FALSE),0)*12</f>
        <v/>
      </c>
      <c r="C20" s="47">
        <f>IFERROR(SUMIFS(Transactions!$F$2:$F$601,Transactions!$H$2:$H$601,Settings!$B$2,Transactions!$C$2:$C$601,A20),0)</f>
        <v/>
      </c>
      <c r="D20" s="47">
        <f>B20-C20</f>
        <v/>
      </c>
      <c r="E20" s="68">
        <f>IF(SUM(C3:C24)=0,0,C20/SUM(C$3:C$24))</f>
        <v/>
      </c>
    </row>
    <row r="21">
      <c r="A21" s="35" t="inlineStr">
        <is>
          <t>Kids</t>
        </is>
      </c>
      <c r="B21" s="48">
        <f>IFERROR(VLOOKUP("Kids",Settings!$A$30:$C$59,3,FALSE),0)*12</f>
        <v/>
      </c>
      <c r="C21" s="47">
        <f>IFERROR(SUMIFS(Transactions!$F$2:$F$601,Transactions!$H$2:$H$601,Settings!$B$2,Transactions!$C$2:$C$601,A21),0)</f>
        <v/>
      </c>
      <c r="D21" s="47">
        <f>B21-C21</f>
        <v/>
      </c>
      <c r="E21" s="68">
        <f>IF(SUM(C3:C24)=0,0,C21/SUM(C$3:C$24))</f>
        <v/>
      </c>
    </row>
    <row r="22">
      <c r="A22" s="35" t="inlineStr">
        <is>
          <t>Gifts/Donations</t>
        </is>
      </c>
      <c r="B22" s="48">
        <f>IFERROR(VLOOKUP("Gifts/Donations",Settings!$A$30:$C$59,3,FALSE),0)*12</f>
        <v/>
      </c>
      <c r="C22" s="47">
        <f>IFERROR(SUMIFS(Transactions!$F$2:$F$601,Transactions!$H$2:$H$601,Settings!$B$2,Transactions!$C$2:$C$601,A22),0)</f>
        <v/>
      </c>
      <c r="D22" s="47">
        <f>B22-C22</f>
        <v/>
      </c>
      <c r="E22" s="68">
        <f>IF(SUM(C3:C24)=0,0,C22/SUM(C$3:C$24))</f>
        <v/>
      </c>
    </row>
    <row r="23">
      <c r="A23" s="35" t="inlineStr">
        <is>
          <t>Travel</t>
        </is>
      </c>
      <c r="B23" s="48">
        <f>IFERROR(VLOOKUP("Travel",Settings!$A$30:$C$59,3,FALSE),0)*12</f>
        <v/>
      </c>
      <c r="C23" s="47">
        <f>IFERROR(SUMIFS(Transactions!$F$2:$F$601,Transactions!$H$2:$H$601,Settings!$B$2,Transactions!$C$2:$C$601,A23),0)</f>
        <v/>
      </c>
      <c r="D23" s="47">
        <f>B23-C23</f>
        <v/>
      </c>
      <c r="E23" s="68">
        <f>IF(SUM(C3:C24)=0,0,C23/SUM(C$3:C$24))</f>
        <v/>
      </c>
    </row>
    <row r="24">
      <c r="A24" s="35" t="inlineStr">
        <is>
          <t>Miscellaneous</t>
        </is>
      </c>
      <c r="B24" s="48">
        <f>IFERROR(VLOOKUP("Miscellaneous",Settings!$A$30:$C$59,3,FALSE),0)*12</f>
        <v/>
      </c>
      <c r="C24" s="47">
        <f>IFERROR(SUMIFS(Transactions!$F$2:$F$601,Transactions!$H$2:$H$601,Settings!$B$2,Transactions!$C$2:$C$601,A24),0)</f>
        <v/>
      </c>
      <c r="D24" s="47">
        <f>B24-C24</f>
        <v/>
      </c>
      <c r="E24" s="68">
        <f>IF(SUM(C3:C24)=0,0,C24/SUM(C$3:C$24))</f>
        <v/>
      </c>
    </row>
    <row r="25">
      <c r="A25" s="45" t="inlineStr">
        <is>
          <t>TOTAL</t>
        </is>
      </c>
      <c r="B25" s="50">
        <f>SUM(B3:B24)</f>
        <v/>
      </c>
      <c r="C25" s="50">
        <f>SUM(C3:C24)</f>
        <v/>
      </c>
      <c r="D25" s="50">
        <f>SUM(D3:D24)</f>
        <v/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0907E"/>
    <outlinePr summaryBelow="1" summaryRight="1"/>
    <pageSetUpPr/>
  </sheetPr>
  <dimension ref="A1:P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9" t="inlineStr">
        <is>
          <t>No-Spend Day Tracker</t>
        </is>
      </c>
      <c r="B1" s="2" t="n"/>
      <c r="C1" s="2" t="n"/>
      <c r="D1" s="2" t="n"/>
      <c r="E1" s="2" t="n"/>
      <c r="F1" s="2" t="n"/>
      <c r="G1" s="2" t="n"/>
    </row>
    <row r="2">
      <c r="A2" s="34" t="inlineStr">
        <is>
          <t>Month:</t>
        </is>
      </c>
      <c r="B2" s="35" t="n">
        <v>1</v>
      </c>
    </row>
    <row r="4">
      <c r="A4" s="44" t="inlineStr">
        <is>
          <t>Sun</t>
        </is>
      </c>
      <c r="B4" s="44" t="inlineStr">
        <is>
          <t>Mon</t>
        </is>
      </c>
      <c r="C4" s="44" t="inlineStr">
        <is>
          <t>Tue</t>
        </is>
      </c>
      <c r="D4" s="44" t="inlineStr">
        <is>
          <t>Wed</t>
        </is>
      </c>
      <c r="E4" s="44" t="inlineStr">
        <is>
          <t>Thu</t>
        </is>
      </c>
      <c r="F4" s="44" t="inlineStr">
        <is>
          <t>Fri</t>
        </is>
      </c>
      <c r="G4" s="44" t="inlineStr">
        <is>
          <t>Sat</t>
        </is>
      </c>
    </row>
    <row r="5" ht="22" customHeight="1">
      <c r="A5" s="69" t="n">
        <v>1</v>
      </c>
      <c r="B5" s="69" t="n">
        <v>2</v>
      </c>
      <c r="C5" s="69" t="n">
        <v>3</v>
      </c>
      <c r="D5" s="69" t="n">
        <v>4</v>
      </c>
      <c r="E5" s="69" t="n">
        <v>5</v>
      </c>
      <c r="F5" s="69" t="n">
        <v>6</v>
      </c>
      <c r="G5" s="69" t="n">
        <v>7</v>
      </c>
      <c r="J5" s="57">
        <f>IFERROR(COUNTIFS(Transactions!$I$2:$I$601,1,Transactions!$G$2:$G$601,$B$2,Transactions!$H$2:$H$601,Settings!$B$2,Transactions!$B$2:$B$601,"Expense"),0)</f>
        <v/>
      </c>
      <c r="K5" s="57">
        <f>IFERROR(COUNTIFS(Transactions!$I$2:$I$601,2,Transactions!$G$2:$G$601,$B$2,Transactions!$H$2:$H$601,Settings!$B$2,Transactions!$B$2:$B$601,"Expense"),0)</f>
        <v/>
      </c>
      <c r="L5" s="57">
        <f>IFERROR(COUNTIFS(Transactions!$I$2:$I$601,3,Transactions!$G$2:$G$601,$B$2,Transactions!$H$2:$H$601,Settings!$B$2,Transactions!$B$2:$B$601,"Expense"),0)</f>
        <v/>
      </c>
      <c r="M5" s="57">
        <f>IFERROR(COUNTIFS(Transactions!$I$2:$I$601,4,Transactions!$G$2:$G$601,$B$2,Transactions!$H$2:$H$601,Settings!$B$2,Transactions!$B$2:$B$601,"Expense"),0)</f>
        <v/>
      </c>
      <c r="N5" s="57">
        <f>IFERROR(COUNTIFS(Transactions!$I$2:$I$601,5,Transactions!$G$2:$G$601,$B$2,Transactions!$H$2:$H$601,Settings!$B$2,Transactions!$B$2:$B$601,"Expense"),0)</f>
        <v/>
      </c>
      <c r="O5" s="57">
        <f>IFERROR(COUNTIFS(Transactions!$I$2:$I$601,6,Transactions!$G$2:$G$601,$B$2,Transactions!$H$2:$H$601,Settings!$B$2,Transactions!$B$2:$B$601,"Expense"),0)</f>
        <v/>
      </c>
      <c r="P5" s="57">
        <f>IFERROR(COUNTIFS(Transactions!$I$2:$I$601,7,Transactions!$G$2:$G$601,$B$2,Transactions!$H$2:$H$601,Settings!$B$2,Transactions!$B$2:$B$601,"Expense"),0)</f>
        <v/>
      </c>
    </row>
    <row r="6" ht="22" customHeight="1">
      <c r="A6" s="69" t="n">
        <v>8</v>
      </c>
      <c r="B6" s="69" t="n">
        <v>9</v>
      </c>
      <c r="C6" s="69" t="n">
        <v>10</v>
      </c>
      <c r="D6" s="69" t="n">
        <v>11</v>
      </c>
      <c r="E6" s="69" t="n">
        <v>12</v>
      </c>
      <c r="F6" s="69" t="n">
        <v>13</v>
      </c>
      <c r="G6" s="69" t="n">
        <v>14</v>
      </c>
      <c r="J6" s="57">
        <f>IFERROR(COUNTIFS(Transactions!$I$2:$I$601,8,Transactions!$G$2:$G$601,$B$2,Transactions!$H$2:$H$601,Settings!$B$2,Transactions!$B$2:$B$601,"Expense"),0)</f>
        <v/>
      </c>
      <c r="K6" s="57">
        <f>IFERROR(COUNTIFS(Transactions!$I$2:$I$601,9,Transactions!$G$2:$G$601,$B$2,Transactions!$H$2:$H$601,Settings!$B$2,Transactions!$B$2:$B$601,"Expense"),0)</f>
        <v/>
      </c>
      <c r="L6" s="57">
        <f>IFERROR(COUNTIFS(Transactions!$I$2:$I$601,10,Transactions!$G$2:$G$601,$B$2,Transactions!$H$2:$H$601,Settings!$B$2,Transactions!$B$2:$B$601,"Expense"),0)</f>
        <v/>
      </c>
      <c r="M6" s="57">
        <f>IFERROR(COUNTIFS(Transactions!$I$2:$I$601,11,Transactions!$G$2:$G$601,$B$2,Transactions!$H$2:$H$601,Settings!$B$2,Transactions!$B$2:$B$601,"Expense"),0)</f>
        <v/>
      </c>
      <c r="N6" s="57">
        <f>IFERROR(COUNTIFS(Transactions!$I$2:$I$601,12,Transactions!$G$2:$G$601,$B$2,Transactions!$H$2:$H$601,Settings!$B$2,Transactions!$B$2:$B$601,"Expense"),0)</f>
        <v/>
      </c>
      <c r="O6" s="57">
        <f>IFERROR(COUNTIFS(Transactions!$I$2:$I$601,13,Transactions!$G$2:$G$601,$B$2,Transactions!$H$2:$H$601,Settings!$B$2,Transactions!$B$2:$B$601,"Expense"),0)</f>
        <v/>
      </c>
      <c r="P6" s="57">
        <f>IFERROR(COUNTIFS(Transactions!$I$2:$I$601,14,Transactions!$G$2:$G$601,$B$2,Transactions!$H$2:$H$601,Settings!$B$2,Transactions!$B$2:$B$601,"Expense"),0)</f>
        <v/>
      </c>
    </row>
    <row r="7" ht="22" customHeight="1">
      <c r="A7" s="69" t="n">
        <v>15</v>
      </c>
      <c r="B7" s="69" t="n">
        <v>16</v>
      </c>
      <c r="C7" s="69" t="n">
        <v>17</v>
      </c>
      <c r="D7" s="69" t="n">
        <v>18</v>
      </c>
      <c r="E7" s="69" t="n">
        <v>19</v>
      </c>
      <c r="F7" s="69" t="n">
        <v>20</v>
      </c>
      <c r="G7" s="69" t="n">
        <v>21</v>
      </c>
      <c r="J7" s="57">
        <f>IFERROR(COUNTIFS(Transactions!$I$2:$I$601,15,Transactions!$G$2:$G$601,$B$2,Transactions!$H$2:$H$601,Settings!$B$2,Transactions!$B$2:$B$601,"Expense"),0)</f>
        <v/>
      </c>
      <c r="K7" s="57">
        <f>IFERROR(COUNTIFS(Transactions!$I$2:$I$601,16,Transactions!$G$2:$G$601,$B$2,Transactions!$H$2:$H$601,Settings!$B$2,Transactions!$B$2:$B$601,"Expense"),0)</f>
        <v/>
      </c>
      <c r="L7" s="57">
        <f>IFERROR(COUNTIFS(Transactions!$I$2:$I$601,17,Transactions!$G$2:$G$601,$B$2,Transactions!$H$2:$H$601,Settings!$B$2,Transactions!$B$2:$B$601,"Expense"),0)</f>
        <v/>
      </c>
      <c r="M7" s="57">
        <f>IFERROR(COUNTIFS(Transactions!$I$2:$I$601,18,Transactions!$G$2:$G$601,$B$2,Transactions!$H$2:$H$601,Settings!$B$2,Transactions!$B$2:$B$601,"Expense"),0)</f>
        <v/>
      </c>
      <c r="N7" s="57">
        <f>IFERROR(COUNTIFS(Transactions!$I$2:$I$601,19,Transactions!$G$2:$G$601,$B$2,Transactions!$H$2:$H$601,Settings!$B$2,Transactions!$B$2:$B$601,"Expense"),0)</f>
        <v/>
      </c>
      <c r="O7" s="57">
        <f>IFERROR(COUNTIFS(Transactions!$I$2:$I$601,20,Transactions!$G$2:$G$601,$B$2,Transactions!$H$2:$H$601,Settings!$B$2,Transactions!$B$2:$B$601,"Expense"),0)</f>
        <v/>
      </c>
      <c r="P7" s="57">
        <f>IFERROR(COUNTIFS(Transactions!$I$2:$I$601,21,Transactions!$G$2:$G$601,$B$2,Transactions!$H$2:$H$601,Settings!$B$2,Transactions!$B$2:$B$601,"Expense"),0)</f>
        <v/>
      </c>
    </row>
    <row r="8" ht="22" customHeight="1">
      <c r="A8" s="69" t="n">
        <v>22</v>
      </c>
      <c r="B8" s="69" t="n">
        <v>23</v>
      </c>
      <c r="C8" s="69" t="n">
        <v>24</v>
      </c>
      <c r="D8" s="69" t="n">
        <v>25</v>
      </c>
      <c r="E8" s="69" t="n">
        <v>26</v>
      </c>
      <c r="F8" s="69" t="n">
        <v>27</v>
      </c>
      <c r="G8" s="69" t="n">
        <v>28</v>
      </c>
      <c r="J8" s="57">
        <f>IFERROR(COUNTIFS(Transactions!$I$2:$I$601,22,Transactions!$G$2:$G$601,$B$2,Transactions!$H$2:$H$601,Settings!$B$2,Transactions!$B$2:$B$601,"Expense"),0)</f>
        <v/>
      </c>
      <c r="K8" s="57">
        <f>IFERROR(COUNTIFS(Transactions!$I$2:$I$601,23,Transactions!$G$2:$G$601,$B$2,Transactions!$H$2:$H$601,Settings!$B$2,Transactions!$B$2:$B$601,"Expense"),0)</f>
        <v/>
      </c>
      <c r="L8" s="57">
        <f>IFERROR(COUNTIFS(Transactions!$I$2:$I$601,24,Transactions!$G$2:$G$601,$B$2,Transactions!$H$2:$H$601,Settings!$B$2,Transactions!$B$2:$B$601,"Expense"),0)</f>
        <v/>
      </c>
      <c r="M8" s="57">
        <f>IFERROR(COUNTIFS(Transactions!$I$2:$I$601,25,Transactions!$G$2:$G$601,$B$2,Transactions!$H$2:$H$601,Settings!$B$2,Transactions!$B$2:$B$601,"Expense"),0)</f>
        <v/>
      </c>
      <c r="N8" s="57">
        <f>IFERROR(COUNTIFS(Transactions!$I$2:$I$601,26,Transactions!$G$2:$G$601,$B$2,Transactions!$H$2:$H$601,Settings!$B$2,Transactions!$B$2:$B$601,"Expense"),0)</f>
        <v/>
      </c>
      <c r="O8" s="57">
        <f>IFERROR(COUNTIFS(Transactions!$I$2:$I$601,27,Transactions!$G$2:$G$601,$B$2,Transactions!$H$2:$H$601,Settings!$B$2,Transactions!$B$2:$B$601,"Expense"),0)</f>
        <v/>
      </c>
      <c r="P8" s="57">
        <f>IFERROR(COUNTIFS(Transactions!$I$2:$I$601,28,Transactions!$G$2:$G$601,$B$2,Transactions!$H$2:$H$601,Settings!$B$2,Transactions!$B$2:$B$601,"Expense"),0)</f>
        <v/>
      </c>
    </row>
    <row r="9" ht="22" customHeight="1">
      <c r="A9" s="69" t="n">
        <v>29</v>
      </c>
      <c r="B9" s="69" t="n">
        <v>30</v>
      </c>
      <c r="C9" s="69" t="n">
        <v>31</v>
      </c>
      <c r="J9" s="57">
        <f>IFERROR(COUNTIFS(Transactions!$I$2:$I$601,29,Transactions!$G$2:$G$601,$B$2,Transactions!$H$2:$H$601,Settings!$B$2,Transactions!$B$2:$B$601,"Expense"),0)</f>
        <v/>
      </c>
      <c r="K9" s="57">
        <f>IFERROR(COUNTIFS(Transactions!$I$2:$I$601,30,Transactions!$G$2:$G$601,$B$2,Transactions!$H$2:$H$601,Settings!$B$2,Transactions!$B$2:$B$601,"Expense"),0)</f>
        <v/>
      </c>
      <c r="L9" s="57">
        <f>IFERROR(COUNTIFS(Transactions!$I$2:$I$601,31,Transactions!$G$2:$G$601,$B$2,Transactions!$H$2:$H$601,Settings!$B$2,Transactions!$B$2:$B$601,"Expense"),0)</f>
        <v/>
      </c>
    </row>
    <row r="10" ht="22" customHeight="1"/>
    <row r="12">
      <c r="A12" s="34" t="inlineStr">
        <is>
          <t>No-Spend Days:</t>
        </is>
      </c>
      <c r="B12" s="70">
        <f>IFERROR(COUNTIF(J5:P10,0)-COUNTIF(J5:P10,""),0)</f>
        <v/>
      </c>
    </row>
  </sheetData>
  <mergeCells count="1">
    <mergeCell ref="A1:G1"/>
  </mergeCells>
  <conditionalFormatting sqref="A5">
    <cfRule type="expression" priority="1" dxfId="4">
      <formula>J5&gt;0</formula>
    </cfRule>
  </conditionalFormatting>
  <conditionalFormatting sqref="B5">
    <cfRule type="expression" priority="2" dxfId="4">
      <formula>K5&gt;0</formula>
    </cfRule>
  </conditionalFormatting>
  <conditionalFormatting sqref="C5">
    <cfRule type="expression" priority="3" dxfId="4">
      <formula>L5&gt;0</formula>
    </cfRule>
  </conditionalFormatting>
  <conditionalFormatting sqref="D5">
    <cfRule type="expression" priority="4" dxfId="4">
      <formula>M5&gt;0</formula>
    </cfRule>
  </conditionalFormatting>
  <conditionalFormatting sqref="E5">
    <cfRule type="expression" priority="5" dxfId="4">
      <formula>N5&gt;0</formula>
    </cfRule>
  </conditionalFormatting>
  <conditionalFormatting sqref="F5">
    <cfRule type="expression" priority="6" dxfId="4">
      <formula>O5&gt;0</formula>
    </cfRule>
  </conditionalFormatting>
  <conditionalFormatting sqref="G5">
    <cfRule type="expression" priority="7" dxfId="4">
      <formula>P5&gt;0</formula>
    </cfRule>
  </conditionalFormatting>
  <conditionalFormatting sqref="A6">
    <cfRule type="expression" priority="8" dxfId="4">
      <formula>J6&gt;0</formula>
    </cfRule>
  </conditionalFormatting>
  <conditionalFormatting sqref="B6">
    <cfRule type="expression" priority="9" dxfId="4">
      <formula>K6&gt;0</formula>
    </cfRule>
  </conditionalFormatting>
  <conditionalFormatting sqref="C6">
    <cfRule type="expression" priority="10" dxfId="4">
      <formula>L6&gt;0</formula>
    </cfRule>
  </conditionalFormatting>
  <conditionalFormatting sqref="D6">
    <cfRule type="expression" priority="11" dxfId="4">
      <formula>M6&gt;0</formula>
    </cfRule>
  </conditionalFormatting>
  <conditionalFormatting sqref="E6">
    <cfRule type="expression" priority="12" dxfId="4">
      <formula>N6&gt;0</formula>
    </cfRule>
  </conditionalFormatting>
  <conditionalFormatting sqref="F6">
    <cfRule type="expression" priority="13" dxfId="4">
      <formula>O6&gt;0</formula>
    </cfRule>
  </conditionalFormatting>
  <conditionalFormatting sqref="G6">
    <cfRule type="expression" priority="14" dxfId="4">
      <formula>P6&gt;0</formula>
    </cfRule>
  </conditionalFormatting>
  <conditionalFormatting sqref="A7">
    <cfRule type="expression" priority="15" dxfId="4">
      <formula>J7&gt;0</formula>
    </cfRule>
  </conditionalFormatting>
  <conditionalFormatting sqref="B7">
    <cfRule type="expression" priority="16" dxfId="4">
      <formula>K7&gt;0</formula>
    </cfRule>
  </conditionalFormatting>
  <conditionalFormatting sqref="C7">
    <cfRule type="expression" priority="17" dxfId="4">
      <formula>L7&gt;0</formula>
    </cfRule>
  </conditionalFormatting>
  <conditionalFormatting sqref="D7">
    <cfRule type="expression" priority="18" dxfId="4">
      <formula>M7&gt;0</formula>
    </cfRule>
  </conditionalFormatting>
  <conditionalFormatting sqref="E7">
    <cfRule type="expression" priority="19" dxfId="4">
      <formula>N7&gt;0</formula>
    </cfRule>
  </conditionalFormatting>
  <conditionalFormatting sqref="F7">
    <cfRule type="expression" priority="20" dxfId="4">
      <formula>O7&gt;0</formula>
    </cfRule>
  </conditionalFormatting>
  <conditionalFormatting sqref="G7">
    <cfRule type="expression" priority="21" dxfId="4">
      <formula>P7&gt;0</formula>
    </cfRule>
  </conditionalFormatting>
  <conditionalFormatting sqref="A8">
    <cfRule type="expression" priority="22" dxfId="4">
      <formula>J8&gt;0</formula>
    </cfRule>
  </conditionalFormatting>
  <conditionalFormatting sqref="B8">
    <cfRule type="expression" priority="23" dxfId="4">
      <formula>K8&gt;0</formula>
    </cfRule>
  </conditionalFormatting>
  <conditionalFormatting sqref="C8">
    <cfRule type="expression" priority="24" dxfId="4">
      <formula>L8&gt;0</formula>
    </cfRule>
  </conditionalFormatting>
  <conditionalFormatting sqref="D8">
    <cfRule type="expression" priority="25" dxfId="4">
      <formula>M8&gt;0</formula>
    </cfRule>
  </conditionalFormatting>
  <conditionalFormatting sqref="E8">
    <cfRule type="expression" priority="26" dxfId="4">
      <formula>N8&gt;0</formula>
    </cfRule>
  </conditionalFormatting>
  <conditionalFormatting sqref="F8">
    <cfRule type="expression" priority="27" dxfId="4">
      <formula>O8&gt;0</formula>
    </cfRule>
  </conditionalFormatting>
  <conditionalFormatting sqref="G8">
    <cfRule type="expression" priority="28" dxfId="4">
      <formula>P8&gt;0</formula>
    </cfRule>
  </conditionalFormatting>
  <conditionalFormatting sqref="A9">
    <cfRule type="expression" priority="29" dxfId="4">
      <formula>J9&gt;0</formula>
    </cfRule>
  </conditionalFormatting>
  <conditionalFormatting sqref="B9">
    <cfRule type="expression" priority="30" dxfId="4">
      <formula>K9&gt;0</formula>
    </cfRule>
  </conditionalFormatting>
  <conditionalFormatting sqref="C9">
    <cfRule type="expression" priority="31" dxfId="4">
      <formula>L9&gt;0</formula>
    </cfRule>
  </conditionalFormatting>
  <dataValidations count="1">
    <dataValidation sqref="B2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C0907E"/>
    <outlinePr summaryBelow="1" summaryRight="1"/>
    <pageSetUpPr/>
  </sheetPr>
  <dimension ref="A1:O6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29" t="inlineStr">
        <is>
          <t>Budget vs Actual — Annual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45" t="inlineStr">
        <is>
          <t>Category</t>
        </is>
      </c>
      <c r="B2" s="45" t="inlineStr">
        <is>
          <t>Type</t>
        </is>
      </c>
      <c r="C2" s="44" t="inlineStr">
        <is>
          <t>Jan</t>
        </is>
      </c>
      <c r="D2" s="44" t="inlineStr">
        <is>
          <t>Feb</t>
        </is>
      </c>
      <c r="E2" s="44" t="inlineStr">
        <is>
          <t>Mar</t>
        </is>
      </c>
      <c r="F2" s="44" t="inlineStr">
        <is>
          <t>Apr</t>
        </is>
      </c>
      <c r="G2" s="44" t="inlineStr">
        <is>
          <t>May</t>
        </is>
      </c>
      <c r="H2" s="44" t="inlineStr">
        <is>
          <t>Jun</t>
        </is>
      </c>
      <c r="I2" s="44" t="inlineStr">
        <is>
          <t>Jul</t>
        </is>
      </c>
      <c r="J2" s="44" t="inlineStr">
        <is>
          <t>Aug</t>
        </is>
      </c>
      <c r="K2" s="44" t="inlineStr">
        <is>
          <t>Sep</t>
        </is>
      </c>
      <c r="L2" s="44" t="inlineStr">
        <is>
          <t>Oct</t>
        </is>
      </c>
      <c r="M2" s="44" t="inlineStr">
        <is>
          <t>Nov</t>
        </is>
      </c>
      <c r="N2" s="44" t="inlineStr">
        <is>
          <t>Dec</t>
        </is>
      </c>
      <c r="O2" s="46" t="inlineStr">
        <is>
          <t>YTD</t>
        </is>
      </c>
    </row>
    <row r="3">
      <c r="A3" s="35" t="inlineStr">
        <is>
          <t>Salary</t>
        </is>
      </c>
      <c r="B3" s="39" t="inlineStr">
        <is>
          <t>Income</t>
        </is>
      </c>
      <c r="C3" s="47">
        <f>IFERROR(SUMIFS(Transactions!$F$2:$F$601,Transactions!$H$2:$H$601,Settings!$B$2,Transactions!$G$2:$G$601,1,Transactions!$C$2:$C$601,A3),0)</f>
        <v/>
      </c>
      <c r="D3" s="47">
        <f>IFERROR(SUMIFS(Transactions!$F$2:$F$601,Transactions!$H$2:$H$601,Settings!$B$2,Transactions!$G$2:$G$601,2,Transactions!$C$2:$C$601,A3),0)</f>
        <v/>
      </c>
      <c r="E3" s="47">
        <f>IFERROR(SUMIFS(Transactions!$F$2:$F$601,Transactions!$H$2:$H$601,Settings!$B$2,Transactions!$G$2:$G$601,3,Transactions!$C$2:$C$601,A3),0)</f>
        <v/>
      </c>
      <c r="F3" s="47">
        <f>IFERROR(SUMIFS(Transactions!$F$2:$F$601,Transactions!$H$2:$H$601,Settings!$B$2,Transactions!$G$2:$G$601,4,Transactions!$C$2:$C$601,A3),0)</f>
        <v/>
      </c>
      <c r="G3" s="47">
        <f>IFERROR(SUMIFS(Transactions!$F$2:$F$601,Transactions!$H$2:$H$601,Settings!$B$2,Transactions!$G$2:$G$601,5,Transactions!$C$2:$C$601,A3),0)</f>
        <v/>
      </c>
      <c r="H3" s="47">
        <f>IFERROR(SUMIFS(Transactions!$F$2:$F$601,Transactions!$H$2:$H$601,Settings!$B$2,Transactions!$G$2:$G$601,6,Transactions!$C$2:$C$601,A3),0)</f>
        <v/>
      </c>
      <c r="I3" s="47">
        <f>IFERROR(SUMIFS(Transactions!$F$2:$F$601,Transactions!$H$2:$H$601,Settings!$B$2,Transactions!$G$2:$G$601,7,Transactions!$C$2:$C$601,A3),0)</f>
        <v/>
      </c>
      <c r="J3" s="47">
        <f>IFERROR(SUMIFS(Transactions!$F$2:$F$601,Transactions!$H$2:$H$601,Settings!$B$2,Transactions!$G$2:$G$601,8,Transactions!$C$2:$C$601,A3),0)</f>
        <v/>
      </c>
      <c r="K3" s="47">
        <f>IFERROR(SUMIFS(Transactions!$F$2:$F$601,Transactions!$H$2:$H$601,Settings!$B$2,Transactions!$G$2:$G$601,9,Transactions!$C$2:$C$601,A3),0)</f>
        <v/>
      </c>
      <c r="L3" s="47">
        <f>IFERROR(SUMIFS(Transactions!$F$2:$F$601,Transactions!$H$2:$H$601,Settings!$B$2,Transactions!$G$2:$G$601,10,Transactions!$C$2:$C$601,A3),0)</f>
        <v/>
      </c>
      <c r="M3" s="47">
        <f>IFERROR(SUMIFS(Transactions!$F$2:$F$601,Transactions!$H$2:$H$601,Settings!$B$2,Transactions!$G$2:$G$601,11,Transactions!$C$2:$C$601,A3),0)</f>
        <v/>
      </c>
      <c r="N3" s="47">
        <f>IFERROR(SUMIFS(Transactions!$F$2:$F$601,Transactions!$H$2:$H$601,Settings!$B$2,Transactions!$G$2:$G$601,12,Transactions!$C$2:$C$601,A3),0)</f>
        <v/>
      </c>
      <c r="O3" s="48">
        <f>SUM(C3:N3)</f>
        <v/>
      </c>
    </row>
    <row r="4">
      <c r="A4" s="35" t="inlineStr">
        <is>
          <t>Partner Income</t>
        </is>
      </c>
      <c r="B4" s="39" t="inlineStr">
        <is>
          <t>Income</t>
        </is>
      </c>
      <c r="C4" s="47">
        <f>IFERROR(SUMIFS(Transactions!$F$2:$F$601,Transactions!$H$2:$H$601,Settings!$B$2,Transactions!$G$2:$G$601,1,Transactions!$C$2:$C$601,A4),0)</f>
        <v/>
      </c>
      <c r="D4" s="47">
        <f>IFERROR(SUMIFS(Transactions!$F$2:$F$601,Transactions!$H$2:$H$601,Settings!$B$2,Transactions!$G$2:$G$601,2,Transactions!$C$2:$C$601,A4),0)</f>
        <v/>
      </c>
      <c r="E4" s="47">
        <f>IFERROR(SUMIFS(Transactions!$F$2:$F$601,Transactions!$H$2:$H$601,Settings!$B$2,Transactions!$G$2:$G$601,3,Transactions!$C$2:$C$601,A4),0)</f>
        <v/>
      </c>
      <c r="F4" s="47">
        <f>IFERROR(SUMIFS(Transactions!$F$2:$F$601,Transactions!$H$2:$H$601,Settings!$B$2,Transactions!$G$2:$G$601,4,Transactions!$C$2:$C$601,A4),0)</f>
        <v/>
      </c>
      <c r="G4" s="47">
        <f>IFERROR(SUMIFS(Transactions!$F$2:$F$601,Transactions!$H$2:$H$601,Settings!$B$2,Transactions!$G$2:$G$601,5,Transactions!$C$2:$C$601,A4),0)</f>
        <v/>
      </c>
      <c r="H4" s="47">
        <f>IFERROR(SUMIFS(Transactions!$F$2:$F$601,Transactions!$H$2:$H$601,Settings!$B$2,Transactions!$G$2:$G$601,6,Transactions!$C$2:$C$601,A4),0)</f>
        <v/>
      </c>
      <c r="I4" s="47">
        <f>IFERROR(SUMIFS(Transactions!$F$2:$F$601,Transactions!$H$2:$H$601,Settings!$B$2,Transactions!$G$2:$G$601,7,Transactions!$C$2:$C$601,A4),0)</f>
        <v/>
      </c>
      <c r="J4" s="47">
        <f>IFERROR(SUMIFS(Transactions!$F$2:$F$601,Transactions!$H$2:$H$601,Settings!$B$2,Transactions!$G$2:$G$601,8,Transactions!$C$2:$C$601,A4),0)</f>
        <v/>
      </c>
      <c r="K4" s="47">
        <f>IFERROR(SUMIFS(Transactions!$F$2:$F$601,Transactions!$H$2:$H$601,Settings!$B$2,Transactions!$G$2:$G$601,9,Transactions!$C$2:$C$601,A4),0)</f>
        <v/>
      </c>
      <c r="L4" s="47">
        <f>IFERROR(SUMIFS(Transactions!$F$2:$F$601,Transactions!$H$2:$H$601,Settings!$B$2,Transactions!$G$2:$G$601,10,Transactions!$C$2:$C$601,A4),0)</f>
        <v/>
      </c>
      <c r="M4" s="47">
        <f>IFERROR(SUMIFS(Transactions!$F$2:$F$601,Transactions!$H$2:$H$601,Settings!$B$2,Transactions!$G$2:$G$601,11,Transactions!$C$2:$C$601,A4),0)</f>
        <v/>
      </c>
      <c r="N4" s="47">
        <f>IFERROR(SUMIFS(Transactions!$F$2:$F$601,Transactions!$H$2:$H$601,Settings!$B$2,Transactions!$G$2:$G$601,12,Transactions!$C$2:$C$601,A4),0)</f>
        <v/>
      </c>
      <c r="O4" s="48">
        <f>SUM(C4:N4)</f>
        <v/>
      </c>
    </row>
    <row r="5">
      <c r="A5" s="35" t="inlineStr">
        <is>
          <t>Freelance</t>
        </is>
      </c>
      <c r="B5" s="39" t="inlineStr">
        <is>
          <t>Income</t>
        </is>
      </c>
      <c r="C5" s="47">
        <f>IFERROR(SUMIFS(Transactions!$F$2:$F$601,Transactions!$H$2:$H$601,Settings!$B$2,Transactions!$G$2:$G$601,1,Transactions!$C$2:$C$601,A5),0)</f>
        <v/>
      </c>
      <c r="D5" s="47">
        <f>IFERROR(SUMIFS(Transactions!$F$2:$F$601,Transactions!$H$2:$H$601,Settings!$B$2,Transactions!$G$2:$G$601,2,Transactions!$C$2:$C$601,A5),0)</f>
        <v/>
      </c>
      <c r="E5" s="47">
        <f>IFERROR(SUMIFS(Transactions!$F$2:$F$601,Transactions!$H$2:$H$601,Settings!$B$2,Transactions!$G$2:$G$601,3,Transactions!$C$2:$C$601,A5),0)</f>
        <v/>
      </c>
      <c r="F5" s="47">
        <f>IFERROR(SUMIFS(Transactions!$F$2:$F$601,Transactions!$H$2:$H$601,Settings!$B$2,Transactions!$G$2:$G$601,4,Transactions!$C$2:$C$601,A5),0)</f>
        <v/>
      </c>
      <c r="G5" s="47">
        <f>IFERROR(SUMIFS(Transactions!$F$2:$F$601,Transactions!$H$2:$H$601,Settings!$B$2,Transactions!$G$2:$G$601,5,Transactions!$C$2:$C$601,A5),0)</f>
        <v/>
      </c>
      <c r="H5" s="47">
        <f>IFERROR(SUMIFS(Transactions!$F$2:$F$601,Transactions!$H$2:$H$601,Settings!$B$2,Transactions!$G$2:$G$601,6,Transactions!$C$2:$C$601,A5),0)</f>
        <v/>
      </c>
      <c r="I5" s="47">
        <f>IFERROR(SUMIFS(Transactions!$F$2:$F$601,Transactions!$H$2:$H$601,Settings!$B$2,Transactions!$G$2:$G$601,7,Transactions!$C$2:$C$601,A5),0)</f>
        <v/>
      </c>
      <c r="J5" s="47">
        <f>IFERROR(SUMIFS(Transactions!$F$2:$F$601,Transactions!$H$2:$H$601,Settings!$B$2,Transactions!$G$2:$G$601,8,Transactions!$C$2:$C$601,A5),0)</f>
        <v/>
      </c>
      <c r="K5" s="47">
        <f>IFERROR(SUMIFS(Transactions!$F$2:$F$601,Transactions!$H$2:$H$601,Settings!$B$2,Transactions!$G$2:$G$601,9,Transactions!$C$2:$C$601,A5),0)</f>
        <v/>
      </c>
      <c r="L5" s="47">
        <f>IFERROR(SUMIFS(Transactions!$F$2:$F$601,Transactions!$H$2:$H$601,Settings!$B$2,Transactions!$G$2:$G$601,10,Transactions!$C$2:$C$601,A5),0)</f>
        <v/>
      </c>
      <c r="M5" s="47">
        <f>IFERROR(SUMIFS(Transactions!$F$2:$F$601,Transactions!$H$2:$H$601,Settings!$B$2,Transactions!$G$2:$G$601,11,Transactions!$C$2:$C$601,A5),0)</f>
        <v/>
      </c>
      <c r="N5" s="47">
        <f>IFERROR(SUMIFS(Transactions!$F$2:$F$601,Transactions!$H$2:$H$601,Settings!$B$2,Transactions!$G$2:$G$601,12,Transactions!$C$2:$C$601,A5),0)</f>
        <v/>
      </c>
      <c r="O5" s="48">
        <f>SUM(C5:N5)</f>
        <v/>
      </c>
    </row>
    <row r="6">
      <c r="A6" s="35" t="inlineStr">
        <is>
          <t>Business</t>
        </is>
      </c>
      <c r="B6" s="39" t="inlineStr">
        <is>
          <t>Income</t>
        </is>
      </c>
      <c r="C6" s="47">
        <f>IFERROR(SUMIFS(Transactions!$F$2:$F$601,Transactions!$H$2:$H$601,Settings!$B$2,Transactions!$G$2:$G$601,1,Transactions!$C$2:$C$601,A6),0)</f>
        <v/>
      </c>
      <c r="D6" s="47">
        <f>IFERROR(SUMIFS(Transactions!$F$2:$F$601,Transactions!$H$2:$H$601,Settings!$B$2,Transactions!$G$2:$G$601,2,Transactions!$C$2:$C$601,A6),0)</f>
        <v/>
      </c>
      <c r="E6" s="47">
        <f>IFERROR(SUMIFS(Transactions!$F$2:$F$601,Transactions!$H$2:$H$601,Settings!$B$2,Transactions!$G$2:$G$601,3,Transactions!$C$2:$C$601,A6),0)</f>
        <v/>
      </c>
      <c r="F6" s="47">
        <f>IFERROR(SUMIFS(Transactions!$F$2:$F$601,Transactions!$H$2:$H$601,Settings!$B$2,Transactions!$G$2:$G$601,4,Transactions!$C$2:$C$601,A6),0)</f>
        <v/>
      </c>
      <c r="G6" s="47">
        <f>IFERROR(SUMIFS(Transactions!$F$2:$F$601,Transactions!$H$2:$H$601,Settings!$B$2,Transactions!$G$2:$G$601,5,Transactions!$C$2:$C$601,A6),0)</f>
        <v/>
      </c>
      <c r="H6" s="47">
        <f>IFERROR(SUMIFS(Transactions!$F$2:$F$601,Transactions!$H$2:$H$601,Settings!$B$2,Transactions!$G$2:$G$601,6,Transactions!$C$2:$C$601,A6),0)</f>
        <v/>
      </c>
      <c r="I6" s="47">
        <f>IFERROR(SUMIFS(Transactions!$F$2:$F$601,Transactions!$H$2:$H$601,Settings!$B$2,Transactions!$G$2:$G$601,7,Transactions!$C$2:$C$601,A6),0)</f>
        <v/>
      </c>
      <c r="J6" s="47">
        <f>IFERROR(SUMIFS(Transactions!$F$2:$F$601,Transactions!$H$2:$H$601,Settings!$B$2,Transactions!$G$2:$G$601,8,Transactions!$C$2:$C$601,A6),0)</f>
        <v/>
      </c>
      <c r="K6" s="47">
        <f>IFERROR(SUMIFS(Transactions!$F$2:$F$601,Transactions!$H$2:$H$601,Settings!$B$2,Transactions!$G$2:$G$601,9,Transactions!$C$2:$C$601,A6),0)</f>
        <v/>
      </c>
      <c r="L6" s="47">
        <f>IFERROR(SUMIFS(Transactions!$F$2:$F$601,Transactions!$H$2:$H$601,Settings!$B$2,Transactions!$G$2:$G$601,10,Transactions!$C$2:$C$601,A6),0)</f>
        <v/>
      </c>
      <c r="M6" s="47">
        <f>IFERROR(SUMIFS(Transactions!$F$2:$F$601,Transactions!$H$2:$H$601,Settings!$B$2,Transactions!$G$2:$G$601,11,Transactions!$C$2:$C$601,A6),0)</f>
        <v/>
      </c>
      <c r="N6" s="47">
        <f>IFERROR(SUMIFS(Transactions!$F$2:$F$601,Transactions!$H$2:$H$601,Settings!$B$2,Transactions!$G$2:$G$601,12,Transactions!$C$2:$C$601,A6),0)</f>
        <v/>
      </c>
      <c r="O6" s="48">
        <f>SUM(C6:N6)</f>
        <v/>
      </c>
    </row>
    <row r="7">
      <c r="A7" s="35" t="inlineStr">
        <is>
          <t>Investments</t>
        </is>
      </c>
      <c r="B7" s="39" t="inlineStr">
        <is>
          <t>Income</t>
        </is>
      </c>
      <c r="C7" s="47">
        <f>IFERROR(SUMIFS(Transactions!$F$2:$F$601,Transactions!$H$2:$H$601,Settings!$B$2,Transactions!$G$2:$G$601,1,Transactions!$C$2:$C$601,A7),0)</f>
        <v/>
      </c>
      <c r="D7" s="47">
        <f>IFERROR(SUMIFS(Transactions!$F$2:$F$601,Transactions!$H$2:$H$601,Settings!$B$2,Transactions!$G$2:$G$601,2,Transactions!$C$2:$C$601,A7),0)</f>
        <v/>
      </c>
      <c r="E7" s="47">
        <f>IFERROR(SUMIFS(Transactions!$F$2:$F$601,Transactions!$H$2:$H$601,Settings!$B$2,Transactions!$G$2:$G$601,3,Transactions!$C$2:$C$601,A7),0)</f>
        <v/>
      </c>
      <c r="F7" s="47">
        <f>IFERROR(SUMIFS(Transactions!$F$2:$F$601,Transactions!$H$2:$H$601,Settings!$B$2,Transactions!$G$2:$G$601,4,Transactions!$C$2:$C$601,A7),0)</f>
        <v/>
      </c>
      <c r="G7" s="47">
        <f>IFERROR(SUMIFS(Transactions!$F$2:$F$601,Transactions!$H$2:$H$601,Settings!$B$2,Transactions!$G$2:$G$601,5,Transactions!$C$2:$C$601,A7),0)</f>
        <v/>
      </c>
      <c r="H7" s="47">
        <f>IFERROR(SUMIFS(Transactions!$F$2:$F$601,Transactions!$H$2:$H$601,Settings!$B$2,Transactions!$G$2:$G$601,6,Transactions!$C$2:$C$601,A7),0)</f>
        <v/>
      </c>
      <c r="I7" s="47">
        <f>IFERROR(SUMIFS(Transactions!$F$2:$F$601,Transactions!$H$2:$H$601,Settings!$B$2,Transactions!$G$2:$G$601,7,Transactions!$C$2:$C$601,A7),0)</f>
        <v/>
      </c>
      <c r="J7" s="47">
        <f>IFERROR(SUMIFS(Transactions!$F$2:$F$601,Transactions!$H$2:$H$601,Settings!$B$2,Transactions!$G$2:$G$601,8,Transactions!$C$2:$C$601,A7),0)</f>
        <v/>
      </c>
      <c r="K7" s="47">
        <f>IFERROR(SUMIFS(Transactions!$F$2:$F$601,Transactions!$H$2:$H$601,Settings!$B$2,Transactions!$G$2:$G$601,9,Transactions!$C$2:$C$601,A7),0)</f>
        <v/>
      </c>
      <c r="L7" s="47">
        <f>IFERROR(SUMIFS(Transactions!$F$2:$F$601,Transactions!$H$2:$H$601,Settings!$B$2,Transactions!$G$2:$G$601,10,Transactions!$C$2:$C$601,A7),0)</f>
        <v/>
      </c>
      <c r="M7" s="47">
        <f>IFERROR(SUMIFS(Transactions!$F$2:$F$601,Transactions!$H$2:$H$601,Settings!$B$2,Transactions!$G$2:$G$601,11,Transactions!$C$2:$C$601,A7),0)</f>
        <v/>
      </c>
      <c r="N7" s="47">
        <f>IFERROR(SUMIFS(Transactions!$F$2:$F$601,Transactions!$H$2:$H$601,Settings!$B$2,Transactions!$G$2:$G$601,12,Transactions!$C$2:$C$601,A7),0)</f>
        <v/>
      </c>
      <c r="O7" s="48">
        <f>SUM(C7:N7)</f>
        <v/>
      </c>
    </row>
    <row r="8">
      <c r="A8" s="35" t="inlineStr">
        <is>
          <t>Rental Income</t>
        </is>
      </c>
      <c r="B8" s="39" t="inlineStr">
        <is>
          <t>Income</t>
        </is>
      </c>
      <c r="C8" s="47">
        <f>IFERROR(SUMIFS(Transactions!$F$2:$F$601,Transactions!$H$2:$H$601,Settings!$B$2,Transactions!$G$2:$G$601,1,Transactions!$C$2:$C$601,A8),0)</f>
        <v/>
      </c>
      <c r="D8" s="47">
        <f>IFERROR(SUMIFS(Transactions!$F$2:$F$601,Transactions!$H$2:$H$601,Settings!$B$2,Transactions!$G$2:$G$601,2,Transactions!$C$2:$C$601,A8),0)</f>
        <v/>
      </c>
      <c r="E8" s="47">
        <f>IFERROR(SUMIFS(Transactions!$F$2:$F$601,Transactions!$H$2:$H$601,Settings!$B$2,Transactions!$G$2:$G$601,3,Transactions!$C$2:$C$601,A8),0)</f>
        <v/>
      </c>
      <c r="F8" s="47">
        <f>IFERROR(SUMIFS(Transactions!$F$2:$F$601,Transactions!$H$2:$H$601,Settings!$B$2,Transactions!$G$2:$G$601,4,Transactions!$C$2:$C$601,A8),0)</f>
        <v/>
      </c>
      <c r="G8" s="47">
        <f>IFERROR(SUMIFS(Transactions!$F$2:$F$601,Transactions!$H$2:$H$601,Settings!$B$2,Transactions!$G$2:$G$601,5,Transactions!$C$2:$C$601,A8),0)</f>
        <v/>
      </c>
      <c r="H8" s="47">
        <f>IFERROR(SUMIFS(Transactions!$F$2:$F$601,Transactions!$H$2:$H$601,Settings!$B$2,Transactions!$G$2:$G$601,6,Transactions!$C$2:$C$601,A8),0)</f>
        <v/>
      </c>
      <c r="I8" s="47">
        <f>IFERROR(SUMIFS(Transactions!$F$2:$F$601,Transactions!$H$2:$H$601,Settings!$B$2,Transactions!$G$2:$G$601,7,Transactions!$C$2:$C$601,A8),0)</f>
        <v/>
      </c>
      <c r="J8" s="47">
        <f>IFERROR(SUMIFS(Transactions!$F$2:$F$601,Transactions!$H$2:$H$601,Settings!$B$2,Transactions!$G$2:$G$601,8,Transactions!$C$2:$C$601,A8),0)</f>
        <v/>
      </c>
      <c r="K8" s="47">
        <f>IFERROR(SUMIFS(Transactions!$F$2:$F$601,Transactions!$H$2:$H$601,Settings!$B$2,Transactions!$G$2:$G$601,9,Transactions!$C$2:$C$601,A8),0)</f>
        <v/>
      </c>
      <c r="L8" s="47">
        <f>IFERROR(SUMIFS(Transactions!$F$2:$F$601,Transactions!$H$2:$H$601,Settings!$B$2,Transactions!$G$2:$G$601,10,Transactions!$C$2:$C$601,A8),0)</f>
        <v/>
      </c>
      <c r="M8" s="47">
        <f>IFERROR(SUMIFS(Transactions!$F$2:$F$601,Transactions!$H$2:$H$601,Settings!$B$2,Transactions!$G$2:$G$601,11,Transactions!$C$2:$C$601,A8),0)</f>
        <v/>
      </c>
      <c r="N8" s="47">
        <f>IFERROR(SUMIFS(Transactions!$F$2:$F$601,Transactions!$H$2:$H$601,Settings!$B$2,Transactions!$G$2:$G$601,12,Transactions!$C$2:$C$601,A8),0)</f>
        <v/>
      </c>
      <c r="O8" s="48">
        <f>SUM(C8:N8)</f>
        <v/>
      </c>
    </row>
    <row r="9">
      <c r="A9" s="35" t="inlineStr">
        <is>
          <t>Refunds</t>
        </is>
      </c>
      <c r="B9" s="39" t="inlineStr">
        <is>
          <t>Income</t>
        </is>
      </c>
      <c r="C9" s="47">
        <f>IFERROR(SUMIFS(Transactions!$F$2:$F$601,Transactions!$H$2:$H$601,Settings!$B$2,Transactions!$G$2:$G$601,1,Transactions!$C$2:$C$601,A9),0)</f>
        <v/>
      </c>
      <c r="D9" s="47">
        <f>IFERROR(SUMIFS(Transactions!$F$2:$F$601,Transactions!$H$2:$H$601,Settings!$B$2,Transactions!$G$2:$G$601,2,Transactions!$C$2:$C$601,A9),0)</f>
        <v/>
      </c>
      <c r="E9" s="47">
        <f>IFERROR(SUMIFS(Transactions!$F$2:$F$601,Transactions!$H$2:$H$601,Settings!$B$2,Transactions!$G$2:$G$601,3,Transactions!$C$2:$C$601,A9),0)</f>
        <v/>
      </c>
      <c r="F9" s="47">
        <f>IFERROR(SUMIFS(Transactions!$F$2:$F$601,Transactions!$H$2:$H$601,Settings!$B$2,Transactions!$G$2:$G$601,4,Transactions!$C$2:$C$601,A9),0)</f>
        <v/>
      </c>
      <c r="G9" s="47">
        <f>IFERROR(SUMIFS(Transactions!$F$2:$F$601,Transactions!$H$2:$H$601,Settings!$B$2,Transactions!$G$2:$G$601,5,Transactions!$C$2:$C$601,A9),0)</f>
        <v/>
      </c>
      <c r="H9" s="47">
        <f>IFERROR(SUMIFS(Transactions!$F$2:$F$601,Transactions!$H$2:$H$601,Settings!$B$2,Transactions!$G$2:$G$601,6,Transactions!$C$2:$C$601,A9),0)</f>
        <v/>
      </c>
      <c r="I9" s="47">
        <f>IFERROR(SUMIFS(Transactions!$F$2:$F$601,Transactions!$H$2:$H$601,Settings!$B$2,Transactions!$G$2:$G$601,7,Transactions!$C$2:$C$601,A9),0)</f>
        <v/>
      </c>
      <c r="J9" s="47">
        <f>IFERROR(SUMIFS(Transactions!$F$2:$F$601,Transactions!$H$2:$H$601,Settings!$B$2,Transactions!$G$2:$G$601,8,Transactions!$C$2:$C$601,A9),0)</f>
        <v/>
      </c>
      <c r="K9" s="47">
        <f>IFERROR(SUMIFS(Transactions!$F$2:$F$601,Transactions!$H$2:$H$601,Settings!$B$2,Transactions!$G$2:$G$601,9,Transactions!$C$2:$C$601,A9),0)</f>
        <v/>
      </c>
      <c r="L9" s="47">
        <f>IFERROR(SUMIFS(Transactions!$F$2:$F$601,Transactions!$H$2:$H$601,Settings!$B$2,Transactions!$G$2:$G$601,10,Transactions!$C$2:$C$601,A9),0)</f>
        <v/>
      </c>
      <c r="M9" s="47">
        <f>IFERROR(SUMIFS(Transactions!$F$2:$F$601,Transactions!$H$2:$H$601,Settings!$B$2,Transactions!$G$2:$G$601,11,Transactions!$C$2:$C$601,A9),0)</f>
        <v/>
      </c>
      <c r="N9" s="47">
        <f>IFERROR(SUMIFS(Transactions!$F$2:$F$601,Transactions!$H$2:$H$601,Settings!$B$2,Transactions!$G$2:$G$601,12,Transactions!$C$2:$C$601,A9),0)</f>
        <v/>
      </c>
      <c r="O9" s="48">
        <f>SUM(C9:N9)</f>
        <v/>
      </c>
    </row>
    <row r="10">
      <c r="A10" s="35" t="inlineStr">
        <is>
          <t>Other Income</t>
        </is>
      </c>
      <c r="B10" s="39" t="inlineStr">
        <is>
          <t>Income</t>
        </is>
      </c>
      <c r="C10" s="47">
        <f>IFERROR(SUMIFS(Transactions!$F$2:$F$601,Transactions!$H$2:$H$601,Settings!$B$2,Transactions!$G$2:$G$601,1,Transactions!$C$2:$C$601,A10),0)</f>
        <v/>
      </c>
      <c r="D10" s="47">
        <f>IFERROR(SUMIFS(Transactions!$F$2:$F$601,Transactions!$H$2:$H$601,Settings!$B$2,Transactions!$G$2:$G$601,2,Transactions!$C$2:$C$601,A10),0)</f>
        <v/>
      </c>
      <c r="E10" s="47">
        <f>IFERROR(SUMIFS(Transactions!$F$2:$F$601,Transactions!$H$2:$H$601,Settings!$B$2,Transactions!$G$2:$G$601,3,Transactions!$C$2:$C$601,A10),0)</f>
        <v/>
      </c>
      <c r="F10" s="47">
        <f>IFERROR(SUMIFS(Transactions!$F$2:$F$601,Transactions!$H$2:$H$601,Settings!$B$2,Transactions!$G$2:$G$601,4,Transactions!$C$2:$C$601,A10),0)</f>
        <v/>
      </c>
      <c r="G10" s="47">
        <f>IFERROR(SUMIFS(Transactions!$F$2:$F$601,Transactions!$H$2:$H$601,Settings!$B$2,Transactions!$G$2:$G$601,5,Transactions!$C$2:$C$601,A10),0)</f>
        <v/>
      </c>
      <c r="H10" s="47">
        <f>IFERROR(SUMIFS(Transactions!$F$2:$F$601,Transactions!$H$2:$H$601,Settings!$B$2,Transactions!$G$2:$G$601,6,Transactions!$C$2:$C$601,A10),0)</f>
        <v/>
      </c>
      <c r="I10" s="47">
        <f>IFERROR(SUMIFS(Transactions!$F$2:$F$601,Transactions!$H$2:$H$601,Settings!$B$2,Transactions!$G$2:$G$601,7,Transactions!$C$2:$C$601,A10),0)</f>
        <v/>
      </c>
      <c r="J10" s="47">
        <f>IFERROR(SUMIFS(Transactions!$F$2:$F$601,Transactions!$H$2:$H$601,Settings!$B$2,Transactions!$G$2:$G$601,8,Transactions!$C$2:$C$601,A10),0)</f>
        <v/>
      </c>
      <c r="K10" s="47">
        <f>IFERROR(SUMIFS(Transactions!$F$2:$F$601,Transactions!$H$2:$H$601,Settings!$B$2,Transactions!$G$2:$G$601,9,Transactions!$C$2:$C$601,A10),0)</f>
        <v/>
      </c>
      <c r="L10" s="47">
        <f>IFERROR(SUMIFS(Transactions!$F$2:$F$601,Transactions!$H$2:$H$601,Settings!$B$2,Transactions!$G$2:$G$601,10,Transactions!$C$2:$C$601,A10),0)</f>
        <v/>
      </c>
      <c r="M10" s="47">
        <f>IFERROR(SUMIFS(Transactions!$F$2:$F$601,Transactions!$H$2:$H$601,Settings!$B$2,Transactions!$G$2:$G$601,11,Transactions!$C$2:$C$601,A10),0)</f>
        <v/>
      </c>
      <c r="N10" s="47">
        <f>IFERROR(SUMIFS(Transactions!$F$2:$F$601,Transactions!$H$2:$H$601,Settings!$B$2,Transactions!$G$2:$G$601,12,Transactions!$C$2:$C$601,A10),0)</f>
        <v/>
      </c>
      <c r="O10" s="48">
        <f>SUM(C10:N10)</f>
        <v/>
      </c>
    </row>
    <row r="11">
      <c r="A11" s="35" t="inlineStr">
        <is>
          <t>Rent/Mortgage</t>
        </is>
      </c>
      <c r="B11" s="39" t="inlineStr">
        <is>
          <t>Expense</t>
        </is>
      </c>
      <c r="C11" s="47">
        <f>IFERROR(SUMIFS(Transactions!$F$2:$F$601,Transactions!$H$2:$H$601,Settings!$B$2,Transactions!$G$2:$G$601,1,Transactions!$C$2:$C$601,A11),0)</f>
        <v/>
      </c>
      <c r="D11" s="47">
        <f>IFERROR(SUMIFS(Transactions!$F$2:$F$601,Transactions!$H$2:$H$601,Settings!$B$2,Transactions!$G$2:$G$601,2,Transactions!$C$2:$C$601,A11),0)</f>
        <v/>
      </c>
      <c r="E11" s="47">
        <f>IFERROR(SUMIFS(Transactions!$F$2:$F$601,Transactions!$H$2:$H$601,Settings!$B$2,Transactions!$G$2:$G$601,3,Transactions!$C$2:$C$601,A11),0)</f>
        <v/>
      </c>
      <c r="F11" s="47">
        <f>IFERROR(SUMIFS(Transactions!$F$2:$F$601,Transactions!$H$2:$H$601,Settings!$B$2,Transactions!$G$2:$G$601,4,Transactions!$C$2:$C$601,A11),0)</f>
        <v/>
      </c>
      <c r="G11" s="47">
        <f>IFERROR(SUMIFS(Transactions!$F$2:$F$601,Transactions!$H$2:$H$601,Settings!$B$2,Transactions!$G$2:$G$601,5,Transactions!$C$2:$C$601,A11),0)</f>
        <v/>
      </c>
      <c r="H11" s="47">
        <f>IFERROR(SUMIFS(Transactions!$F$2:$F$601,Transactions!$H$2:$H$601,Settings!$B$2,Transactions!$G$2:$G$601,6,Transactions!$C$2:$C$601,A11),0)</f>
        <v/>
      </c>
      <c r="I11" s="47">
        <f>IFERROR(SUMIFS(Transactions!$F$2:$F$601,Transactions!$H$2:$H$601,Settings!$B$2,Transactions!$G$2:$G$601,7,Transactions!$C$2:$C$601,A11),0)</f>
        <v/>
      </c>
      <c r="J11" s="47">
        <f>IFERROR(SUMIFS(Transactions!$F$2:$F$601,Transactions!$H$2:$H$601,Settings!$B$2,Transactions!$G$2:$G$601,8,Transactions!$C$2:$C$601,A11),0)</f>
        <v/>
      </c>
      <c r="K11" s="47">
        <f>IFERROR(SUMIFS(Transactions!$F$2:$F$601,Transactions!$H$2:$H$601,Settings!$B$2,Transactions!$G$2:$G$601,9,Transactions!$C$2:$C$601,A11),0)</f>
        <v/>
      </c>
      <c r="L11" s="47">
        <f>IFERROR(SUMIFS(Transactions!$F$2:$F$601,Transactions!$H$2:$H$601,Settings!$B$2,Transactions!$G$2:$G$601,10,Transactions!$C$2:$C$601,A11),0)</f>
        <v/>
      </c>
      <c r="M11" s="47">
        <f>IFERROR(SUMIFS(Transactions!$F$2:$F$601,Transactions!$H$2:$H$601,Settings!$B$2,Transactions!$G$2:$G$601,11,Transactions!$C$2:$C$601,A11),0)</f>
        <v/>
      </c>
      <c r="N11" s="47">
        <f>IFERROR(SUMIFS(Transactions!$F$2:$F$601,Transactions!$H$2:$H$601,Settings!$B$2,Transactions!$G$2:$G$601,12,Transactions!$C$2:$C$601,A11),0)</f>
        <v/>
      </c>
      <c r="O11" s="48">
        <f>SUM(C11:N11)</f>
        <v/>
      </c>
    </row>
    <row r="12">
      <c r="A12" s="35" t="inlineStr">
        <is>
          <t>Utilities</t>
        </is>
      </c>
      <c r="B12" s="39" t="inlineStr">
        <is>
          <t>Expense</t>
        </is>
      </c>
      <c r="C12" s="47">
        <f>IFERROR(SUMIFS(Transactions!$F$2:$F$601,Transactions!$H$2:$H$601,Settings!$B$2,Transactions!$G$2:$G$601,1,Transactions!$C$2:$C$601,A12),0)</f>
        <v/>
      </c>
      <c r="D12" s="47">
        <f>IFERROR(SUMIFS(Transactions!$F$2:$F$601,Transactions!$H$2:$H$601,Settings!$B$2,Transactions!$G$2:$G$601,2,Transactions!$C$2:$C$601,A12),0)</f>
        <v/>
      </c>
      <c r="E12" s="47">
        <f>IFERROR(SUMIFS(Transactions!$F$2:$F$601,Transactions!$H$2:$H$601,Settings!$B$2,Transactions!$G$2:$G$601,3,Transactions!$C$2:$C$601,A12),0)</f>
        <v/>
      </c>
      <c r="F12" s="47">
        <f>IFERROR(SUMIFS(Transactions!$F$2:$F$601,Transactions!$H$2:$H$601,Settings!$B$2,Transactions!$G$2:$G$601,4,Transactions!$C$2:$C$601,A12),0)</f>
        <v/>
      </c>
      <c r="G12" s="47">
        <f>IFERROR(SUMIFS(Transactions!$F$2:$F$601,Transactions!$H$2:$H$601,Settings!$B$2,Transactions!$G$2:$G$601,5,Transactions!$C$2:$C$601,A12),0)</f>
        <v/>
      </c>
      <c r="H12" s="47">
        <f>IFERROR(SUMIFS(Transactions!$F$2:$F$601,Transactions!$H$2:$H$601,Settings!$B$2,Transactions!$G$2:$G$601,6,Transactions!$C$2:$C$601,A12),0)</f>
        <v/>
      </c>
      <c r="I12" s="47">
        <f>IFERROR(SUMIFS(Transactions!$F$2:$F$601,Transactions!$H$2:$H$601,Settings!$B$2,Transactions!$G$2:$G$601,7,Transactions!$C$2:$C$601,A12),0)</f>
        <v/>
      </c>
      <c r="J12" s="47">
        <f>IFERROR(SUMIFS(Transactions!$F$2:$F$601,Transactions!$H$2:$H$601,Settings!$B$2,Transactions!$G$2:$G$601,8,Transactions!$C$2:$C$601,A12),0)</f>
        <v/>
      </c>
      <c r="K12" s="47">
        <f>IFERROR(SUMIFS(Transactions!$F$2:$F$601,Transactions!$H$2:$H$601,Settings!$B$2,Transactions!$G$2:$G$601,9,Transactions!$C$2:$C$601,A12),0)</f>
        <v/>
      </c>
      <c r="L12" s="47">
        <f>IFERROR(SUMIFS(Transactions!$F$2:$F$601,Transactions!$H$2:$H$601,Settings!$B$2,Transactions!$G$2:$G$601,10,Transactions!$C$2:$C$601,A12),0)</f>
        <v/>
      </c>
      <c r="M12" s="47">
        <f>IFERROR(SUMIFS(Transactions!$F$2:$F$601,Transactions!$H$2:$H$601,Settings!$B$2,Transactions!$G$2:$G$601,11,Transactions!$C$2:$C$601,A12),0)</f>
        <v/>
      </c>
      <c r="N12" s="47">
        <f>IFERROR(SUMIFS(Transactions!$F$2:$F$601,Transactions!$H$2:$H$601,Settings!$B$2,Transactions!$G$2:$G$601,12,Transactions!$C$2:$C$601,A12),0)</f>
        <v/>
      </c>
      <c r="O12" s="48">
        <f>SUM(C12:N12)</f>
        <v/>
      </c>
    </row>
    <row r="13">
      <c r="A13" s="35" t="inlineStr">
        <is>
          <t>Groceries</t>
        </is>
      </c>
      <c r="B13" s="39" t="inlineStr">
        <is>
          <t>Expense</t>
        </is>
      </c>
      <c r="C13" s="47">
        <f>IFERROR(SUMIFS(Transactions!$F$2:$F$601,Transactions!$H$2:$H$601,Settings!$B$2,Transactions!$G$2:$G$601,1,Transactions!$C$2:$C$601,A13),0)</f>
        <v/>
      </c>
      <c r="D13" s="47">
        <f>IFERROR(SUMIFS(Transactions!$F$2:$F$601,Transactions!$H$2:$H$601,Settings!$B$2,Transactions!$G$2:$G$601,2,Transactions!$C$2:$C$601,A13),0)</f>
        <v/>
      </c>
      <c r="E13" s="47">
        <f>IFERROR(SUMIFS(Transactions!$F$2:$F$601,Transactions!$H$2:$H$601,Settings!$B$2,Transactions!$G$2:$G$601,3,Transactions!$C$2:$C$601,A13),0)</f>
        <v/>
      </c>
      <c r="F13" s="47">
        <f>IFERROR(SUMIFS(Transactions!$F$2:$F$601,Transactions!$H$2:$H$601,Settings!$B$2,Transactions!$G$2:$G$601,4,Transactions!$C$2:$C$601,A13),0)</f>
        <v/>
      </c>
      <c r="G13" s="47">
        <f>IFERROR(SUMIFS(Transactions!$F$2:$F$601,Transactions!$H$2:$H$601,Settings!$B$2,Transactions!$G$2:$G$601,5,Transactions!$C$2:$C$601,A13),0)</f>
        <v/>
      </c>
      <c r="H13" s="47">
        <f>IFERROR(SUMIFS(Transactions!$F$2:$F$601,Transactions!$H$2:$H$601,Settings!$B$2,Transactions!$G$2:$G$601,6,Transactions!$C$2:$C$601,A13),0)</f>
        <v/>
      </c>
      <c r="I13" s="47">
        <f>IFERROR(SUMIFS(Transactions!$F$2:$F$601,Transactions!$H$2:$H$601,Settings!$B$2,Transactions!$G$2:$G$601,7,Transactions!$C$2:$C$601,A13),0)</f>
        <v/>
      </c>
      <c r="J13" s="47">
        <f>IFERROR(SUMIFS(Transactions!$F$2:$F$601,Transactions!$H$2:$H$601,Settings!$B$2,Transactions!$G$2:$G$601,8,Transactions!$C$2:$C$601,A13),0)</f>
        <v/>
      </c>
      <c r="K13" s="47">
        <f>IFERROR(SUMIFS(Transactions!$F$2:$F$601,Transactions!$H$2:$H$601,Settings!$B$2,Transactions!$G$2:$G$601,9,Transactions!$C$2:$C$601,A13),0)</f>
        <v/>
      </c>
      <c r="L13" s="47">
        <f>IFERROR(SUMIFS(Transactions!$F$2:$F$601,Transactions!$H$2:$H$601,Settings!$B$2,Transactions!$G$2:$G$601,10,Transactions!$C$2:$C$601,A13),0)</f>
        <v/>
      </c>
      <c r="M13" s="47">
        <f>IFERROR(SUMIFS(Transactions!$F$2:$F$601,Transactions!$H$2:$H$601,Settings!$B$2,Transactions!$G$2:$G$601,11,Transactions!$C$2:$C$601,A13),0)</f>
        <v/>
      </c>
      <c r="N13" s="47">
        <f>IFERROR(SUMIFS(Transactions!$F$2:$F$601,Transactions!$H$2:$H$601,Settings!$B$2,Transactions!$G$2:$G$601,12,Transactions!$C$2:$C$601,A13),0)</f>
        <v/>
      </c>
      <c r="O13" s="48">
        <f>SUM(C13:N13)</f>
        <v/>
      </c>
    </row>
    <row r="14">
      <c r="A14" s="35" t="inlineStr">
        <is>
          <t>Dining Out</t>
        </is>
      </c>
      <c r="B14" s="39" t="inlineStr">
        <is>
          <t>Expense</t>
        </is>
      </c>
      <c r="C14" s="47">
        <f>IFERROR(SUMIFS(Transactions!$F$2:$F$601,Transactions!$H$2:$H$601,Settings!$B$2,Transactions!$G$2:$G$601,1,Transactions!$C$2:$C$601,A14),0)</f>
        <v/>
      </c>
      <c r="D14" s="47">
        <f>IFERROR(SUMIFS(Transactions!$F$2:$F$601,Transactions!$H$2:$H$601,Settings!$B$2,Transactions!$G$2:$G$601,2,Transactions!$C$2:$C$601,A14),0)</f>
        <v/>
      </c>
      <c r="E14" s="47">
        <f>IFERROR(SUMIFS(Transactions!$F$2:$F$601,Transactions!$H$2:$H$601,Settings!$B$2,Transactions!$G$2:$G$601,3,Transactions!$C$2:$C$601,A14),0)</f>
        <v/>
      </c>
      <c r="F14" s="47">
        <f>IFERROR(SUMIFS(Transactions!$F$2:$F$601,Transactions!$H$2:$H$601,Settings!$B$2,Transactions!$G$2:$G$601,4,Transactions!$C$2:$C$601,A14),0)</f>
        <v/>
      </c>
      <c r="G14" s="47">
        <f>IFERROR(SUMIFS(Transactions!$F$2:$F$601,Transactions!$H$2:$H$601,Settings!$B$2,Transactions!$G$2:$G$601,5,Transactions!$C$2:$C$601,A14),0)</f>
        <v/>
      </c>
      <c r="H14" s="47">
        <f>IFERROR(SUMIFS(Transactions!$F$2:$F$601,Transactions!$H$2:$H$601,Settings!$B$2,Transactions!$G$2:$G$601,6,Transactions!$C$2:$C$601,A14),0)</f>
        <v/>
      </c>
      <c r="I14" s="47">
        <f>IFERROR(SUMIFS(Transactions!$F$2:$F$601,Transactions!$H$2:$H$601,Settings!$B$2,Transactions!$G$2:$G$601,7,Transactions!$C$2:$C$601,A14),0)</f>
        <v/>
      </c>
      <c r="J14" s="47">
        <f>IFERROR(SUMIFS(Transactions!$F$2:$F$601,Transactions!$H$2:$H$601,Settings!$B$2,Transactions!$G$2:$G$601,8,Transactions!$C$2:$C$601,A14),0)</f>
        <v/>
      </c>
      <c r="K14" s="47">
        <f>IFERROR(SUMIFS(Transactions!$F$2:$F$601,Transactions!$H$2:$H$601,Settings!$B$2,Transactions!$G$2:$G$601,9,Transactions!$C$2:$C$601,A14),0)</f>
        <v/>
      </c>
      <c r="L14" s="47">
        <f>IFERROR(SUMIFS(Transactions!$F$2:$F$601,Transactions!$H$2:$H$601,Settings!$B$2,Transactions!$G$2:$G$601,10,Transactions!$C$2:$C$601,A14),0)</f>
        <v/>
      </c>
      <c r="M14" s="47">
        <f>IFERROR(SUMIFS(Transactions!$F$2:$F$601,Transactions!$H$2:$H$601,Settings!$B$2,Transactions!$G$2:$G$601,11,Transactions!$C$2:$C$601,A14),0)</f>
        <v/>
      </c>
      <c r="N14" s="47">
        <f>IFERROR(SUMIFS(Transactions!$F$2:$F$601,Transactions!$H$2:$H$601,Settings!$B$2,Transactions!$G$2:$G$601,12,Transactions!$C$2:$C$601,A14),0)</f>
        <v/>
      </c>
      <c r="O14" s="48">
        <f>SUM(C14:N14)</f>
        <v/>
      </c>
    </row>
    <row r="15">
      <c r="A15" s="35" t="inlineStr">
        <is>
          <t>Transport</t>
        </is>
      </c>
      <c r="B15" s="39" t="inlineStr">
        <is>
          <t>Expense</t>
        </is>
      </c>
      <c r="C15" s="47">
        <f>IFERROR(SUMIFS(Transactions!$F$2:$F$601,Transactions!$H$2:$H$601,Settings!$B$2,Transactions!$G$2:$G$601,1,Transactions!$C$2:$C$601,A15),0)</f>
        <v/>
      </c>
      <c r="D15" s="47">
        <f>IFERROR(SUMIFS(Transactions!$F$2:$F$601,Transactions!$H$2:$H$601,Settings!$B$2,Transactions!$G$2:$G$601,2,Transactions!$C$2:$C$601,A15),0)</f>
        <v/>
      </c>
      <c r="E15" s="47">
        <f>IFERROR(SUMIFS(Transactions!$F$2:$F$601,Transactions!$H$2:$H$601,Settings!$B$2,Transactions!$G$2:$G$601,3,Transactions!$C$2:$C$601,A15),0)</f>
        <v/>
      </c>
      <c r="F15" s="47">
        <f>IFERROR(SUMIFS(Transactions!$F$2:$F$601,Transactions!$H$2:$H$601,Settings!$B$2,Transactions!$G$2:$G$601,4,Transactions!$C$2:$C$601,A15),0)</f>
        <v/>
      </c>
      <c r="G15" s="47">
        <f>IFERROR(SUMIFS(Transactions!$F$2:$F$601,Transactions!$H$2:$H$601,Settings!$B$2,Transactions!$G$2:$G$601,5,Transactions!$C$2:$C$601,A15),0)</f>
        <v/>
      </c>
      <c r="H15" s="47">
        <f>IFERROR(SUMIFS(Transactions!$F$2:$F$601,Transactions!$H$2:$H$601,Settings!$B$2,Transactions!$G$2:$G$601,6,Transactions!$C$2:$C$601,A15),0)</f>
        <v/>
      </c>
      <c r="I15" s="47">
        <f>IFERROR(SUMIFS(Transactions!$F$2:$F$601,Transactions!$H$2:$H$601,Settings!$B$2,Transactions!$G$2:$G$601,7,Transactions!$C$2:$C$601,A15),0)</f>
        <v/>
      </c>
      <c r="J15" s="47">
        <f>IFERROR(SUMIFS(Transactions!$F$2:$F$601,Transactions!$H$2:$H$601,Settings!$B$2,Transactions!$G$2:$G$601,8,Transactions!$C$2:$C$601,A15),0)</f>
        <v/>
      </c>
      <c r="K15" s="47">
        <f>IFERROR(SUMIFS(Transactions!$F$2:$F$601,Transactions!$H$2:$H$601,Settings!$B$2,Transactions!$G$2:$G$601,9,Transactions!$C$2:$C$601,A15),0)</f>
        <v/>
      </c>
      <c r="L15" s="47">
        <f>IFERROR(SUMIFS(Transactions!$F$2:$F$601,Transactions!$H$2:$H$601,Settings!$B$2,Transactions!$G$2:$G$601,10,Transactions!$C$2:$C$601,A15),0)</f>
        <v/>
      </c>
      <c r="M15" s="47">
        <f>IFERROR(SUMIFS(Transactions!$F$2:$F$601,Transactions!$H$2:$H$601,Settings!$B$2,Transactions!$G$2:$G$601,11,Transactions!$C$2:$C$601,A15),0)</f>
        <v/>
      </c>
      <c r="N15" s="47">
        <f>IFERROR(SUMIFS(Transactions!$F$2:$F$601,Transactions!$H$2:$H$601,Settings!$B$2,Transactions!$G$2:$G$601,12,Transactions!$C$2:$C$601,A15),0)</f>
        <v/>
      </c>
      <c r="O15" s="48">
        <f>SUM(C15:N15)</f>
        <v/>
      </c>
    </row>
    <row r="16">
      <c r="A16" s="35" t="inlineStr">
        <is>
          <t>Fuel</t>
        </is>
      </c>
      <c r="B16" s="39" t="inlineStr">
        <is>
          <t>Expense</t>
        </is>
      </c>
      <c r="C16" s="47">
        <f>IFERROR(SUMIFS(Transactions!$F$2:$F$601,Transactions!$H$2:$H$601,Settings!$B$2,Transactions!$G$2:$G$601,1,Transactions!$C$2:$C$601,A16),0)</f>
        <v/>
      </c>
      <c r="D16" s="47">
        <f>IFERROR(SUMIFS(Transactions!$F$2:$F$601,Transactions!$H$2:$H$601,Settings!$B$2,Transactions!$G$2:$G$601,2,Transactions!$C$2:$C$601,A16),0)</f>
        <v/>
      </c>
      <c r="E16" s="47">
        <f>IFERROR(SUMIFS(Transactions!$F$2:$F$601,Transactions!$H$2:$H$601,Settings!$B$2,Transactions!$G$2:$G$601,3,Transactions!$C$2:$C$601,A16),0)</f>
        <v/>
      </c>
      <c r="F16" s="47">
        <f>IFERROR(SUMIFS(Transactions!$F$2:$F$601,Transactions!$H$2:$H$601,Settings!$B$2,Transactions!$G$2:$G$601,4,Transactions!$C$2:$C$601,A16),0)</f>
        <v/>
      </c>
      <c r="G16" s="47">
        <f>IFERROR(SUMIFS(Transactions!$F$2:$F$601,Transactions!$H$2:$H$601,Settings!$B$2,Transactions!$G$2:$G$601,5,Transactions!$C$2:$C$601,A16),0)</f>
        <v/>
      </c>
      <c r="H16" s="47">
        <f>IFERROR(SUMIFS(Transactions!$F$2:$F$601,Transactions!$H$2:$H$601,Settings!$B$2,Transactions!$G$2:$G$601,6,Transactions!$C$2:$C$601,A16),0)</f>
        <v/>
      </c>
      <c r="I16" s="47">
        <f>IFERROR(SUMIFS(Transactions!$F$2:$F$601,Transactions!$H$2:$H$601,Settings!$B$2,Transactions!$G$2:$G$601,7,Transactions!$C$2:$C$601,A16),0)</f>
        <v/>
      </c>
      <c r="J16" s="47">
        <f>IFERROR(SUMIFS(Transactions!$F$2:$F$601,Transactions!$H$2:$H$601,Settings!$B$2,Transactions!$G$2:$G$601,8,Transactions!$C$2:$C$601,A16),0)</f>
        <v/>
      </c>
      <c r="K16" s="47">
        <f>IFERROR(SUMIFS(Transactions!$F$2:$F$601,Transactions!$H$2:$H$601,Settings!$B$2,Transactions!$G$2:$G$601,9,Transactions!$C$2:$C$601,A16),0)</f>
        <v/>
      </c>
      <c r="L16" s="47">
        <f>IFERROR(SUMIFS(Transactions!$F$2:$F$601,Transactions!$H$2:$H$601,Settings!$B$2,Transactions!$G$2:$G$601,10,Transactions!$C$2:$C$601,A16),0)</f>
        <v/>
      </c>
      <c r="M16" s="47">
        <f>IFERROR(SUMIFS(Transactions!$F$2:$F$601,Transactions!$H$2:$H$601,Settings!$B$2,Transactions!$G$2:$G$601,11,Transactions!$C$2:$C$601,A16),0)</f>
        <v/>
      </c>
      <c r="N16" s="47">
        <f>IFERROR(SUMIFS(Transactions!$F$2:$F$601,Transactions!$H$2:$H$601,Settings!$B$2,Transactions!$G$2:$G$601,12,Transactions!$C$2:$C$601,A16),0)</f>
        <v/>
      </c>
      <c r="O16" s="48">
        <f>SUM(C16:N16)</f>
        <v/>
      </c>
    </row>
    <row r="17">
      <c r="A17" s="35" t="inlineStr">
        <is>
          <t>Car/Auto</t>
        </is>
      </c>
      <c r="B17" s="39" t="inlineStr">
        <is>
          <t>Expense</t>
        </is>
      </c>
      <c r="C17" s="47">
        <f>IFERROR(SUMIFS(Transactions!$F$2:$F$601,Transactions!$H$2:$H$601,Settings!$B$2,Transactions!$G$2:$G$601,1,Transactions!$C$2:$C$601,A17),0)</f>
        <v/>
      </c>
      <c r="D17" s="47">
        <f>IFERROR(SUMIFS(Transactions!$F$2:$F$601,Transactions!$H$2:$H$601,Settings!$B$2,Transactions!$G$2:$G$601,2,Transactions!$C$2:$C$601,A17),0)</f>
        <v/>
      </c>
      <c r="E17" s="47">
        <f>IFERROR(SUMIFS(Transactions!$F$2:$F$601,Transactions!$H$2:$H$601,Settings!$B$2,Transactions!$G$2:$G$601,3,Transactions!$C$2:$C$601,A17),0)</f>
        <v/>
      </c>
      <c r="F17" s="47">
        <f>IFERROR(SUMIFS(Transactions!$F$2:$F$601,Transactions!$H$2:$H$601,Settings!$B$2,Transactions!$G$2:$G$601,4,Transactions!$C$2:$C$601,A17),0)</f>
        <v/>
      </c>
      <c r="G17" s="47">
        <f>IFERROR(SUMIFS(Transactions!$F$2:$F$601,Transactions!$H$2:$H$601,Settings!$B$2,Transactions!$G$2:$G$601,5,Transactions!$C$2:$C$601,A17),0)</f>
        <v/>
      </c>
      <c r="H17" s="47">
        <f>IFERROR(SUMIFS(Transactions!$F$2:$F$601,Transactions!$H$2:$H$601,Settings!$B$2,Transactions!$G$2:$G$601,6,Transactions!$C$2:$C$601,A17),0)</f>
        <v/>
      </c>
      <c r="I17" s="47">
        <f>IFERROR(SUMIFS(Transactions!$F$2:$F$601,Transactions!$H$2:$H$601,Settings!$B$2,Transactions!$G$2:$G$601,7,Transactions!$C$2:$C$601,A17),0)</f>
        <v/>
      </c>
      <c r="J17" s="47">
        <f>IFERROR(SUMIFS(Transactions!$F$2:$F$601,Transactions!$H$2:$H$601,Settings!$B$2,Transactions!$G$2:$G$601,8,Transactions!$C$2:$C$601,A17),0)</f>
        <v/>
      </c>
      <c r="K17" s="47">
        <f>IFERROR(SUMIFS(Transactions!$F$2:$F$601,Transactions!$H$2:$H$601,Settings!$B$2,Transactions!$G$2:$G$601,9,Transactions!$C$2:$C$601,A17),0)</f>
        <v/>
      </c>
      <c r="L17" s="47">
        <f>IFERROR(SUMIFS(Transactions!$F$2:$F$601,Transactions!$H$2:$H$601,Settings!$B$2,Transactions!$G$2:$G$601,10,Transactions!$C$2:$C$601,A17),0)</f>
        <v/>
      </c>
      <c r="M17" s="47">
        <f>IFERROR(SUMIFS(Transactions!$F$2:$F$601,Transactions!$H$2:$H$601,Settings!$B$2,Transactions!$G$2:$G$601,11,Transactions!$C$2:$C$601,A17),0)</f>
        <v/>
      </c>
      <c r="N17" s="47">
        <f>IFERROR(SUMIFS(Transactions!$F$2:$F$601,Transactions!$H$2:$H$601,Settings!$B$2,Transactions!$G$2:$G$601,12,Transactions!$C$2:$C$601,A17),0)</f>
        <v/>
      </c>
      <c r="O17" s="48">
        <f>SUM(C17:N17)</f>
        <v/>
      </c>
    </row>
    <row r="18">
      <c r="A18" s="35" t="inlineStr">
        <is>
          <t>Insurance</t>
        </is>
      </c>
      <c r="B18" s="39" t="inlineStr">
        <is>
          <t>Expense</t>
        </is>
      </c>
      <c r="C18" s="47">
        <f>IFERROR(SUMIFS(Transactions!$F$2:$F$601,Transactions!$H$2:$H$601,Settings!$B$2,Transactions!$G$2:$G$601,1,Transactions!$C$2:$C$601,A18),0)</f>
        <v/>
      </c>
      <c r="D18" s="47">
        <f>IFERROR(SUMIFS(Transactions!$F$2:$F$601,Transactions!$H$2:$H$601,Settings!$B$2,Transactions!$G$2:$G$601,2,Transactions!$C$2:$C$601,A18),0)</f>
        <v/>
      </c>
      <c r="E18" s="47">
        <f>IFERROR(SUMIFS(Transactions!$F$2:$F$601,Transactions!$H$2:$H$601,Settings!$B$2,Transactions!$G$2:$G$601,3,Transactions!$C$2:$C$601,A18),0)</f>
        <v/>
      </c>
      <c r="F18" s="47">
        <f>IFERROR(SUMIFS(Transactions!$F$2:$F$601,Transactions!$H$2:$H$601,Settings!$B$2,Transactions!$G$2:$G$601,4,Transactions!$C$2:$C$601,A18),0)</f>
        <v/>
      </c>
      <c r="G18" s="47">
        <f>IFERROR(SUMIFS(Transactions!$F$2:$F$601,Transactions!$H$2:$H$601,Settings!$B$2,Transactions!$G$2:$G$601,5,Transactions!$C$2:$C$601,A18),0)</f>
        <v/>
      </c>
      <c r="H18" s="47">
        <f>IFERROR(SUMIFS(Transactions!$F$2:$F$601,Transactions!$H$2:$H$601,Settings!$B$2,Transactions!$G$2:$G$601,6,Transactions!$C$2:$C$601,A18),0)</f>
        <v/>
      </c>
      <c r="I18" s="47">
        <f>IFERROR(SUMIFS(Transactions!$F$2:$F$601,Transactions!$H$2:$H$601,Settings!$B$2,Transactions!$G$2:$G$601,7,Transactions!$C$2:$C$601,A18),0)</f>
        <v/>
      </c>
      <c r="J18" s="47">
        <f>IFERROR(SUMIFS(Transactions!$F$2:$F$601,Transactions!$H$2:$H$601,Settings!$B$2,Transactions!$G$2:$G$601,8,Transactions!$C$2:$C$601,A18),0)</f>
        <v/>
      </c>
      <c r="K18" s="47">
        <f>IFERROR(SUMIFS(Transactions!$F$2:$F$601,Transactions!$H$2:$H$601,Settings!$B$2,Transactions!$G$2:$G$601,9,Transactions!$C$2:$C$601,A18),0)</f>
        <v/>
      </c>
      <c r="L18" s="47">
        <f>IFERROR(SUMIFS(Transactions!$F$2:$F$601,Transactions!$H$2:$H$601,Settings!$B$2,Transactions!$G$2:$G$601,10,Transactions!$C$2:$C$601,A18),0)</f>
        <v/>
      </c>
      <c r="M18" s="47">
        <f>IFERROR(SUMIFS(Transactions!$F$2:$F$601,Transactions!$H$2:$H$601,Settings!$B$2,Transactions!$G$2:$G$601,11,Transactions!$C$2:$C$601,A18),0)</f>
        <v/>
      </c>
      <c r="N18" s="47">
        <f>IFERROR(SUMIFS(Transactions!$F$2:$F$601,Transactions!$H$2:$H$601,Settings!$B$2,Transactions!$G$2:$G$601,12,Transactions!$C$2:$C$601,A18),0)</f>
        <v/>
      </c>
      <c r="O18" s="48">
        <f>SUM(C18:N18)</f>
        <v/>
      </c>
    </row>
    <row r="19">
      <c r="A19" s="35" t="inlineStr">
        <is>
          <t>Health</t>
        </is>
      </c>
      <c r="B19" s="39" t="inlineStr">
        <is>
          <t>Expense</t>
        </is>
      </c>
      <c r="C19" s="47">
        <f>IFERROR(SUMIFS(Transactions!$F$2:$F$601,Transactions!$H$2:$H$601,Settings!$B$2,Transactions!$G$2:$G$601,1,Transactions!$C$2:$C$601,A19),0)</f>
        <v/>
      </c>
      <c r="D19" s="47">
        <f>IFERROR(SUMIFS(Transactions!$F$2:$F$601,Transactions!$H$2:$H$601,Settings!$B$2,Transactions!$G$2:$G$601,2,Transactions!$C$2:$C$601,A19),0)</f>
        <v/>
      </c>
      <c r="E19" s="47">
        <f>IFERROR(SUMIFS(Transactions!$F$2:$F$601,Transactions!$H$2:$H$601,Settings!$B$2,Transactions!$G$2:$G$601,3,Transactions!$C$2:$C$601,A19),0)</f>
        <v/>
      </c>
      <c r="F19" s="47">
        <f>IFERROR(SUMIFS(Transactions!$F$2:$F$601,Transactions!$H$2:$H$601,Settings!$B$2,Transactions!$G$2:$G$601,4,Transactions!$C$2:$C$601,A19),0)</f>
        <v/>
      </c>
      <c r="G19" s="47">
        <f>IFERROR(SUMIFS(Transactions!$F$2:$F$601,Transactions!$H$2:$H$601,Settings!$B$2,Transactions!$G$2:$G$601,5,Transactions!$C$2:$C$601,A19),0)</f>
        <v/>
      </c>
      <c r="H19" s="47">
        <f>IFERROR(SUMIFS(Transactions!$F$2:$F$601,Transactions!$H$2:$H$601,Settings!$B$2,Transactions!$G$2:$G$601,6,Transactions!$C$2:$C$601,A19),0)</f>
        <v/>
      </c>
      <c r="I19" s="47">
        <f>IFERROR(SUMIFS(Transactions!$F$2:$F$601,Transactions!$H$2:$H$601,Settings!$B$2,Transactions!$G$2:$G$601,7,Transactions!$C$2:$C$601,A19),0)</f>
        <v/>
      </c>
      <c r="J19" s="47">
        <f>IFERROR(SUMIFS(Transactions!$F$2:$F$601,Transactions!$H$2:$H$601,Settings!$B$2,Transactions!$G$2:$G$601,8,Transactions!$C$2:$C$601,A19),0)</f>
        <v/>
      </c>
      <c r="K19" s="47">
        <f>IFERROR(SUMIFS(Transactions!$F$2:$F$601,Transactions!$H$2:$H$601,Settings!$B$2,Transactions!$G$2:$G$601,9,Transactions!$C$2:$C$601,A19),0)</f>
        <v/>
      </c>
      <c r="L19" s="47">
        <f>IFERROR(SUMIFS(Transactions!$F$2:$F$601,Transactions!$H$2:$H$601,Settings!$B$2,Transactions!$G$2:$G$601,10,Transactions!$C$2:$C$601,A19),0)</f>
        <v/>
      </c>
      <c r="M19" s="47">
        <f>IFERROR(SUMIFS(Transactions!$F$2:$F$601,Transactions!$H$2:$H$601,Settings!$B$2,Transactions!$G$2:$G$601,11,Transactions!$C$2:$C$601,A19),0)</f>
        <v/>
      </c>
      <c r="N19" s="47">
        <f>IFERROR(SUMIFS(Transactions!$F$2:$F$601,Transactions!$H$2:$H$601,Settings!$B$2,Transactions!$G$2:$G$601,12,Transactions!$C$2:$C$601,A19),0)</f>
        <v/>
      </c>
      <c r="O19" s="48">
        <f>SUM(C19:N19)</f>
        <v/>
      </c>
    </row>
    <row r="20">
      <c r="A20" s="35" t="inlineStr">
        <is>
          <t>Phone</t>
        </is>
      </c>
      <c r="B20" s="39" t="inlineStr">
        <is>
          <t>Expense</t>
        </is>
      </c>
      <c r="C20" s="47">
        <f>IFERROR(SUMIFS(Transactions!$F$2:$F$601,Transactions!$H$2:$H$601,Settings!$B$2,Transactions!$G$2:$G$601,1,Transactions!$C$2:$C$601,A20),0)</f>
        <v/>
      </c>
      <c r="D20" s="47">
        <f>IFERROR(SUMIFS(Transactions!$F$2:$F$601,Transactions!$H$2:$H$601,Settings!$B$2,Transactions!$G$2:$G$601,2,Transactions!$C$2:$C$601,A20),0)</f>
        <v/>
      </c>
      <c r="E20" s="47">
        <f>IFERROR(SUMIFS(Transactions!$F$2:$F$601,Transactions!$H$2:$H$601,Settings!$B$2,Transactions!$G$2:$G$601,3,Transactions!$C$2:$C$601,A20),0)</f>
        <v/>
      </c>
      <c r="F20" s="47">
        <f>IFERROR(SUMIFS(Transactions!$F$2:$F$601,Transactions!$H$2:$H$601,Settings!$B$2,Transactions!$G$2:$G$601,4,Transactions!$C$2:$C$601,A20),0)</f>
        <v/>
      </c>
      <c r="G20" s="47">
        <f>IFERROR(SUMIFS(Transactions!$F$2:$F$601,Transactions!$H$2:$H$601,Settings!$B$2,Transactions!$G$2:$G$601,5,Transactions!$C$2:$C$601,A20),0)</f>
        <v/>
      </c>
      <c r="H20" s="47">
        <f>IFERROR(SUMIFS(Transactions!$F$2:$F$601,Transactions!$H$2:$H$601,Settings!$B$2,Transactions!$G$2:$G$601,6,Transactions!$C$2:$C$601,A20),0)</f>
        <v/>
      </c>
      <c r="I20" s="47">
        <f>IFERROR(SUMIFS(Transactions!$F$2:$F$601,Transactions!$H$2:$H$601,Settings!$B$2,Transactions!$G$2:$G$601,7,Transactions!$C$2:$C$601,A20),0)</f>
        <v/>
      </c>
      <c r="J20" s="47">
        <f>IFERROR(SUMIFS(Transactions!$F$2:$F$601,Transactions!$H$2:$H$601,Settings!$B$2,Transactions!$G$2:$G$601,8,Transactions!$C$2:$C$601,A20),0)</f>
        <v/>
      </c>
      <c r="K20" s="47">
        <f>IFERROR(SUMIFS(Transactions!$F$2:$F$601,Transactions!$H$2:$H$601,Settings!$B$2,Transactions!$G$2:$G$601,9,Transactions!$C$2:$C$601,A20),0)</f>
        <v/>
      </c>
      <c r="L20" s="47">
        <f>IFERROR(SUMIFS(Transactions!$F$2:$F$601,Transactions!$H$2:$H$601,Settings!$B$2,Transactions!$G$2:$G$601,10,Transactions!$C$2:$C$601,A20),0)</f>
        <v/>
      </c>
      <c r="M20" s="47">
        <f>IFERROR(SUMIFS(Transactions!$F$2:$F$601,Transactions!$H$2:$H$601,Settings!$B$2,Transactions!$G$2:$G$601,11,Transactions!$C$2:$C$601,A20),0)</f>
        <v/>
      </c>
      <c r="N20" s="47">
        <f>IFERROR(SUMIFS(Transactions!$F$2:$F$601,Transactions!$H$2:$H$601,Settings!$B$2,Transactions!$G$2:$G$601,12,Transactions!$C$2:$C$601,A20),0)</f>
        <v/>
      </c>
      <c r="O20" s="48">
        <f>SUM(C20:N20)</f>
        <v/>
      </c>
    </row>
    <row r="21">
      <c r="A21" s="35" t="inlineStr">
        <is>
          <t>Internet</t>
        </is>
      </c>
      <c r="B21" s="39" t="inlineStr">
        <is>
          <t>Expense</t>
        </is>
      </c>
      <c r="C21" s="47">
        <f>IFERROR(SUMIFS(Transactions!$F$2:$F$601,Transactions!$H$2:$H$601,Settings!$B$2,Transactions!$G$2:$G$601,1,Transactions!$C$2:$C$601,A21),0)</f>
        <v/>
      </c>
      <c r="D21" s="47">
        <f>IFERROR(SUMIFS(Transactions!$F$2:$F$601,Transactions!$H$2:$H$601,Settings!$B$2,Transactions!$G$2:$G$601,2,Transactions!$C$2:$C$601,A21),0)</f>
        <v/>
      </c>
      <c r="E21" s="47">
        <f>IFERROR(SUMIFS(Transactions!$F$2:$F$601,Transactions!$H$2:$H$601,Settings!$B$2,Transactions!$G$2:$G$601,3,Transactions!$C$2:$C$601,A21),0)</f>
        <v/>
      </c>
      <c r="F21" s="47">
        <f>IFERROR(SUMIFS(Transactions!$F$2:$F$601,Transactions!$H$2:$H$601,Settings!$B$2,Transactions!$G$2:$G$601,4,Transactions!$C$2:$C$601,A21),0)</f>
        <v/>
      </c>
      <c r="G21" s="47">
        <f>IFERROR(SUMIFS(Transactions!$F$2:$F$601,Transactions!$H$2:$H$601,Settings!$B$2,Transactions!$G$2:$G$601,5,Transactions!$C$2:$C$601,A21),0)</f>
        <v/>
      </c>
      <c r="H21" s="47">
        <f>IFERROR(SUMIFS(Transactions!$F$2:$F$601,Transactions!$H$2:$H$601,Settings!$B$2,Transactions!$G$2:$G$601,6,Transactions!$C$2:$C$601,A21),0)</f>
        <v/>
      </c>
      <c r="I21" s="47">
        <f>IFERROR(SUMIFS(Transactions!$F$2:$F$601,Transactions!$H$2:$H$601,Settings!$B$2,Transactions!$G$2:$G$601,7,Transactions!$C$2:$C$601,A21),0)</f>
        <v/>
      </c>
      <c r="J21" s="47">
        <f>IFERROR(SUMIFS(Transactions!$F$2:$F$601,Transactions!$H$2:$H$601,Settings!$B$2,Transactions!$G$2:$G$601,8,Transactions!$C$2:$C$601,A21),0)</f>
        <v/>
      </c>
      <c r="K21" s="47">
        <f>IFERROR(SUMIFS(Transactions!$F$2:$F$601,Transactions!$H$2:$H$601,Settings!$B$2,Transactions!$G$2:$G$601,9,Transactions!$C$2:$C$601,A21),0)</f>
        <v/>
      </c>
      <c r="L21" s="47">
        <f>IFERROR(SUMIFS(Transactions!$F$2:$F$601,Transactions!$H$2:$H$601,Settings!$B$2,Transactions!$G$2:$G$601,10,Transactions!$C$2:$C$601,A21),0)</f>
        <v/>
      </c>
      <c r="M21" s="47">
        <f>IFERROR(SUMIFS(Transactions!$F$2:$F$601,Transactions!$H$2:$H$601,Settings!$B$2,Transactions!$G$2:$G$601,11,Transactions!$C$2:$C$601,A21),0)</f>
        <v/>
      </c>
      <c r="N21" s="47">
        <f>IFERROR(SUMIFS(Transactions!$F$2:$F$601,Transactions!$H$2:$H$601,Settings!$B$2,Transactions!$G$2:$G$601,12,Transactions!$C$2:$C$601,A21),0)</f>
        <v/>
      </c>
      <c r="O21" s="48">
        <f>SUM(C21:N21)</f>
        <v/>
      </c>
    </row>
    <row r="22">
      <c r="A22" s="35" t="inlineStr">
        <is>
          <t>Subscriptions</t>
        </is>
      </c>
      <c r="B22" s="39" t="inlineStr">
        <is>
          <t>Expense</t>
        </is>
      </c>
      <c r="C22" s="47">
        <f>IFERROR(SUMIFS(Transactions!$F$2:$F$601,Transactions!$H$2:$H$601,Settings!$B$2,Transactions!$G$2:$G$601,1,Transactions!$C$2:$C$601,A22),0)</f>
        <v/>
      </c>
      <c r="D22" s="47">
        <f>IFERROR(SUMIFS(Transactions!$F$2:$F$601,Transactions!$H$2:$H$601,Settings!$B$2,Transactions!$G$2:$G$601,2,Transactions!$C$2:$C$601,A22),0)</f>
        <v/>
      </c>
      <c r="E22" s="47">
        <f>IFERROR(SUMIFS(Transactions!$F$2:$F$601,Transactions!$H$2:$H$601,Settings!$B$2,Transactions!$G$2:$G$601,3,Transactions!$C$2:$C$601,A22),0)</f>
        <v/>
      </c>
      <c r="F22" s="47">
        <f>IFERROR(SUMIFS(Transactions!$F$2:$F$601,Transactions!$H$2:$H$601,Settings!$B$2,Transactions!$G$2:$G$601,4,Transactions!$C$2:$C$601,A22),0)</f>
        <v/>
      </c>
      <c r="G22" s="47">
        <f>IFERROR(SUMIFS(Transactions!$F$2:$F$601,Transactions!$H$2:$H$601,Settings!$B$2,Transactions!$G$2:$G$601,5,Transactions!$C$2:$C$601,A22),0)</f>
        <v/>
      </c>
      <c r="H22" s="47">
        <f>IFERROR(SUMIFS(Transactions!$F$2:$F$601,Transactions!$H$2:$H$601,Settings!$B$2,Transactions!$G$2:$G$601,6,Transactions!$C$2:$C$601,A22),0)</f>
        <v/>
      </c>
      <c r="I22" s="47">
        <f>IFERROR(SUMIFS(Transactions!$F$2:$F$601,Transactions!$H$2:$H$601,Settings!$B$2,Transactions!$G$2:$G$601,7,Transactions!$C$2:$C$601,A22),0)</f>
        <v/>
      </c>
      <c r="J22" s="47">
        <f>IFERROR(SUMIFS(Transactions!$F$2:$F$601,Transactions!$H$2:$H$601,Settings!$B$2,Transactions!$G$2:$G$601,8,Transactions!$C$2:$C$601,A22),0)</f>
        <v/>
      </c>
      <c r="K22" s="47">
        <f>IFERROR(SUMIFS(Transactions!$F$2:$F$601,Transactions!$H$2:$H$601,Settings!$B$2,Transactions!$G$2:$G$601,9,Transactions!$C$2:$C$601,A22),0)</f>
        <v/>
      </c>
      <c r="L22" s="47">
        <f>IFERROR(SUMIFS(Transactions!$F$2:$F$601,Transactions!$H$2:$H$601,Settings!$B$2,Transactions!$G$2:$G$601,10,Transactions!$C$2:$C$601,A22),0)</f>
        <v/>
      </c>
      <c r="M22" s="47">
        <f>IFERROR(SUMIFS(Transactions!$F$2:$F$601,Transactions!$H$2:$H$601,Settings!$B$2,Transactions!$G$2:$G$601,11,Transactions!$C$2:$C$601,A22),0)</f>
        <v/>
      </c>
      <c r="N22" s="47">
        <f>IFERROR(SUMIFS(Transactions!$F$2:$F$601,Transactions!$H$2:$H$601,Settings!$B$2,Transactions!$G$2:$G$601,12,Transactions!$C$2:$C$601,A22),0)</f>
        <v/>
      </c>
      <c r="O22" s="48">
        <f>SUM(C22:N22)</f>
        <v/>
      </c>
    </row>
    <row r="23">
      <c r="A23" s="35" t="inlineStr">
        <is>
          <t>Entertainment</t>
        </is>
      </c>
      <c r="B23" s="39" t="inlineStr">
        <is>
          <t>Expense</t>
        </is>
      </c>
      <c r="C23" s="47">
        <f>IFERROR(SUMIFS(Transactions!$F$2:$F$601,Transactions!$H$2:$H$601,Settings!$B$2,Transactions!$G$2:$G$601,1,Transactions!$C$2:$C$601,A23),0)</f>
        <v/>
      </c>
      <c r="D23" s="47">
        <f>IFERROR(SUMIFS(Transactions!$F$2:$F$601,Transactions!$H$2:$H$601,Settings!$B$2,Transactions!$G$2:$G$601,2,Transactions!$C$2:$C$601,A23),0)</f>
        <v/>
      </c>
      <c r="E23" s="47">
        <f>IFERROR(SUMIFS(Transactions!$F$2:$F$601,Transactions!$H$2:$H$601,Settings!$B$2,Transactions!$G$2:$G$601,3,Transactions!$C$2:$C$601,A23),0)</f>
        <v/>
      </c>
      <c r="F23" s="47">
        <f>IFERROR(SUMIFS(Transactions!$F$2:$F$601,Transactions!$H$2:$H$601,Settings!$B$2,Transactions!$G$2:$G$601,4,Transactions!$C$2:$C$601,A23),0)</f>
        <v/>
      </c>
      <c r="G23" s="47">
        <f>IFERROR(SUMIFS(Transactions!$F$2:$F$601,Transactions!$H$2:$H$601,Settings!$B$2,Transactions!$G$2:$G$601,5,Transactions!$C$2:$C$601,A23),0)</f>
        <v/>
      </c>
      <c r="H23" s="47">
        <f>IFERROR(SUMIFS(Transactions!$F$2:$F$601,Transactions!$H$2:$H$601,Settings!$B$2,Transactions!$G$2:$G$601,6,Transactions!$C$2:$C$601,A23),0)</f>
        <v/>
      </c>
      <c r="I23" s="47">
        <f>IFERROR(SUMIFS(Transactions!$F$2:$F$601,Transactions!$H$2:$H$601,Settings!$B$2,Transactions!$G$2:$G$601,7,Transactions!$C$2:$C$601,A23),0)</f>
        <v/>
      </c>
      <c r="J23" s="47">
        <f>IFERROR(SUMIFS(Transactions!$F$2:$F$601,Transactions!$H$2:$H$601,Settings!$B$2,Transactions!$G$2:$G$601,8,Transactions!$C$2:$C$601,A23),0)</f>
        <v/>
      </c>
      <c r="K23" s="47">
        <f>IFERROR(SUMIFS(Transactions!$F$2:$F$601,Transactions!$H$2:$H$601,Settings!$B$2,Transactions!$G$2:$G$601,9,Transactions!$C$2:$C$601,A23),0)</f>
        <v/>
      </c>
      <c r="L23" s="47">
        <f>IFERROR(SUMIFS(Transactions!$F$2:$F$601,Transactions!$H$2:$H$601,Settings!$B$2,Transactions!$G$2:$G$601,10,Transactions!$C$2:$C$601,A23),0)</f>
        <v/>
      </c>
      <c r="M23" s="47">
        <f>IFERROR(SUMIFS(Transactions!$F$2:$F$601,Transactions!$H$2:$H$601,Settings!$B$2,Transactions!$G$2:$G$601,11,Transactions!$C$2:$C$601,A23),0)</f>
        <v/>
      </c>
      <c r="N23" s="47">
        <f>IFERROR(SUMIFS(Transactions!$F$2:$F$601,Transactions!$H$2:$H$601,Settings!$B$2,Transactions!$G$2:$G$601,12,Transactions!$C$2:$C$601,A23),0)</f>
        <v/>
      </c>
      <c r="O23" s="48">
        <f>SUM(C23:N23)</f>
        <v/>
      </c>
    </row>
    <row r="24">
      <c r="A24" s="35" t="inlineStr">
        <is>
          <t>Shopping</t>
        </is>
      </c>
      <c r="B24" s="39" t="inlineStr">
        <is>
          <t>Expense</t>
        </is>
      </c>
      <c r="C24" s="47">
        <f>IFERROR(SUMIFS(Transactions!$F$2:$F$601,Transactions!$H$2:$H$601,Settings!$B$2,Transactions!$G$2:$G$601,1,Transactions!$C$2:$C$601,A24),0)</f>
        <v/>
      </c>
      <c r="D24" s="47">
        <f>IFERROR(SUMIFS(Transactions!$F$2:$F$601,Transactions!$H$2:$H$601,Settings!$B$2,Transactions!$G$2:$G$601,2,Transactions!$C$2:$C$601,A24),0)</f>
        <v/>
      </c>
      <c r="E24" s="47">
        <f>IFERROR(SUMIFS(Transactions!$F$2:$F$601,Transactions!$H$2:$H$601,Settings!$B$2,Transactions!$G$2:$G$601,3,Transactions!$C$2:$C$601,A24),0)</f>
        <v/>
      </c>
      <c r="F24" s="47">
        <f>IFERROR(SUMIFS(Transactions!$F$2:$F$601,Transactions!$H$2:$H$601,Settings!$B$2,Transactions!$G$2:$G$601,4,Transactions!$C$2:$C$601,A24),0)</f>
        <v/>
      </c>
      <c r="G24" s="47">
        <f>IFERROR(SUMIFS(Transactions!$F$2:$F$601,Transactions!$H$2:$H$601,Settings!$B$2,Transactions!$G$2:$G$601,5,Transactions!$C$2:$C$601,A24),0)</f>
        <v/>
      </c>
      <c r="H24" s="47">
        <f>IFERROR(SUMIFS(Transactions!$F$2:$F$601,Transactions!$H$2:$H$601,Settings!$B$2,Transactions!$G$2:$G$601,6,Transactions!$C$2:$C$601,A24),0)</f>
        <v/>
      </c>
      <c r="I24" s="47">
        <f>IFERROR(SUMIFS(Transactions!$F$2:$F$601,Transactions!$H$2:$H$601,Settings!$B$2,Transactions!$G$2:$G$601,7,Transactions!$C$2:$C$601,A24),0)</f>
        <v/>
      </c>
      <c r="J24" s="47">
        <f>IFERROR(SUMIFS(Transactions!$F$2:$F$601,Transactions!$H$2:$H$601,Settings!$B$2,Transactions!$G$2:$G$601,8,Transactions!$C$2:$C$601,A24),0)</f>
        <v/>
      </c>
      <c r="K24" s="47">
        <f>IFERROR(SUMIFS(Transactions!$F$2:$F$601,Transactions!$H$2:$H$601,Settings!$B$2,Transactions!$G$2:$G$601,9,Transactions!$C$2:$C$601,A24),0)</f>
        <v/>
      </c>
      <c r="L24" s="47">
        <f>IFERROR(SUMIFS(Transactions!$F$2:$F$601,Transactions!$H$2:$H$601,Settings!$B$2,Transactions!$G$2:$G$601,10,Transactions!$C$2:$C$601,A24),0)</f>
        <v/>
      </c>
      <c r="M24" s="47">
        <f>IFERROR(SUMIFS(Transactions!$F$2:$F$601,Transactions!$H$2:$H$601,Settings!$B$2,Transactions!$G$2:$G$601,11,Transactions!$C$2:$C$601,A24),0)</f>
        <v/>
      </c>
      <c r="N24" s="47">
        <f>IFERROR(SUMIFS(Transactions!$F$2:$F$601,Transactions!$H$2:$H$601,Settings!$B$2,Transactions!$G$2:$G$601,12,Transactions!$C$2:$C$601,A24),0)</f>
        <v/>
      </c>
      <c r="O24" s="48">
        <f>SUM(C24:N24)</f>
        <v/>
      </c>
    </row>
    <row r="25">
      <c r="A25" s="35" t="inlineStr">
        <is>
          <t>Clothing</t>
        </is>
      </c>
      <c r="B25" s="39" t="inlineStr">
        <is>
          <t>Expense</t>
        </is>
      </c>
      <c r="C25" s="47">
        <f>IFERROR(SUMIFS(Transactions!$F$2:$F$601,Transactions!$H$2:$H$601,Settings!$B$2,Transactions!$G$2:$G$601,1,Transactions!$C$2:$C$601,A25),0)</f>
        <v/>
      </c>
      <c r="D25" s="47">
        <f>IFERROR(SUMIFS(Transactions!$F$2:$F$601,Transactions!$H$2:$H$601,Settings!$B$2,Transactions!$G$2:$G$601,2,Transactions!$C$2:$C$601,A25),0)</f>
        <v/>
      </c>
      <c r="E25" s="47">
        <f>IFERROR(SUMIFS(Transactions!$F$2:$F$601,Transactions!$H$2:$H$601,Settings!$B$2,Transactions!$G$2:$G$601,3,Transactions!$C$2:$C$601,A25),0)</f>
        <v/>
      </c>
      <c r="F25" s="47">
        <f>IFERROR(SUMIFS(Transactions!$F$2:$F$601,Transactions!$H$2:$H$601,Settings!$B$2,Transactions!$G$2:$G$601,4,Transactions!$C$2:$C$601,A25),0)</f>
        <v/>
      </c>
      <c r="G25" s="47">
        <f>IFERROR(SUMIFS(Transactions!$F$2:$F$601,Transactions!$H$2:$H$601,Settings!$B$2,Transactions!$G$2:$G$601,5,Transactions!$C$2:$C$601,A25),0)</f>
        <v/>
      </c>
      <c r="H25" s="47">
        <f>IFERROR(SUMIFS(Transactions!$F$2:$F$601,Transactions!$H$2:$H$601,Settings!$B$2,Transactions!$G$2:$G$601,6,Transactions!$C$2:$C$601,A25),0)</f>
        <v/>
      </c>
      <c r="I25" s="47">
        <f>IFERROR(SUMIFS(Transactions!$F$2:$F$601,Transactions!$H$2:$H$601,Settings!$B$2,Transactions!$G$2:$G$601,7,Transactions!$C$2:$C$601,A25),0)</f>
        <v/>
      </c>
      <c r="J25" s="47">
        <f>IFERROR(SUMIFS(Transactions!$F$2:$F$601,Transactions!$H$2:$H$601,Settings!$B$2,Transactions!$G$2:$G$601,8,Transactions!$C$2:$C$601,A25),0)</f>
        <v/>
      </c>
      <c r="K25" s="47">
        <f>IFERROR(SUMIFS(Transactions!$F$2:$F$601,Transactions!$H$2:$H$601,Settings!$B$2,Transactions!$G$2:$G$601,9,Transactions!$C$2:$C$601,A25),0)</f>
        <v/>
      </c>
      <c r="L25" s="47">
        <f>IFERROR(SUMIFS(Transactions!$F$2:$F$601,Transactions!$H$2:$H$601,Settings!$B$2,Transactions!$G$2:$G$601,10,Transactions!$C$2:$C$601,A25),0)</f>
        <v/>
      </c>
      <c r="M25" s="47">
        <f>IFERROR(SUMIFS(Transactions!$F$2:$F$601,Transactions!$H$2:$H$601,Settings!$B$2,Transactions!$G$2:$G$601,11,Transactions!$C$2:$C$601,A25),0)</f>
        <v/>
      </c>
      <c r="N25" s="47">
        <f>IFERROR(SUMIFS(Transactions!$F$2:$F$601,Transactions!$H$2:$H$601,Settings!$B$2,Transactions!$G$2:$G$601,12,Transactions!$C$2:$C$601,A25),0)</f>
        <v/>
      </c>
      <c r="O25" s="48">
        <f>SUM(C25:N25)</f>
        <v/>
      </c>
    </row>
    <row r="26">
      <c r="A26" s="35" t="inlineStr">
        <is>
          <t>Personal Care</t>
        </is>
      </c>
      <c r="B26" s="39" t="inlineStr">
        <is>
          <t>Expense</t>
        </is>
      </c>
      <c r="C26" s="47">
        <f>IFERROR(SUMIFS(Transactions!$F$2:$F$601,Transactions!$H$2:$H$601,Settings!$B$2,Transactions!$G$2:$G$601,1,Transactions!$C$2:$C$601,A26),0)</f>
        <v/>
      </c>
      <c r="D26" s="47">
        <f>IFERROR(SUMIFS(Transactions!$F$2:$F$601,Transactions!$H$2:$H$601,Settings!$B$2,Transactions!$G$2:$G$601,2,Transactions!$C$2:$C$601,A26),0)</f>
        <v/>
      </c>
      <c r="E26" s="47">
        <f>IFERROR(SUMIFS(Transactions!$F$2:$F$601,Transactions!$H$2:$H$601,Settings!$B$2,Transactions!$G$2:$G$601,3,Transactions!$C$2:$C$601,A26),0)</f>
        <v/>
      </c>
      <c r="F26" s="47">
        <f>IFERROR(SUMIFS(Transactions!$F$2:$F$601,Transactions!$H$2:$H$601,Settings!$B$2,Transactions!$G$2:$G$601,4,Transactions!$C$2:$C$601,A26),0)</f>
        <v/>
      </c>
      <c r="G26" s="47">
        <f>IFERROR(SUMIFS(Transactions!$F$2:$F$601,Transactions!$H$2:$H$601,Settings!$B$2,Transactions!$G$2:$G$601,5,Transactions!$C$2:$C$601,A26),0)</f>
        <v/>
      </c>
      <c r="H26" s="47">
        <f>IFERROR(SUMIFS(Transactions!$F$2:$F$601,Transactions!$H$2:$H$601,Settings!$B$2,Transactions!$G$2:$G$601,6,Transactions!$C$2:$C$601,A26),0)</f>
        <v/>
      </c>
      <c r="I26" s="47">
        <f>IFERROR(SUMIFS(Transactions!$F$2:$F$601,Transactions!$H$2:$H$601,Settings!$B$2,Transactions!$G$2:$G$601,7,Transactions!$C$2:$C$601,A26),0)</f>
        <v/>
      </c>
      <c r="J26" s="47">
        <f>IFERROR(SUMIFS(Transactions!$F$2:$F$601,Transactions!$H$2:$H$601,Settings!$B$2,Transactions!$G$2:$G$601,8,Transactions!$C$2:$C$601,A26),0)</f>
        <v/>
      </c>
      <c r="K26" s="47">
        <f>IFERROR(SUMIFS(Transactions!$F$2:$F$601,Transactions!$H$2:$H$601,Settings!$B$2,Transactions!$G$2:$G$601,9,Transactions!$C$2:$C$601,A26),0)</f>
        <v/>
      </c>
      <c r="L26" s="47">
        <f>IFERROR(SUMIFS(Transactions!$F$2:$F$601,Transactions!$H$2:$H$601,Settings!$B$2,Transactions!$G$2:$G$601,10,Transactions!$C$2:$C$601,A26),0)</f>
        <v/>
      </c>
      <c r="M26" s="47">
        <f>IFERROR(SUMIFS(Transactions!$F$2:$F$601,Transactions!$H$2:$H$601,Settings!$B$2,Transactions!$G$2:$G$601,11,Transactions!$C$2:$C$601,A26),0)</f>
        <v/>
      </c>
      <c r="N26" s="47">
        <f>IFERROR(SUMIFS(Transactions!$F$2:$F$601,Transactions!$H$2:$H$601,Settings!$B$2,Transactions!$G$2:$G$601,12,Transactions!$C$2:$C$601,A26),0)</f>
        <v/>
      </c>
      <c r="O26" s="48">
        <f>SUM(C26:N26)</f>
        <v/>
      </c>
    </row>
    <row r="27">
      <c r="A27" s="35" t="inlineStr">
        <is>
          <t>Gym/Fitness</t>
        </is>
      </c>
      <c r="B27" s="39" t="inlineStr">
        <is>
          <t>Expense</t>
        </is>
      </c>
      <c r="C27" s="47">
        <f>IFERROR(SUMIFS(Transactions!$F$2:$F$601,Transactions!$H$2:$H$601,Settings!$B$2,Transactions!$G$2:$G$601,1,Transactions!$C$2:$C$601,A27),0)</f>
        <v/>
      </c>
      <c r="D27" s="47">
        <f>IFERROR(SUMIFS(Transactions!$F$2:$F$601,Transactions!$H$2:$H$601,Settings!$B$2,Transactions!$G$2:$G$601,2,Transactions!$C$2:$C$601,A27),0)</f>
        <v/>
      </c>
      <c r="E27" s="47">
        <f>IFERROR(SUMIFS(Transactions!$F$2:$F$601,Transactions!$H$2:$H$601,Settings!$B$2,Transactions!$G$2:$G$601,3,Transactions!$C$2:$C$601,A27),0)</f>
        <v/>
      </c>
      <c r="F27" s="47">
        <f>IFERROR(SUMIFS(Transactions!$F$2:$F$601,Transactions!$H$2:$H$601,Settings!$B$2,Transactions!$G$2:$G$601,4,Transactions!$C$2:$C$601,A27),0)</f>
        <v/>
      </c>
      <c r="G27" s="47">
        <f>IFERROR(SUMIFS(Transactions!$F$2:$F$601,Transactions!$H$2:$H$601,Settings!$B$2,Transactions!$G$2:$G$601,5,Transactions!$C$2:$C$601,A27),0)</f>
        <v/>
      </c>
      <c r="H27" s="47">
        <f>IFERROR(SUMIFS(Transactions!$F$2:$F$601,Transactions!$H$2:$H$601,Settings!$B$2,Transactions!$G$2:$G$601,6,Transactions!$C$2:$C$601,A27),0)</f>
        <v/>
      </c>
      <c r="I27" s="47">
        <f>IFERROR(SUMIFS(Transactions!$F$2:$F$601,Transactions!$H$2:$H$601,Settings!$B$2,Transactions!$G$2:$G$601,7,Transactions!$C$2:$C$601,A27),0)</f>
        <v/>
      </c>
      <c r="J27" s="47">
        <f>IFERROR(SUMIFS(Transactions!$F$2:$F$601,Transactions!$H$2:$H$601,Settings!$B$2,Transactions!$G$2:$G$601,8,Transactions!$C$2:$C$601,A27),0)</f>
        <v/>
      </c>
      <c r="K27" s="47">
        <f>IFERROR(SUMIFS(Transactions!$F$2:$F$601,Transactions!$H$2:$H$601,Settings!$B$2,Transactions!$G$2:$G$601,9,Transactions!$C$2:$C$601,A27),0)</f>
        <v/>
      </c>
      <c r="L27" s="47">
        <f>IFERROR(SUMIFS(Transactions!$F$2:$F$601,Transactions!$H$2:$H$601,Settings!$B$2,Transactions!$G$2:$G$601,10,Transactions!$C$2:$C$601,A27),0)</f>
        <v/>
      </c>
      <c r="M27" s="47">
        <f>IFERROR(SUMIFS(Transactions!$F$2:$F$601,Transactions!$H$2:$H$601,Settings!$B$2,Transactions!$G$2:$G$601,11,Transactions!$C$2:$C$601,A27),0)</f>
        <v/>
      </c>
      <c r="N27" s="47">
        <f>IFERROR(SUMIFS(Transactions!$F$2:$F$601,Transactions!$H$2:$H$601,Settings!$B$2,Transactions!$G$2:$G$601,12,Transactions!$C$2:$C$601,A27),0)</f>
        <v/>
      </c>
      <c r="O27" s="48">
        <f>SUM(C27:N27)</f>
        <v/>
      </c>
    </row>
    <row r="28">
      <c r="A28" s="35" t="inlineStr">
        <is>
          <t>Pets</t>
        </is>
      </c>
      <c r="B28" s="39" t="inlineStr">
        <is>
          <t>Expense</t>
        </is>
      </c>
      <c r="C28" s="47">
        <f>IFERROR(SUMIFS(Transactions!$F$2:$F$601,Transactions!$H$2:$H$601,Settings!$B$2,Transactions!$G$2:$G$601,1,Transactions!$C$2:$C$601,A28),0)</f>
        <v/>
      </c>
      <c r="D28" s="47">
        <f>IFERROR(SUMIFS(Transactions!$F$2:$F$601,Transactions!$H$2:$H$601,Settings!$B$2,Transactions!$G$2:$G$601,2,Transactions!$C$2:$C$601,A28),0)</f>
        <v/>
      </c>
      <c r="E28" s="47">
        <f>IFERROR(SUMIFS(Transactions!$F$2:$F$601,Transactions!$H$2:$H$601,Settings!$B$2,Transactions!$G$2:$G$601,3,Transactions!$C$2:$C$601,A28),0)</f>
        <v/>
      </c>
      <c r="F28" s="47">
        <f>IFERROR(SUMIFS(Transactions!$F$2:$F$601,Transactions!$H$2:$H$601,Settings!$B$2,Transactions!$G$2:$G$601,4,Transactions!$C$2:$C$601,A28),0)</f>
        <v/>
      </c>
      <c r="G28" s="47">
        <f>IFERROR(SUMIFS(Transactions!$F$2:$F$601,Transactions!$H$2:$H$601,Settings!$B$2,Transactions!$G$2:$G$601,5,Transactions!$C$2:$C$601,A28),0)</f>
        <v/>
      </c>
      <c r="H28" s="47">
        <f>IFERROR(SUMIFS(Transactions!$F$2:$F$601,Transactions!$H$2:$H$601,Settings!$B$2,Transactions!$G$2:$G$601,6,Transactions!$C$2:$C$601,A28),0)</f>
        <v/>
      </c>
      <c r="I28" s="47">
        <f>IFERROR(SUMIFS(Transactions!$F$2:$F$601,Transactions!$H$2:$H$601,Settings!$B$2,Transactions!$G$2:$G$601,7,Transactions!$C$2:$C$601,A28),0)</f>
        <v/>
      </c>
      <c r="J28" s="47">
        <f>IFERROR(SUMIFS(Transactions!$F$2:$F$601,Transactions!$H$2:$H$601,Settings!$B$2,Transactions!$G$2:$G$601,8,Transactions!$C$2:$C$601,A28),0)</f>
        <v/>
      </c>
      <c r="K28" s="47">
        <f>IFERROR(SUMIFS(Transactions!$F$2:$F$601,Transactions!$H$2:$H$601,Settings!$B$2,Transactions!$G$2:$G$601,9,Transactions!$C$2:$C$601,A28),0)</f>
        <v/>
      </c>
      <c r="L28" s="47">
        <f>IFERROR(SUMIFS(Transactions!$F$2:$F$601,Transactions!$H$2:$H$601,Settings!$B$2,Transactions!$G$2:$G$601,10,Transactions!$C$2:$C$601,A28),0)</f>
        <v/>
      </c>
      <c r="M28" s="47">
        <f>IFERROR(SUMIFS(Transactions!$F$2:$F$601,Transactions!$H$2:$H$601,Settings!$B$2,Transactions!$G$2:$G$601,11,Transactions!$C$2:$C$601,A28),0)</f>
        <v/>
      </c>
      <c r="N28" s="47">
        <f>IFERROR(SUMIFS(Transactions!$F$2:$F$601,Transactions!$H$2:$H$601,Settings!$B$2,Transactions!$G$2:$G$601,12,Transactions!$C$2:$C$601,A28),0)</f>
        <v/>
      </c>
      <c r="O28" s="48">
        <f>SUM(C28:N28)</f>
        <v/>
      </c>
    </row>
    <row r="29">
      <c r="A29" s="35" t="inlineStr">
        <is>
          <t>Kids</t>
        </is>
      </c>
      <c r="B29" s="39" t="inlineStr">
        <is>
          <t>Expense</t>
        </is>
      </c>
      <c r="C29" s="47">
        <f>IFERROR(SUMIFS(Transactions!$F$2:$F$601,Transactions!$H$2:$H$601,Settings!$B$2,Transactions!$G$2:$G$601,1,Transactions!$C$2:$C$601,A29),0)</f>
        <v/>
      </c>
      <c r="D29" s="47">
        <f>IFERROR(SUMIFS(Transactions!$F$2:$F$601,Transactions!$H$2:$H$601,Settings!$B$2,Transactions!$G$2:$G$601,2,Transactions!$C$2:$C$601,A29),0)</f>
        <v/>
      </c>
      <c r="E29" s="47">
        <f>IFERROR(SUMIFS(Transactions!$F$2:$F$601,Transactions!$H$2:$H$601,Settings!$B$2,Transactions!$G$2:$G$601,3,Transactions!$C$2:$C$601,A29),0)</f>
        <v/>
      </c>
      <c r="F29" s="47">
        <f>IFERROR(SUMIFS(Transactions!$F$2:$F$601,Transactions!$H$2:$H$601,Settings!$B$2,Transactions!$G$2:$G$601,4,Transactions!$C$2:$C$601,A29),0)</f>
        <v/>
      </c>
      <c r="G29" s="47">
        <f>IFERROR(SUMIFS(Transactions!$F$2:$F$601,Transactions!$H$2:$H$601,Settings!$B$2,Transactions!$G$2:$G$601,5,Transactions!$C$2:$C$601,A29),0)</f>
        <v/>
      </c>
      <c r="H29" s="47">
        <f>IFERROR(SUMIFS(Transactions!$F$2:$F$601,Transactions!$H$2:$H$601,Settings!$B$2,Transactions!$G$2:$G$601,6,Transactions!$C$2:$C$601,A29),0)</f>
        <v/>
      </c>
      <c r="I29" s="47">
        <f>IFERROR(SUMIFS(Transactions!$F$2:$F$601,Transactions!$H$2:$H$601,Settings!$B$2,Transactions!$G$2:$G$601,7,Transactions!$C$2:$C$601,A29),0)</f>
        <v/>
      </c>
      <c r="J29" s="47">
        <f>IFERROR(SUMIFS(Transactions!$F$2:$F$601,Transactions!$H$2:$H$601,Settings!$B$2,Transactions!$G$2:$G$601,8,Transactions!$C$2:$C$601,A29),0)</f>
        <v/>
      </c>
      <c r="K29" s="47">
        <f>IFERROR(SUMIFS(Transactions!$F$2:$F$601,Transactions!$H$2:$H$601,Settings!$B$2,Transactions!$G$2:$G$601,9,Transactions!$C$2:$C$601,A29),0)</f>
        <v/>
      </c>
      <c r="L29" s="47">
        <f>IFERROR(SUMIFS(Transactions!$F$2:$F$601,Transactions!$H$2:$H$601,Settings!$B$2,Transactions!$G$2:$G$601,10,Transactions!$C$2:$C$601,A29),0)</f>
        <v/>
      </c>
      <c r="M29" s="47">
        <f>IFERROR(SUMIFS(Transactions!$F$2:$F$601,Transactions!$H$2:$H$601,Settings!$B$2,Transactions!$G$2:$G$601,11,Transactions!$C$2:$C$601,A29),0)</f>
        <v/>
      </c>
      <c r="N29" s="47">
        <f>IFERROR(SUMIFS(Transactions!$F$2:$F$601,Transactions!$H$2:$H$601,Settings!$B$2,Transactions!$G$2:$G$601,12,Transactions!$C$2:$C$601,A29),0)</f>
        <v/>
      </c>
      <c r="O29" s="48">
        <f>SUM(C29:N29)</f>
        <v/>
      </c>
    </row>
    <row r="30">
      <c r="A30" s="35" t="inlineStr">
        <is>
          <t>Gifts/Donations</t>
        </is>
      </c>
      <c r="B30" s="39" t="inlineStr">
        <is>
          <t>Expense</t>
        </is>
      </c>
      <c r="C30" s="47">
        <f>IFERROR(SUMIFS(Transactions!$F$2:$F$601,Transactions!$H$2:$H$601,Settings!$B$2,Transactions!$G$2:$G$601,1,Transactions!$C$2:$C$601,A30),0)</f>
        <v/>
      </c>
      <c r="D30" s="47">
        <f>IFERROR(SUMIFS(Transactions!$F$2:$F$601,Transactions!$H$2:$H$601,Settings!$B$2,Transactions!$G$2:$G$601,2,Transactions!$C$2:$C$601,A30),0)</f>
        <v/>
      </c>
      <c r="E30" s="47">
        <f>IFERROR(SUMIFS(Transactions!$F$2:$F$601,Transactions!$H$2:$H$601,Settings!$B$2,Transactions!$G$2:$G$601,3,Transactions!$C$2:$C$601,A30),0)</f>
        <v/>
      </c>
      <c r="F30" s="47">
        <f>IFERROR(SUMIFS(Transactions!$F$2:$F$601,Transactions!$H$2:$H$601,Settings!$B$2,Transactions!$G$2:$G$601,4,Transactions!$C$2:$C$601,A30),0)</f>
        <v/>
      </c>
      <c r="G30" s="47">
        <f>IFERROR(SUMIFS(Transactions!$F$2:$F$601,Transactions!$H$2:$H$601,Settings!$B$2,Transactions!$G$2:$G$601,5,Transactions!$C$2:$C$601,A30),0)</f>
        <v/>
      </c>
      <c r="H30" s="47">
        <f>IFERROR(SUMIFS(Transactions!$F$2:$F$601,Transactions!$H$2:$H$601,Settings!$B$2,Transactions!$G$2:$G$601,6,Transactions!$C$2:$C$601,A30),0)</f>
        <v/>
      </c>
      <c r="I30" s="47">
        <f>IFERROR(SUMIFS(Transactions!$F$2:$F$601,Transactions!$H$2:$H$601,Settings!$B$2,Transactions!$G$2:$G$601,7,Transactions!$C$2:$C$601,A30),0)</f>
        <v/>
      </c>
      <c r="J30" s="47">
        <f>IFERROR(SUMIFS(Transactions!$F$2:$F$601,Transactions!$H$2:$H$601,Settings!$B$2,Transactions!$G$2:$G$601,8,Transactions!$C$2:$C$601,A30),0)</f>
        <v/>
      </c>
      <c r="K30" s="47">
        <f>IFERROR(SUMIFS(Transactions!$F$2:$F$601,Transactions!$H$2:$H$601,Settings!$B$2,Transactions!$G$2:$G$601,9,Transactions!$C$2:$C$601,A30),0)</f>
        <v/>
      </c>
      <c r="L30" s="47">
        <f>IFERROR(SUMIFS(Transactions!$F$2:$F$601,Transactions!$H$2:$H$601,Settings!$B$2,Transactions!$G$2:$G$601,10,Transactions!$C$2:$C$601,A30),0)</f>
        <v/>
      </c>
      <c r="M30" s="47">
        <f>IFERROR(SUMIFS(Transactions!$F$2:$F$601,Transactions!$H$2:$H$601,Settings!$B$2,Transactions!$G$2:$G$601,11,Transactions!$C$2:$C$601,A30),0)</f>
        <v/>
      </c>
      <c r="N30" s="47">
        <f>IFERROR(SUMIFS(Transactions!$F$2:$F$601,Transactions!$H$2:$H$601,Settings!$B$2,Transactions!$G$2:$G$601,12,Transactions!$C$2:$C$601,A30),0)</f>
        <v/>
      </c>
      <c r="O30" s="48">
        <f>SUM(C30:N30)</f>
        <v/>
      </c>
    </row>
    <row r="31">
      <c r="A31" s="35" t="inlineStr">
        <is>
          <t>Travel</t>
        </is>
      </c>
      <c r="B31" s="39" t="inlineStr">
        <is>
          <t>Expense</t>
        </is>
      </c>
      <c r="C31" s="47">
        <f>IFERROR(SUMIFS(Transactions!$F$2:$F$601,Transactions!$H$2:$H$601,Settings!$B$2,Transactions!$G$2:$G$601,1,Transactions!$C$2:$C$601,A31),0)</f>
        <v/>
      </c>
      <c r="D31" s="47">
        <f>IFERROR(SUMIFS(Transactions!$F$2:$F$601,Transactions!$H$2:$H$601,Settings!$B$2,Transactions!$G$2:$G$601,2,Transactions!$C$2:$C$601,A31),0)</f>
        <v/>
      </c>
      <c r="E31" s="47">
        <f>IFERROR(SUMIFS(Transactions!$F$2:$F$601,Transactions!$H$2:$H$601,Settings!$B$2,Transactions!$G$2:$G$601,3,Transactions!$C$2:$C$601,A31),0)</f>
        <v/>
      </c>
      <c r="F31" s="47">
        <f>IFERROR(SUMIFS(Transactions!$F$2:$F$601,Transactions!$H$2:$H$601,Settings!$B$2,Transactions!$G$2:$G$601,4,Transactions!$C$2:$C$601,A31),0)</f>
        <v/>
      </c>
      <c r="G31" s="47">
        <f>IFERROR(SUMIFS(Transactions!$F$2:$F$601,Transactions!$H$2:$H$601,Settings!$B$2,Transactions!$G$2:$G$601,5,Transactions!$C$2:$C$601,A31),0)</f>
        <v/>
      </c>
      <c r="H31" s="47">
        <f>IFERROR(SUMIFS(Transactions!$F$2:$F$601,Transactions!$H$2:$H$601,Settings!$B$2,Transactions!$G$2:$G$601,6,Transactions!$C$2:$C$601,A31),0)</f>
        <v/>
      </c>
      <c r="I31" s="47">
        <f>IFERROR(SUMIFS(Transactions!$F$2:$F$601,Transactions!$H$2:$H$601,Settings!$B$2,Transactions!$G$2:$G$601,7,Transactions!$C$2:$C$601,A31),0)</f>
        <v/>
      </c>
      <c r="J31" s="47">
        <f>IFERROR(SUMIFS(Transactions!$F$2:$F$601,Transactions!$H$2:$H$601,Settings!$B$2,Transactions!$G$2:$G$601,8,Transactions!$C$2:$C$601,A31),0)</f>
        <v/>
      </c>
      <c r="K31" s="47">
        <f>IFERROR(SUMIFS(Transactions!$F$2:$F$601,Transactions!$H$2:$H$601,Settings!$B$2,Transactions!$G$2:$G$601,9,Transactions!$C$2:$C$601,A31),0)</f>
        <v/>
      </c>
      <c r="L31" s="47">
        <f>IFERROR(SUMIFS(Transactions!$F$2:$F$601,Transactions!$H$2:$H$601,Settings!$B$2,Transactions!$G$2:$G$601,10,Transactions!$C$2:$C$601,A31),0)</f>
        <v/>
      </c>
      <c r="M31" s="47">
        <f>IFERROR(SUMIFS(Transactions!$F$2:$F$601,Transactions!$H$2:$H$601,Settings!$B$2,Transactions!$G$2:$G$601,11,Transactions!$C$2:$C$601,A31),0)</f>
        <v/>
      </c>
      <c r="N31" s="47">
        <f>IFERROR(SUMIFS(Transactions!$F$2:$F$601,Transactions!$H$2:$H$601,Settings!$B$2,Transactions!$G$2:$G$601,12,Transactions!$C$2:$C$601,A31),0)</f>
        <v/>
      </c>
      <c r="O31" s="48">
        <f>SUM(C31:N31)</f>
        <v/>
      </c>
    </row>
    <row r="32">
      <c r="A32" s="35" t="inlineStr">
        <is>
          <t>Miscellaneous</t>
        </is>
      </c>
      <c r="B32" s="39" t="inlineStr">
        <is>
          <t>Expense</t>
        </is>
      </c>
      <c r="C32" s="47">
        <f>IFERROR(SUMIFS(Transactions!$F$2:$F$601,Transactions!$H$2:$H$601,Settings!$B$2,Transactions!$G$2:$G$601,1,Transactions!$C$2:$C$601,A32),0)</f>
        <v/>
      </c>
      <c r="D32" s="47">
        <f>IFERROR(SUMIFS(Transactions!$F$2:$F$601,Transactions!$H$2:$H$601,Settings!$B$2,Transactions!$G$2:$G$601,2,Transactions!$C$2:$C$601,A32),0)</f>
        <v/>
      </c>
      <c r="E32" s="47">
        <f>IFERROR(SUMIFS(Transactions!$F$2:$F$601,Transactions!$H$2:$H$601,Settings!$B$2,Transactions!$G$2:$G$601,3,Transactions!$C$2:$C$601,A32),0)</f>
        <v/>
      </c>
      <c r="F32" s="47">
        <f>IFERROR(SUMIFS(Transactions!$F$2:$F$601,Transactions!$H$2:$H$601,Settings!$B$2,Transactions!$G$2:$G$601,4,Transactions!$C$2:$C$601,A32),0)</f>
        <v/>
      </c>
      <c r="G32" s="47">
        <f>IFERROR(SUMIFS(Transactions!$F$2:$F$601,Transactions!$H$2:$H$601,Settings!$B$2,Transactions!$G$2:$G$601,5,Transactions!$C$2:$C$601,A32),0)</f>
        <v/>
      </c>
      <c r="H32" s="47">
        <f>IFERROR(SUMIFS(Transactions!$F$2:$F$601,Transactions!$H$2:$H$601,Settings!$B$2,Transactions!$G$2:$G$601,6,Transactions!$C$2:$C$601,A32),0)</f>
        <v/>
      </c>
      <c r="I32" s="47">
        <f>IFERROR(SUMIFS(Transactions!$F$2:$F$601,Transactions!$H$2:$H$601,Settings!$B$2,Transactions!$G$2:$G$601,7,Transactions!$C$2:$C$601,A32),0)</f>
        <v/>
      </c>
      <c r="J32" s="47">
        <f>IFERROR(SUMIFS(Transactions!$F$2:$F$601,Transactions!$H$2:$H$601,Settings!$B$2,Transactions!$G$2:$G$601,8,Transactions!$C$2:$C$601,A32),0)</f>
        <v/>
      </c>
      <c r="K32" s="47">
        <f>IFERROR(SUMIFS(Transactions!$F$2:$F$601,Transactions!$H$2:$H$601,Settings!$B$2,Transactions!$G$2:$G$601,9,Transactions!$C$2:$C$601,A32),0)</f>
        <v/>
      </c>
      <c r="L32" s="47">
        <f>IFERROR(SUMIFS(Transactions!$F$2:$F$601,Transactions!$H$2:$H$601,Settings!$B$2,Transactions!$G$2:$G$601,10,Transactions!$C$2:$C$601,A32),0)</f>
        <v/>
      </c>
      <c r="M32" s="47">
        <f>IFERROR(SUMIFS(Transactions!$F$2:$F$601,Transactions!$H$2:$H$601,Settings!$B$2,Transactions!$G$2:$G$601,11,Transactions!$C$2:$C$601,A32),0)</f>
        <v/>
      </c>
      <c r="N32" s="47">
        <f>IFERROR(SUMIFS(Transactions!$F$2:$F$601,Transactions!$H$2:$H$601,Settings!$B$2,Transactions!$G$2:$G$601,12,Transactions!$C$2:$C$601,A32),0)</f>
        <v/>
      </c>
      <c r="O32" s="48">
        <f>SUM(C32:N32)</f>
        <v/>
      </c>
    </row>
    <row r="34">
      <c r="A34" s="44" t="inlineStr">
        <is>
          <t>Monthly Budget Amounts</t>
        </is>
      </c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</row>
    <row r="35">
      <c r="A35" s="38" t="inlineStr">
        <is>
          <t>Salary</t>
        </is>
      </c>
      <c r="B35" s="71" t="inlineStr">
        <is>
          <t>Budget</t>
        </is>
      </c>
      <c r="C35" s="48">
        <f>IFERROR(VLOOKUP(A35,Settings!$A$30:$C$59,3,FALSE),0)</f>
        <v/>
      </c>
      <c r="D35" s="48">
        <f>IFERROR(VLOOKUP(A35,Settings!$A$30:$C$59,3,FALSE),0)</f>
        <v/>
      </c>
      <c r="E35" s="48">
        <f>IFERROR(VLOOKUP(A35,Settings!$A$30:$C$59,3,FALSE),0)</f>
        <v/>
      </c>
      <c r="F35" s="48">
        <f>IFERROR(VLOOKUP(A35,Settings!$A$30:$C$59,3,FALSE),0)</f>
        <v/>
      </c>
      <c r="G35" s="48">
        <f>IFERROR(VLOOKUP(A35,Settings!$A$30:$C$59,3,FALSE),0)</f>
        <v/>
      </c>
      <c r="H35" s="48">
        <f>IFERROR(VLOOKUP(A35,Settings!$A$30:$C$59,3,FALSE),0)</f>
        <v/>
      </c>
      <c r="I35" s="48">
        <f>IFERROR(VLOOKUP(A35,Settings!$A$30:$C$59,3,FALSE),0)</f>
        <v/>
      </c>
      <c r="J35" s="48">
        <f>IFERROR(VLOOKUP(A35,Settings!$A$30:$C$59,3,FALSE),0)</f>
        <v/>
      </c>
      <c r="K35" s="48">
        <f>IFERROR(VLOOKUP(A35,Settings!$A$30:$C$59,3,FALSE),0)</f>
        <v/>
      </c>
      <c r="L35" s="48">
        <f>IFERROR(VLOOKUP(A35,Settings!$A$30:$C$59,3,FALSE),0)</f>
        <v/>
      </c>
      <c r="M35" s="48">
        <f>IFERROR(VLOOKUP(A35,Settings!$A$30:$C$59,3,FALSE),0)</f>
        <v/>
      </c>
      <c r="N35" s="48">
        <f>IFERROR(VLOOKUP(A35,Settings!$A$30:$C$59,3,FALSE),0)</f>
        <v/>
      </c>
      <c r="O35" s="72">
        <f>IFERROR(VLOOKUP(A35,Settings!$A$30:$C$59,3,FALSE),0)*12</f>
        <v/>
      </c>
    </row>
    <row r="36">
      <c r="A36" s="38" t="inlineStr">
        <is>
          <t>Partner Income</t>
        </is>
      </c>
      <c r="B36" s="71" t="inlineStr">
        <is>
          <t>Budget</t>
        </is>
      </c>
      <c r="C36" s="48">
        <f>IFERROR(VLOOKUP(A36,Settings!$A$30:$C$59,3,FALSE),0)</f>
        <v/>
      </c>
      <c r="D36" s="48">
        <f>IFERROR(VLOOKUP(A36,Settings!$A$30:$C$59,3,FALSE),0)</f>
        <v/>
      </c>
      <c r="E36" s="48">
        <f>IFERROR(VLOOKUP(A36,Settings!$A$30:$C$59,3,FALSE),0)</f>
        <v/>
      </c>
      <c r="F36" s="48">
        <f>IFERROR(VLOOKUP(A36,Settings!$A$30:$C$59,3,FALSE),0)</f>
        <v/>
      </c>
      <c r="G36" s="48">
        <f>IFERROR(VLOOKUP(A36,Settings!$A$30:$C$59,3,FALSE),0)</f>
        <v/>
      </c>
      <c r="H36" s="48">
        <f>IFERROR(VLOOKUP(A36,Settings!$A$30:$C$59,3,FALSE),0)</f>
        <v/>
      </c>
      <c r="I36" s="48">
        <f>IFERROR(VLOOKUP(A36,Settings!$A$30:$C$59,3,FALSE),0)</f>
        <v/>
      </c>
      <c r="J36" s="48">
        <f>IFERROR(VLOOKUP(A36,Settings!$A$30:$C$59,3,FALSE),0)</f>
        <v/>
      </c>
      <c r="K36" s="48">
        <f>IFERROR(VLOOKUP(A36,Settings!$A$30:$C$59,3,FALSE),0)</f>
        <v/>
      </c>
      <c r="L36" s="48">
        <f>IFERROR(VLOOKUP(A36,Settings!$A$30:$C$59,3,FALSE),0)</f>
        <v/>
      </c>
      <c r="M36" s="48">
        <f>IFERROR(VLOOKUP(A36,Settings!$A$30:$C$59,3,FALSE),0)</f>
        <v/>
      </c>
      <c r="N36" s="48">
        <f>IFERROR(VLOOKUP(A36,Settings!$A$30:$C$59,3,FALSE),0)</f>
        <v/>
      </c>
      <c r="O36" s="72">
        <f>IFERROR(VLOOKUP(A36,Settings!$A$30:$C$59,3,FALSE),0)*12</f>
        <v/>
      </c>
    </row>
    <row r="37">
      <c r="A37" s="38" t="inlineStr">
        <is>
          <t>Freelance</t>
        </is>
      </c>
      <c r="B37" s="71" t="inlineStr">
        <is>
          <t>Budget</t>
        </is>
      </c>
      <c r="C37" s="48">
        <f>IFERROR(VLOOKUP(A37,Settings!$A$30:$C$59,3,FALSE),0)</f>
        <v/>
      </c>
      <c r="D37" s="48">
        <f>IFERROR(VLOOKUP(A37,Settings!$A$30:$C$59,3,FALSE),0)</f>
        <v/>
      </c>
      <c r="E37" s="48">
        <f>IFERROR(VLOOKUP(A37,Settings!$A$30:$C$59,3,FALSE),0)</f>
        <v/>
      </c>
      <c r="F37" s="48">
        <f>IFERROR(VLOOKUP(A37,Settings!$A$30:$C$59,3,FALSE),0)</f>
        <v/>
      </c>
      <c r="G37" s="48">
        <f>IFERROR(VLOOKUP(A37,Settings!$A$30:$C$59,3,FALSE),0)</f>
        <v/>
      </c>
      <c r="H37" s="48">
        <f>IFERROR(VLOOKUP(A37,Settings!$A$30:$C$59,3,FALSE),0)</f>
        <v/>
      </c>
      <c r="I37" s="48">
        <f>IFERROR(VLOOKUP(A37,Settings!$A$30:$C$59,3,FALSE),0)</f>
        <v/>
      </c>
      <c r="J37" s="48">
        <f>IFERROR(VLOOKUP(A37,Settings!$A$30:$C$59,3,FALSE),0)</f>
        <v/>
      </c>
      <c r="K37" s="48">
        <f>IFERROR(VLOOKUP(A37,Settings!$A$30:$C$59,3,FALSE),0)</f>
        <v/>
      </c>
      <c r="L37" s="48">
        <f>IFERROR(VLOOKUP(A37,Settings!$A$30:$C$59,3,FALSE),0)</f>
        <v/>
      </c>
      <c r="M37" s="48">
        <f>IFERROR(VLOOKUP(A37,Settings!$A$30:$C$59,3,FALSE),0)</f>
        <v/>
      </c>
      <c r="N37" s="48">
        <f>IFERROR(VLOOKUP(A37,Settings!$A$30:$C$59,3,FALSE),0)</f>
        <v/>
      </c>
      <c r="O37" s="72">
        <f>IFERROR(VLOOKUP(A37,Settings!$A$30:$C$59,3,FALSE),0)*12</f>
        <v/>
      </c>
    </row>
    <row r="38">
      <c r="A38" s="38" t="inlineStr">
        <is>
          <t>Business</t>
        </is>
      </c>
      <c r="B38" s="71" t="inlineStr">
        <is>
          <t>Budget</t>
        </is>
      </c>
      <c r="C38" s="48">
        <f>IFERROR(VLOOKUP(A38,Settings!$A$30:$C$59,3,FALSE),0)</f>
        <v/>
      </c>
      <c r="D38" s="48">
        <f>IFERROR(VLOOKUP(A38,Settings!$A$30:$C$59,3,FALSE),0)</f>
        <v/>
      </c>
      <c r="E38" s="48">
        <f>IFERROR(VLOOKUP(A38,Settings!$A$30:$C$59,3,FALSE),0)</f>
        <v/>
      </c>
      <c r="F38" s="48">
        <f>IFERROR(VLOOKUP(A38,Settings!$A$30:$C$59,3,FALSE),0)</f>
        <v/>
      </c>
      <c r="G38" s="48">
        <f>IFERROR(VLOOKUP(A38,Settings!$A$30:$C$59,3,FALSE),0)</f>
        <v/>
      </c>
      <c r="H38" s="48">
        <f>IFERROR(VLOOKUP(A38,Settings!$A$30:$C$59,3,FALSE),0)</f>
        <v/>
      </c>
      <c r="I38" s="48">
        <f>IFERROR(VLOOKUP(A38,Settings!$A$30:$C$59,3,FALSE),0)</f>
        <v/>
      </c>
      <c r="J38" s="48">
        <f>IFERROR(VLOOKUP(A38,Settings!$A$30:$C$59,3,FALSE),0)</f>
        <v/>
      </c>
      <c r="K38" s="48">
        <f>IFERROR(VLOOKUP(A38,Settings!$A$30:$C$59,3,FALSE),0)</f>
        <v/>
      </c>
      <c r="L38" s="48">
        <f>IFERROR(VLOOKUP(A38,Settings!$A$30:$C$59,3,FALSE),0)</f>
        <v/>
      </c>
      <c r="M38" s="48">
        <f>IFERROR(VLOOKUP(A38,Settings!$A$30:$C$59,3,FALSE),0)</f>
        <v/>
      </c>
      <c r="N38" s="48">
        <f>IFERROR(VLOOKUP(A38,Settings!$A$30:$C$59,3,FALSE),0)</f>
        <v/>
      </c>
      <c r="O38" s="72">
        <f>IFERROR(VLOOKUP(A38,Settings!$A$30:$C$59,3,FALSE),0)*12</f>
        <v/>
      </c>
    </row>
    <row r="39">
      <c r="A39" s="38" t="inlineStr">
        <is>
          <t>Investments</t>
        </is>
      </c>
      <c r="B39" s="71" t="inlineStr">
        <is>
          <t>Budget</t>
        </is>
      </c>
      <c r="C39" s="48">
        <f>IFERROR(VLOOKUP(A39,Settings!$A$30:$C$59,3,FALSE),0)</f>
        <v/>
      </c>
      <c r="D39" s="48">
        <f>IFERROR(VLOOKUP(A39,Settings!$A$30:$C$59,3,FALSE),0)</f>
        <v/>
      </c>
      <c r="E39" s="48">
        <f>IFERROR(VLOOKUP(A39,Settings!$A$30:$C$59,3,FALSE),0)</f>
        <v/>
      </c>
      <c r="F39" s="48">
        <f>IFERROR(VLOOKUP(A39,Settings!$A$30:$C$59,3,FALSE),0)</f>
        <v/>
      </c>
      <c r="G39" s="48">
        <f>IFERROR(VLOOKUP(A39,Settings!$A$30:$C$59,3,FALSE),0)</f>
        <v/>
      </c>
      <c r="H39" s="48">
        <f>IFERROR(VLOOKUP(A39,Settings!$A$30:$C$59,3,FALSE),0)</f>
        <v/>
      </c>
      <c r="I39" s="48">
        <f>IFERROR(VLOOKUP(A39,Settings!$A$30:$C$59,3,FALSE),0)</f>
        <v/>
      </c>
      <c r="J39" s="48">
        <f>IFERROR(VLOOKUP(A39,Settings!$A$30:$C$59,3,FALSE),0)</f>
        <v/>
      </c>
      <c r="K39" s="48">
        <f>IFERROR(VLOOKUP(A39,Settings!$A$30:$C$59,3,FALSE),0)</f>
        <v/>
      </c>
      <c r="L39" s="48">
        <f>IFERROR(VLOOKUP(A39,Settings!$A$30:$C$59,3,FALSE),0)</f>
        <v/>
      </c>
      <c r="M39" s="48">
        <f>IFERROR(VLOOKUP(A39,Settings!$A$30:$C$59,3,FALSE),0)</f>
        <v/>
      </c>
      <c r="N39" s="48">
        <f>IFERROR(VLOOKUP(A39,Settings!$A$30:$C$59,3,FALSE),0)</f>
        <v/>
      </c>
      <c r="O39" s="72">
        <f>IFERROR(VLOOKUP(A39,Settings!$A$30:$C$59,3,FALSE),0)*12</f>
        <v/>
      </c>
    </row>
    <row r="40">
      <c r="A40" s="38" t="inlineStr">
        <is>
          <t>Rental Income</t>
        </is>
      </c>
      <c r="B40" s="71" t="inlineStr">
        <is>
          <t>Budget</t>
        </is>
      </c>
      <c r="C40" s="48">
        <f>IFERROR(VLOOKUP(A40,Settings!$A$30:$C$59,3,FALSE),0)</f>
        <v/>
      </c>
      <c r="D40" s="48">
        <f>IFERROR(VLOOKUP(A40,Settings!$A$30:$C$59,3,FALSE),0)</f>
        <v/>
      </c>
      <c r="E40" s="48">
        <f>IFERROR(VLOOKUP(A40,Settings!$A$30:$C$59,3,FALSE),0)</f>
        <v/>
      </c>
      <c r="F40" s="48">
        <f>IFERROR(VLOOKUP(A40,Settings!$A$30:$C$59,3,FALSE),0)</f>
        <v/>
      </c>
      <c r="G40" s="48">
        <f>IFERROR(VLOOKUP(A40,Settings!$A$30:$C$59,3,FALSE),0)</f>
        <v/>
      </c>
      <c r="H40" s="48">
        <f>IFERROR(VLOOKUP(A40,Settings!$A$30:$C$59,3,FALSE),0)</f>
        <v/>
      </c>
      <c r="I40" s="48">
        <f>IFERROR(VLOOKUP(A40,Settings!$A$30:$C$59,3,FALSE),0)</f>
        <v/>
      </c>
      <c r="J40" s="48">
        <f>IFERROR(VLOOKUP(A40,Settings!$A$30:$C$59,3,FALSE),0)</f>
        <v/>
      </c>
      <c r="K40" s="48">
        <f>IFERROR(VLOOKUP(A40,Settings!$A$30:$C$59,3,FALSE),0)</f>
        <v/>
      </c>
      <c r="L40" s="48">
        <f>IFERROR(VLOOKUP(A40,Settings!$A$30:$C$59,3,FALSE),0)</f>
        <v/>
      </c>
      <c r="M40" s="48">
        <f>IFERROR(VLOOKUP(A40,Settings!$A$30:$C$59,3,FALSE),0)</f>
        <v/>
      </c>
      <c r="N40" s="48">
        <f>IFERROR(VLOOKUP(A40,Settings!$A$30:$C$59,3,FALSE),0)</f>
        <v/>
      </c>
      <c r="O40" s="72">
        <f>IFERROR(VLOOKUP(A40,Settings!$A$30:$C$59,3,FALSE),0)*12</f>
        <v/>
      </c>
    </row>
    <row r="41">
      <c r="A41" s="38" t="inlineStr">
        <is>
          <t>Refunds</t>
        </is>
      </c>
      <c r="B41" s="71" t="inlineStr">
        <is>
          <t>Budget</t>
        </is>
      </c>
      <c r="C41" s="48">
        <f>IFERROR(VLOOKUP(A41,Settings!$A$30:$C$59,3,FALSE),0)</f>
        <v/>
      </c>
      <c r="D41" s="48">
        <f>IFERROR(VLOOKUP(A41,Settings!$A$30:$C$59,3,FALSE),0)</f>
        <v/>
      </c>
      <c r="E41" s="48">
        <f>IFERROR(VLOOKUP(A41,Settings!$A$30:$C$59,3,FALSE),0)</f>
        <v/>
      </c>
      <c r="F41" s="48">
        <f>IFERROR(VLOOKUP(A41,Settings!$A$30:$C$59,3,FALSE),0)</f>
        <v/>
      </c>
      <c r="G41" s="48">
        <f>IFERROR(VLOOKUP(A41,Settings!$A$30:$C$59,3,FALSE),0)</f>
        <v/>
      </c>
      <c r="H41" s="48">
        <f>IFERROR(VLOOKUP(A41,Settings!$A$30:$C$59,3,FALSE),0)</f>
        <v/>
      </c>
      <c r="I41" s="48">
        <f>IFERROR(VLOOKUP(A41,Settings!$A$30:$C$59,3,FALSE),0)</f>
        <v/>
      </c>
      <c r="J41" s="48">
        <f>IFERROR(VLOOKUP(A41,Settings!$A$30:$C$59,3,FALSE),0)</f>
        <v/>
      </c>
      <c r="K41" s="48">
        <f>IFERROR(VLOOKUP(A41,Settings!$A$30:$C$59,3,FALSE),0)</f>
        <v/>
      </c>
      <c r="L41" s="48">
        <f>IFERROR(VLOOKUP(A41,Settings!$A$30:$C$59,3,FALSE),0)</f>
        <v/>
      </c>
      <c r="M41" s="48">
        <f>IFERROR(VLOOKUP(A41,Settings!$A$30:$C$59,3,FALSE),0)</f>
        <v/>
      </c>
      <c r="N41" s="48">
        <f>IFERROR(VLOOKUP(A41,Settings!$A$30:$C$59,3,FALSE),0)</f>
        <v/>
      </c>
      <c r="O41" s="72">
        <f>IFERROR(VLOOKUP(A41,Settings!$A$30:$C$59,3,FALSE),0)*12</f>
        <v/>
      </c>
    </row>
    <row r="42">
      <c r="A42" s="38" t="inlineStr">
        <is>
          <t>Other Income</t>
        </is>
      </c>
      <c r="B42" s="71" t="inlineStr">
        <is>
          <t>Budget</t>
        </is>
      </c>
      <c r="C42" s="48">
        <f>IFERROR(VLOOKUP(A42,Settings!$A$30:$C$59,3,FALSE),0)</f>
        <v/>
      </c>
      <c r="D42" s="48">
        <f>IFERROR(VLOOKUP(A42,Settings!$A$30:$C$59,3,FALSE),0)</f>
        <v/>
      </c>
      <c r="E42" s="48">
        <f>IFERROR(VLOOKUP(A42,Settings!$A$30:$C$59,3,FALSE),0)</f>
        <v/>
      </c>
      <c r="F42" s="48">
        <f>IFERROR(VLOOKUP(A42,Settings!$A$30:$C$59,3,FALSE),0)</f>
        <v/>
      </c>
      <c r="G42" s="48">
        <f>IFERROR(VLOOKUP(A42,Settings!$A$30:$C$59,3,FALSE),0)</f>
        <v/>
      </c>
      <c r="H42" s="48">
        <f>IFERROR(VLOOKUP(A42,Settings!$A$30:$C$59,3,FALSE),0)</f>
        <v/>
      </c>
      <c r="I42" s="48">
        <f>IFERROR(VLOOKUP(A42,Settings!$A$30:$C$59,3,FALSE),0)</f>
        <v/>
      </c>
      <c r="J42" s="48">
        <f>IFERROR(VLOOKUP(A42,Settings!$A$30:$C$59,3,FALSE),0)</f>
        <v/>
      </c>
      <c r="K42" s="48">
        <f>IFERROR(VLOOKUP(A42,Settings!$A$30:$C$59,3,FALSE),0)</f>
        <v/>
      </c>
      <c r="L42" s="48">
        <f>IFERROR(VLOOKUP(A42,Settings!$A$30:$C$59,3,FALSE),0)</f>
        <v/>
      </c>
      <c r="M42" s="48">
        <f>IFERROR(VLOOKUP(A42,Settings!$A$30:$C$59,3,FALSE),0)</f>
        <v/>
      </c>
      <c r="N42" s="48">
        <f>IFERROR(VLOOKUP(A42,Settings!$A$30:$C$59,3,FALSE),0)</f>
        <v/>
      </c>
      <c r="O42" s="72">
        <f>IFERROR(VLOOKUP(A42,Settings!$A$30:$C$59,3,FALSE),0)*12</f>
        <v/>
      </c>
    </row>
    <row r="43">
      <c r="A43" s="38" t="inlineStr">
        <is>
          <t>Rent/Mortgage</t>
        </is>
      </c>
      <c r="B43" s="71" t="inlineStr">
        <is>
          <t>Budget</t>
        </is>
      </c>
      <c r="C43" s="48">
        <f>IFERROR(VLOOKUP(A43,Settings!$A$30:$C$59,3,FALSE),0)</f>
        <v/>
      </c>
      <c r="D43" s="48">
        <f>IFERROR(VLOOKUP(A43,Settings!$A$30:$C$59,3,FALSE),0)</f>
        <v/>
      </c>
      <c r="E43" s="48">
        <f>IFERROR(VLOOKUP(A43,Settings!$A$30:$C$59,3,FALSE),0)</f>
        <v/>
      </c>
      <c r="F43" s="48">
        <f>IFERROR(VLOOKUP(A43,Settings!$A$30:$C$59,3,FALSE),0)</f>
        <v/>
      </c>
      <c r="G43" s="48">
        <f>IFERROR(VLOOKUP(A43,Settings!$A$30:$C$59,3,FALSE),0)</f>
        <v/>
      </c>
      <c r="H43" s="48">
        <f>IFERROR(VLOOKUP(A43,Settings!$A$30:$C$59,3,FALSE),0)</f>
        <v/>
      </c>
      <c r="I43" s="48">
        <f>IFERROR(VLOOKUP(A43,Settings!$A$30:$C$59,3,FALSE),0)</f>
        <v/>
      </c>
      <c r="J43" s="48">
        <f>IFERROR(VLOOKUP(A43,Settings!$A$30:$C$59,3,FALSE),0)</f>
        <v/>
      </c>
      <c r="K43" s="48">
        <f>IFERROR(VLOOKUP(A43,Settings!$A$30:$C$59,3,FALSE),0)</f>
        <v/>
      </c>
      <c r="L43" s="48">
        <f>IFERROR(VLOOKUP(A43,Settings!$A$30:$C$59,3,FALSE),0)</f>
        <v/>
      </c>
      <c r="M43" s="48">
        <f>IFERROR(VLOOKUP(A43,Settings!$A$30:$C$59,3,FALSE),0)</f>
        <v/>
      </c>
      <c r="N43" s="48">
        <f>IFERROR(VLOOKUP(A43,Settings!$A$30:$C$59,3,FALSE),0)</f>
        <v/>
      </c>
      <c r="O43" s="72">
        <f>IFERROR(VLOOKUP(A43,Settings!$A$30:$C$59,3,FALSE),0)*12</f>
        <v/>
      </c>
    </row>
    <row r="44">
      <c r="A44" s="38" t="inlineStr">
        <is>
          <t>Utilities</t>
        </is>
      </c>
      <c r="B44" s="71" t="inlineStr">
        <is>
          <t>Budget</t>
        </is>
      </c>
      <c r="C44" s="48">
        <f>IFERROR(VLOOKUP(A44,Settings!$A$30:$C$59,3,FALSE),0)</f>
        <v/>
      </c>
      <c r="D44" s="48">
        <f>IFERROR(VLOOKUP(A44,Settings!$A$30:$C$59,3,FALSE),0)</f>
        <v/>
      </c>
      <c r="E44" s="48">
        <f>IFERROR(VLOOKUP(A44,Settings!$A$30:$C$59,3,FALSE),0)</f>
        <v/>
      </c>
      <c r="F44" s="48">
        <f>IFERROR(VLOOKUP(A44,Settings!$A$30:$C$59,3,FALSE),0)</f>
        <v/>
      </c>
      <c r="G44" s="48">
        <f>IFERROR(VLOOKUP(A44,Settings!$A$30:$C$59,3,FALSE),0)</f>
        <v/>
      </c>
      <c r="H44" s="48">
        <f>IFERROR(VLOOKUP(A44,Settings!$A$30:$C$59,3,FALSE),0)</f>
        <v/>
      </c>
      <c r="I44" s="48">
        <f>IFERROR(VLOOKUP(A44,Settings!$A$30:$C$59,3,FALSE),0)</f>
        <v/>
      </c>
      <c r="J44" s="48">
        <f>IFERROR(VLOOKUP(A44,Settings!$A$30:$C$59,3,FALSE),0)</f>
        <v/>
      </c>
      <c r="K44" s="48">
        <f>IFERROR(VLOOKUP(A44,Settings!$A$30:$C$59,3,FALSE),0)</f>
        <v/>
      </c>
      <c r="L44" s="48">
        <f>IFERROR(VLOOKUP(A44,Settings!$A$30:$C$59,3,FALSE),0)</f>
        <v/>
      </c>
      <c r="M44" s="48">
        <f>IFERROR(VLOOKUP(A44,Settings!$A$30:$C$59,3,FALSE),0)</f>
        <v/>
      </c>
      <c r="N44" s="48">
        <f>IFERROR(VLOOKUP(A44,Settings!$A$30:$C$59,3,FALSE),0)</f>
        <v/>
      </c>
      <c r="O44" s="72">
        <f>IFERROR(VLOOKUP(A44,Settings!$A$30:$C$59,3,FALSE),0)*12</f>
        <v/>
      </c>
    </row>
    <row r="45">
      <c r="A45" s="38" t="inlineStr">
        <is>
          <t>Groceries</t>
        </is>
      </c>
      <c r="B45" s="71" t="inlineStr">
        <is>
          <t>Budget</t>
        </is>
      </c>
      <c r="C45" s="48">
        <f>IFERROR(VLOOKUP(A45,Settings!$A$30:$C$59,3,FALSE),0)</f>
        <v/>
      </c>
      <c r="D45" s="48">
        <f>IFERROR(VLOOKUP(A45,Settings!$A$30:$C$59,3,FALSE),0)</f>
        <v/>
      </c>
      <c r="E45" s="48">
        <f>IFERROR(VLOOKUP(A45,Settings!$A$30:$C$59,3,FALSE),0)</f>
        <v/>
      </c>
      <c r="F45" s="48">
        <f>IFERROR(VLOOKUP(A45,Settings!$A$30:$C$59,3,FALSE),0)</f>
        <v/>
      </c>
      <c r="G45" s="48">
        <f>IFERROR(VLOOKUP(A45,Settings!$A$30:$C$59,3,FALSE),0)</f>
        <v/>
      </c>
      <c r="H45" s="48">
        <f>IFERROR(VLOOKUP(A45,Settings!$A$30:$C$59,3,FALSE),0)</f>
        <v/>
      </c>
      <c r="I45" s="48">
        <f>IFERROR(VLOOKUP(A45,Settings!$A$30:$C$59,3,FALSE),0)</f>
        <v/>
      </c>
      <c r="J45" s="48">
        <f>IFERROR(VLOOKUP(A45,Settings!$A$30:$C$59,3,FALSE),0)</f>
        <v/>
      </c>
      <c r="K45" s="48">
        <f>IFERROR(VLOOKUP(A45,Settings!$A$30:$C$59,3,FALSE),0)</f>
        <v/>
      </c>
      <c r="L45" s="48">
        <f>IFERROR(VLOOKUP(A45,Settings!$A$30:$C$59,3,FALSE),0)</f>
        <v/>
      </c>
      <c r="M45" s="48">
        <f>IFERROR(VLOOKUP(A45,Settings!$A$30:$C$59,3,FALSE),0)</f>
        <v/>
      </c>
      <c r="N45" s="48">
        <f>IFERROR(VLOOKUP(A45,Settings!$A$30:$C$59,3,FALSE),0)</f>
        <v/>
      </c>
      <c r="O45" s="72">
        <f>IFERROR(VLOOKUP(A45,Settings!$A$30:$C$59,3,FALSE),0)*12</f>
        <v/>
      </c>
    </row>
    <row r="46">
      <c r="A46" s="38" t="inlineStr">
        <is>
          <t>Dining Out</t>
        </is>
      </c>
      <c r="B46" s="71" t="inlineStr">
        <is>
          <t>Budget</t>
        </is>
      </c>
      <c r="C46" s="48">
        <f>IFERROR(VLOOKUP(A46,Settings!$A$30:$C$59,3,FALSE),0)</f>
        <v/>
      </c>
      <c r="D46" s="48">
        <f>IFERROR(VLOOKUP(A46,Settings!$A$30:$C$59,3,FALSE),0)</f>
        <v/>
      </c>
      <c r="E46" s="48">
        <f>IFERROR(VLOOKUP(A46,Settings!$A$30:$C$59,3,FALSE),0)</f>
        <v/>
      </c>
      <c r="F46" s="48">
        <f>IFERROR(VLOOKUP(A46,Settings!$A$30:$C$59,3,FALSE),0)</f>
        <v/>
      </c>
      <c r="G46" s="48">
        <f>IFERROR(VLOOKUP(A46,Settings!$A$30:$C$59,3,FALSE),0)</f>
        <v/>
      </c>
      <c r="H46" s="48">
        <f>IFERROR(VLOOKUP(A46,Settings!$A$30:$C$59,3,FALSE),0)</f>
        <v/>
      </c>
      <c r="I46" s="48">
        <f>IFERROR(VLOOKUP(A46,Settings!$A$30:$C$59,3,FALSE),0)</f>
        <v/>
      </c>
      <c r="J46" s="48">
        <f>IFERROR(VLOOKUP(A46,Settings!$A$30:$C$59,3,FALSE),0)</f>
        <v/>
      </c>
      <c r="K46" s="48">
        <f>IFERROR(VLOOKUP(A46,Settings!$A$30:$C$59,3,FALSE),0)</f>
        <v/>
      </c>
      <c r="L46" s="48">
        <f>IFERROR(VLOOKUP(A46,Settings!$A$30:$C$59,3,FALSE),0)</f>
        <v/>
      </c>
      <c r="M46" s="48">
        <f>IFERROR(VLOOKUP(A46,Settings!$A$30:$C$59,3,FALSE),0)</f>
        <v/>
      </c>
      <c r="N46" s="48">
        <f>IFERROR(VLOOKUP(A46,Settings!$A$30:$C$59,3,FALSE),0)</f>
        <v/>
      </c>
      <c r="O46" s="72">
        <f>IFERROR(VLOOKUP(A46,Settings!$A$30:$C$59,3,FALSE),0)*12</f>
        <v/>
      </c>
    </row>
    <row r="47">
      <c r="A47" s="38" t="inlineStr">
        <is>
          <t>Transport</t>
        </is>
      </c>
      <c r="B47" s="71" t="inlineStr">
        <is>
          <t>Budget</t>
        </is>
      </c>
      <c r="C47" s="48">
        <f>IFERROR(VLOOKUP(A47,Settings!$A$30:$C$59,3,FALSE),0)</f>
        <v/>
      </c>
      <c r="D47" s="48">
        <f>IFERROR(VLOOKUP(A47,Settings!$A$30:$C$59,3,FALSE),0)</f>
        <v/>
      </c>
      <c r="E47" s="48">
        <f>IFERROR(VLOOKUP(A47,Settings!$A$30:$C$59,3,FALSE),0)</f>
        <v/>
      </c>
      <c r="F47" s="48">
        <f>IFERROR(VLOOKUP(A47,Settings!$A$30:$C$59,3,FALSE),0)</f>
        <v/>
      </c>
      <c r="G47" s="48">
        <f>IFERROR(VLOOKUP(A47,Settings!$A$30:$C$59,3,FALSE),0)</f>
        <v/>
      </c>
      <c r="H47" s="48">
        <f>IFERROR(VLOOKUP(A47,Settings!$A$30:$C$59,3,FALSE),0)</f>
        <v/>
      </c>
      <c r="I47" s="48">
        <f>IFERROR(VLOOKUP(A47,Settings!$A$30:$C$59,3,FALSE),0)</f>
        <v/>
      </c>
      <c r="J47" s="48">
        <f>IFERROR(VLOOKUP(A47,Settings!$A$30:$C$59,3,FALSE),0)</f>
        <v/>
      </c>
      <c r="K47" s="48">
        <f>IFERROR(VLOOKUP(A47,Settings!$A$30:$C$59,3,FALSE),0)</f>
        <v/>
      </c>
      <c r="L47" s="48">
        <f>IFERROR(VLOOKUP(A47,Settings!$A$30:$C$59,3,FALSE),0)</f>
        <v/>
      </c>
      <c r="M47" s="48">
        <f>IFERROR(VLOOKUP(A47,Settings!$A$30:$C$59,3,FALSE),0)</f>
        <v/>
      </c>
      <c r="N47" s="48">
        <f>IFERROR(VLOOKUP(A47,Settings!$A$30:$C$59,3,FALSE),0)</f>
        <v/>
      </c>
      <c r="O47" s="72">
        <f>IFERROR(VLOOKUP(A47,Settings!$A$30:$C$59,3,FALSE),0)*12</f>
        <v/>
      </c>
    </row>
    <row r="48">
      <c r="A48" s="38" t="inlineStr">
        <is>
          <t>Fuel</t>
        </is>
      </c>
      <c r="B48" s="71" t="inlineStr">
        <is>
          <t>Budget</t>
        </is>
      </c>
      <c r="C48" s="48">
        <f>IFERROR(VLOOKUP(A48,Settings!$A$30:$C$59,3,FALSE),0)</f>
        <v/>
      </c>
      <c r="D48" s="48">
        <f>IFERROR(VLOOKUP(A48,Settings!$A$30:$C$59,3,FALSE),0)</f>
        <v/>
      </c>
      <c r="E48" s="48">
        <f>IFERROR(VLOOKUP(A48,Settings!$A$30:$C$59,3,FALSE),0)</f>
        <v/>
      </c>
      <c r="F48" s="48">
        <f>IFERROR(VLOOKUP(A48,Settings!$A$30:$C$59,3,FALSE),0)</f>
        <v/>
      </c>
      <c r="G48" s="48">
        <f>IFERROR(VLOOKUP(A48,Settings!$A$30:$C$59,3,FALSE),0)</f>
        <v/>
      </c>
      <c r="H48" s="48">
        <f>IFERROR(VLOOKUP(A48,Settings!$A$30:$C$59,3,FALSE),0)</f>
        <v/>
      </c>
      <c r="I48" s="48">
        <f>IFERROR(VLOOKUP(A48,Settings!$A$30:$C$59,3,FALSE),0)</f>
        <v/>
      </c>
      <c r="J48" s="48">
        <f>IFERROR(VLOOKUP(A48,Settings!$A$30:$C$59,3,FALSE),0)</f>
        <v/>
      </c>
      <c r="K48" s="48">
        <f>IFERROR(VLOOKUP(A48,Settings!$A$30:$C$59,3,FALSE),0)</f>
        <v/>
      </c>
      <c r="L48" s="48">
        <f>IFERROR(VLOOKUP(A48,Settings!$A$30:$C$59,3,FALSE),0)</f>
        <v/>
      </c>
      <c r="M48" s="48">
        <f>IFERROR(VLOOKUP(A48,Settings!$A$30:$C$59,3,FALSE),0)</f>
        <v/>
      </c>
      <c r="N48" s="48">
        <f>IFERROR(VLOOKUP(A48,Settings!$A$30:$C$59,3,FALSE),0)</f>
        <v/>
      </c>
      <c r="O48" s="72">
        <f>IFERROR(VLOOKUP(A48,Settings!$A$30:$C$59,3,FALSE),0)*12</f>
        <v/>
      </c>
    </row>
    <row r="49">
      <c r="A49" s="38" t="inlineStr">
        <is>
          <t>Car/Auto</t>
        </is>
      </c>
      <c r="B49" s="71" t="inlineStr">
        <is>
          <t>Budget</t>
        </is>
      </c>
      <c r="C49" s="48">
        <f>IFERROR(VLOOKUP(A49,Settings!$A$30:$C$59,3,FALSE),0)</f>
        <v/>
      </c>
      <c r="D49" s="48">
        <f>IFERROR(VLOOKUP(A49,Settings!$A$30:$C$59,3,FALSE),0)</f>
        <v/>
      </c>
      <c r="E49" s="48">
        <f>IFERROR(VLOOKUP(A49,Settings!$A$30:$C$59,3,FALSE),0)</f>
        <v/>
      </c>
      <c r="F49" s="48">
        <f>IFERROR(VLOOKUP(A49,Settings!$A$30:$C$59,3,FALSE),0)</f>
        <v/>
      </c>
      <c r="G49" s="48">
        <f>IFERROR(VLOOKUP(A49,Settings!$A$30:$C$59,3,FALSE),0)</f>
        <v/>
      </c>
      <c r="H49" s="48">
        <f>IFERROR(VLOOKUP(A49,Settings!$A$30:$C$59,3,FALSE),0)</f>
        <v/>
      </c>
      <c r="I49" s="48">
        <f>IFERROR(VLOOKUP(A49,Settings!$A$30:$C$59,3,FALSE),0)</f>
        <v/>
      </c>
      <c r="J49" s="48">
        <f>IFERROR(VLOOKUP(A49,Settings!$A$30:$C$59,3,FALSE),0)</f>
        <v/>
      </c>
      <c r="K49" s="48">
        <f>IFERROR(VLOOKUP(A49,Settings!$A$30:$C$59,3,FALSE),0)</f>
        <v/>
      </c>
      <c r="L49" s="48">
        <f>IFERROR(VLOOKUP(A49,Settings!$A$30:$C$59,3,FALSE),0)</f>
        <v/>
      </c>
      <c r="M49" s="48">
        <f>IFERROR(VLOOKUP(A49,Settings!$A$30:$C$59,3,FALSE),0)</f>
        <v/>
      </c>
      <c r="N49" s="48">
        <f>IFERROR(VLOOKUP(A49,Settings!$A$30:$C$59,3,FALSE),0)</f>
        <v/>
      </c>
      <c r="O49" s="72">
        <f>IFERROR(VLOOKUP(A49,Settings!$A$30:$C$59,3,FALSE),0)*12</f>
        <v/>
      </c>
    </row>
    <row r="50">
      <c r="A50" s="38" t="inlineStr">
        <is>
          <t>Insurance</t>
        </is>
      </c>
      <c r="B50" s="71" t="inlineStr">
        <is>
          <t>Budget</t>
        </is>
      </c>
      <c r="C50" s="48">
        <f>IFERROR(VLOOKUP(A50,Settings!$A$30:$C$59,3,FALSE),0)</f>
        <v/>
      </c>
      <c r="D50" s="48">
        <f>IFERROR(VLOOKUP(A50,Settings!$A$30:$C$59,3,FALSE),0)</f>
        <v/>
      </c>
      <c r="E50" s="48">
        <f>IFERROR(VLOOKUP(A50,Settings!$A$30:$C$59,3,FALSE),0)</f>
        <v/>
      </c>
      <c r="F50" s="48">
        <f>IFERROR(VLOOKUP(A50,Settings!$A$30:$C$59,3,FALSE),0)</f>
        <v/>
      </c>
      <c r="G50" s="48">
        <f>IFERROR(VLOOKUP(A50,Settings!$A$30:$C$59,3,FALSE),0)</f>
        <v/>
      </c>
      <c r="H50" s="48">
        <f>IFERROR(VLOOKUP(A50,Settings!$A$30:$C$59,3,FALSE),0)</f>
        <v/>
      </c>
      <c r="I50" s="48">
        <f>IFERROR(VLOOKUP(A50,Settings!$A$30:$C$59,3,FALSE),0)</f>
        <v/>
      </c>
      <c r="J50" s="48">
        <f>IFERROR(VLOOKUP(A50,Settings!$A$30:$C$59,3,FALSE),0)</f>
        <v/>
      </c>
      <c r="K50" s="48">
        <f>IFERROR(VLOOKUP(A50,Settings!$A$30:$C$59,3,FALSE),0)</f>
        <v/>
      </c>
      <c r="L50" s="48">
        <f>IFERROR(VLOOKUP(A50,Settings!$A$30:$C$59,3,FALSE),0)</f>
        <v/>
      </c>
      <c r="M50" s="48">
        <f>IFERROR(VLOOKUP(A50,Settings!$A$30:$C$59,3,FALSE),0)</f>
        <v/>
      </c>
      <c r="N50" s="48">
        <f>IFERROR(VLOOKUP(A50,Settings!$A$30:$C$59,3,FALSE),0)</f>
        <v/>
      </c>
      <c r="O50" s="72">
        <f>IFERROR(VLOOKUP(A50,Settings!$A$30:$C$59,3,FALSE),0)*12</f>
        <v/>
      </c>
    </row>
    <row r="51">
      <c r="A51" s="38" t="inlineStr">
        <is>
          <t>Health</t>
        </is>
      </c>
      <c r="B51" s="71" t="inlineStr">
        <is>
          <t>Budget</t>
        </is>
      </c>
      <c r="C51" s="48">
        <f>IFERROR(VLOOKUP(A51,Settings!$A$30:$C$59,3,FALSE),0)</f>
        <v/>
      </c>
      <c r="D51" s="48">
        <f>IFERROR(VLOOKUP(A51,Settings!$A$30:$C$59,3,FALSE),0)</f>
        <v/>
      </c>
      <c r="E51" s="48">
        <f>IFERROR(VLOOKUP(A51,Settings!$A$30:$C$59,3,FALSE),0)</f>
        <v/>
      </c>
      <c r="F51" s="48">
        <f>IFERROR(VLOOKUP(A51,Settings!$A$30:$C$59,3,FALSE),0)</f>
        <v/>
      </c>
      <c r="G51" s="48">
        <f>IFERROR(VLOOKUP(A51,Settings!$A$30:$C$59,3,FALSE),0)</f>
        <v/>
      </c>
      <c r="H51" s="48">
        <f>IFERROR(VLOOKUP(A51,Settings!$A$30:$C$59,3,FALSE),0)</f>
        <v/>
      </c>
      <c r="I51" s="48">
        <f>IFERROR(VLOOKUP(A51,Settings!$A$30:$C$59,3,FALSE),0)</f>
        <v/>
      </c>
      <c r="J51" s="48">
        <f>IFERROR(VLOOKUP(A51,Settings!$A$30:$C$59,3,FALSE),0)</f>
        <v/>
      </c>
      <c r="K51" s="48">
        <f>IFERROR(VLOOKUP(A51,Settings!$A$30:$C$59,3,FALSE),0)</f>
        <v/>
      </c>
      <c r="L51" s="48">
        <f>IFERROR(VLOOKUP(A51,Settings!$A$30:$C$59,3,FALSE),0)</f>
        <v/>
      </c>
      <c r="M51" s="48">
        <f>IFERROR(VLOOKUP(A51,Settings!$A$30:$C$59,3,FALSE),0)</f>
        <v/>
      </c>
      <c r="N51" s="48">
        <f>IFERROR(VLOOKUP(A51,Settings!$A$30:$C$59,3,FALSE),0)</f>
        <v/>
      </c>
      <c r="O51" s="72">
        <f>IFERROR(VLOOKUP(A51,Settings!$A$30:$C$59,3,FALSE),0)*12</f>
        <v/>
      </c>
    </row>
    <row r="52">
      <c r="A52" s="38" t="inlineStr">
        <is>
          <t>Phone</t>
        </is>
      </c>
      <c r="B52" s="71" t="inlineStr">
        <is>
          <t>Budget</t>
        </is>
      </c>
      <c r="C52" s="48">
        <f>IFERROR(VLOOKUP(A52,Settings!$A$30:$C$59,3,FALSE),0)</f>
        <v/>
      </c>
      <c r="D52" s="48">
        <f>IFERROR(VLOOKUP(A52,Settings!$A$30:$C$59,3,FALSE),0)</f>
        <v/>
      </c>
      <c r="E52" s="48">
        <f>IFERROR(VLOOKUP(A52,Settings!$A$30:$C$59,3,FALSE),0)</f>
        <v/>
      </c>
      <c r="F52" s="48">
        <f>IFERROR(VLOOKUP(A52,Settings!$A$30:$C$59,3,FALSE),0)</f>
        <v/>
      </c>
      <c r="G52" s="48">
        <f>IFERROR(VLOOKUP(A52,Settings!$A$30:$C$59,3,FALSE),0)</f>
        <v/>
      </c>
      <c r="H52" s="48">
        <f>IFERROR(VLOOKUP(A52,Settings!$A$30:$C$59,3,FALSE),0)</f>
        <v/>
      </c>
      <c r="I52" s="48">
        <f>IFERROR(VLOOKUP(A52,Settings!$A$30:$C$59,3,FALSE),0)</f>
        <v/>
      </c>
      <c r="J52" s="48">
        <f>IFERROR(VLOOKUP(A52,Settings!$A$30:$C$59,3,FALSE),0)</f>
        <v/>
      </c>
      <c r="K52" s="48">
        <f>IFERROR(VLOOKUP(A52,Settings!$A$30:$C$59,3,FALSE),0)</f>
        <v/>
      </c>
      <c r="L52" s="48">
        <f>IFERROR(VLOOKUP(A52,Settings!$A$30:$C$59,3,FALSE),0)</f>
        <v/>
      </c>
      <c r="M52" s="48">
        <f>IFERROR(VLOOKUP(A52,Settings!$A$30:$C$59,3,FALSE),0)</f>
        <v/>
      </c>
      <c r="N52" s="48">
        <f>IFERROR(VLOOKUP(A52,Settings!$A$30:$C$59,3,FALSE),0)</f>
        <v/>
      </c>
      <c r="O52" s="72">
        <f>IFERROR(VLOOKUP(A52,Settings!$A$30:$C$59,3,FALSE),0)*12</f>
        <v/>
      </c>
    </row>
    <row r="53">
      <c r="A53" s="38" t="inlineStr">
        <is>
          <t>Internet</t>
        </is>
      </c>
      <c r="B53" s="71" t="inlineStr">
        <is>
          <t>Budget</t>
        </is>
      </c>
      <c r="C53" s="48">
        <f>IFERROR(VLOOKUP(A53,Settings!$A$30:$C$59,3,FALSE),0)</f>
        <v/>
      </c>
      <c r="D53" s="48">
        <f>IFERROR(VLOOKUP(A53,Settings!$A$30:$C$59,3,FALSE),0)</f>
        <v/>
      </c>
      <c r="E53" s="48">
        <f>IFERROR(VLOOKUP(A53,Settings!$A$30:$C$59,3,FALSE),0)</f>
        <v/>
      </c>
      <c r="F53" s="48">
        <f>IFERROR(VLOOKUP(A53,Settings!$A$30:$C$59,3,FALSE),0)</f>
        <v/>
      </c>
      <c r="G53" s="48">
        <f>IFERROR(VLOOKUP(A53,Settings!$A$30:$C$59,3,FALSE),0)</f>
        <v/>
      </c>
      <c r="H53" s="48">
        <f>IFERROR(VLOOKUP(A53,Settings!$A$30:$C$59,3,FALSE),0)</f>
        <v/>
      </c>
      <c r="I53" s="48">
        <f>IFERROR(VLOOKUP(A53,Settings!$A$30:$C$59,3,FALSE),0)</f>
        <v/>
      </c>
      <c r="J53" s="48">
        <f>IFERROR(VLOOKUP(A53,Settings!$A$30:$C$59,3,FALSE),0)</f>
        <v/>
      </c>
      <c r="K53" s="48">
        <f>IFERROR(VLOOKUP(A53,Settings!$A$30:$C$59,3,FALSE),0)</f>
        <v/>
      </c>
      <c r="L53" s="48">
        <f>IFERROR(VLOOKUP(A53,Settings!$A$30:$C$59,3,FALSE),0)</f>
        <v/>
      </c>
      <c r="M53" s="48">
        <f>IFERROR(VLOOKUP(A53,Settings!$A$30:$C$59,3,FALSE),0)</f>
        <v/>
      </c>
      <c r="N53" s="48">
        <f>IFERROR(VLOOKUP(A53,Settings!$A$30:$C$59,3,FALSE),0)</f>
        <v/>
      </c>
      <c r="O53" s="72">
        <f>IFERROR(VLOOKUP(A53,Settings!$A$30:$C$59,3,FALSE),0)*12</f>
        <v/>
      </c>
    </row>
    <row r="54">
      <c r="A54" s="38" t="inlineStr">
        <is>
          <t>Subscriptions</t>
        </is>
      </c>
      <c r="B54" s="71" t="inlineStr">
        <is>
          <t>Budget</t>
        </is>
      </c>
      <c r="C54" s="48">
        <f>IFERROR(VLOOKUP(A54,Settings!$A$30:$C$59,3,FALSE),0)</f>
        <v/>
      </c>
      <c r="D54" s="48">
        <f>IFERROR(VLOOKUP(A54,Settings!$A$30:$C$59,3,FALSE),0)</f>
        <v/>
      </c>
      <c r="E54" s="48">
        <f>IFERROR(VLOOKUP(A54,Settings!$A$30:$C$59,3,FALSE),0)</f>
        <v/>
      </c>
      <c r="F54" s="48">
        <f>IFERROR(VLOOKUP(A54,Settings!$A$30:$C$59,3,FALSE),0)</f>
        <v/>
      </c>
      <c r="G54" s="48">
        <f>IFERROR(VLOOKUP(A54,Settings!$A$30:$C$59,3,FALSE),0)</f>
        <v/>
      </c>
      <c r="H54" s="48">
        <f>IFERROR(VLOOKUP(A54,Settings!$A$30:$C$59,3,FALSE),0)</f>
        <v/>
      </c>
      <c r="I54" s="48">
        <f>IFERROR(VLOOKUP(A54,Settings!$A$30:$C$59,3,FALSE),0)</f>
        <v/>
      </c>
      <c r="J54" s="48">
        <f>IFERROR(VLOOKUP(A54,Settings!$A$30:$C$59,3,FALSE),0)</f>
        <v/>
      </c>
      <c r="K54" s="48">
        <f>IFERROR(VLOOKUP(A54,Settings!$A$30:$C$59,3,FALSE),0)</f>
        <v/>
      </c>
      <c r="L54" s="48">
        <f>IFERROR(VLOOKUP(A54,Settings!$A$30:$C$59,3,FALSE),0)</f>
        <v/>
      </c>
      <c r="M54" s="48">
        <f>IFERROR(VLOOKUP(A54,Settings!$A$30:$C$59,3,FALSE),0)</f>
        <v/>
      </c>
      <c r="N54" s="48">
        <f>IFERROR(VLOOKUP(A54,Settings!$A$30:$C$59,3,FALSE),0)</f>
        <v/>
      </c>
      <c r="O54" s="72">
        <f>IFERROR(VLOOKUP(A54,Settings!$A$30:$C$59,3,FALSE),0)*12</f>
        <v/>
      </c>
    </row>
    <row r="55">
      <c r="A55" s="38" t="inlineStr">
        <is>
          <t>Entertainment</t>
        </is>
      </c>
      <c r="B55" s="71" t="inlineStr">
        <is>
          <t>Budget</t>
        </is>
      </c>
      <c r="C55" s="48">
        <f>IFERROR(VLOOKUP(A55,Settings!$A$30:$C$59,3,FALSE),0)</f>
        <v/>
      </c>
      <c r="D55" s="48">
        <f>IFERROR(VLOOKUP(A55,Settings!$A$30:$C$59,3,FALSE),0)</f>
        <v/>
      </c>
      <c r="E55" s="48">
        <f>IFERROR(VLOOKUP(A55,Settings!$A$30:$C$59,3,FALSE),0)</f>
        <v/>
      </c>
      <c r="F55" s="48">
        <f>IFERROR(VLOOKUP(A55,Settings!$A$30:$C$59,3,FALSE),0)</f>
        <v/>
      </c>
      <c r="G55" s="48">
        <f>IFERROR(VLOOKUP(A55,Settings!$A$30:$C$59,3,FALSE),0)</f>
        <v/>
      </c>
      <c r="H55" s="48">
        <f>IFERROR(VLOOKUP(A55,Settings!$A$30:$C$59,3,FALSE),0)</f>
        <v/>
      </c>
      <c r="I55" s="48">
        <f>IFERROR(VLOOKUP(A55,Settings!$A$30:$C$59,3,FALSE),0)</f>
        <v/>
      </c>
      <c r="J55" s="48">
        <f>IFERROR(VLOOKUP(A55,Settings!$A$30:$C$59,3,FALSE),0)</f>
        <v/>
      </c>
      <c r="K55" s="48">
        <f>IFERROR(VLOOKUP(A55,Settings!$A$30:$C$59,3,FALSE),0)</f>
        <v/>
      </c>
      <c r="L55" s="48">
        <f>IFERROR(VLOOKUP(A55,Settings!$A$30:$C$59,3,FALSE),0)</f>
        <v/>
      </c>
      <c r="M55" s="48">
        <f>IFERROR(VLOOKUP(A55,Settings!$A$30:$C$59,3,FALSE),0)</f>
        <v/>
      </c>
      <c r="N55" s="48">
        <f>IFERROR(VLOOKUP(A55,Settings!$A$30:$C$59,3,FALSE),0)</f>
        <v/>
      </c>
      <c r="O55" s="72">
        <f>IFERROR(VLOOKUP(A55,Settings!$A$30:$C$59,3,FALSE),0)*12</f>
        <v/>
      </c>
    </row>
    <row r="56">
      <c r="A56" s="38" t="inlineStr">
        <is>
          <t>Shopping</t>
        </is>
      </c>
      <c r="B56" s="71" t="inlineStr">
        <is>
          <t>Budget</t>
        </is>
      </c>
      <c r="C56" s="48">
        <f>IFERROR(VLOOKUP(A56,Settings!$A$30:$C$59,3,FALSE),0)</f>
        <v/>
      </c>
      <c r="D56" s="48">
        <f>IFERROR(VLOOKUP(A56,Settings!$A$30:$C$59,3,FALSE),0)</f>
        <v/>
      </c>
      <c r="E56" s="48">
        <f>IFERROR(VLOOKUP(A56,Settings!$A$30:$C$59,3,FALSE),0)</f>
        <v/>
      </c>
      <c r="F56" s="48">
        <f>IFERROR(VLOOKUP(A56,Settings!$A$30:$C$59,3,FALSE),0)</f>
        <v/>
      </c>
      <c r="G56" s="48">
        <f>IFERROR(VLOOKUP(A56,Settings!$A$30:$C$59,3,FALSE),0)</f>
        <v/>
      </c>
      <c r="H56" s="48">
        <f>IFERROR(VLOOKUP(A56,Settings!$A$30:$C$59,3,FALSE),0)</f>
        <v/>
      </c>
      <c r="I56" s="48">
        <f>IFERROR(VLOOKUP(A56,Settings!$A$30:$C$59,3,FALSE),0)</f>
        <v/>
      </c>
      <c r="J56" s="48">
        <f>IFERROR(VLOOKUP(A56,Settings!$A$30:$C$59,3,FALSE),0)</f>
        <v/>
      </c>
      <c r="K56" s="48">
        <f>IFERROR(VLOOKUP(A56,Settings!$A$30:$C$59,3,FALSE),0)</f>
        <v/>
      </c>
      <c r="L56" s="48">
        <f>IFERROR(VLOOKUP(A56,Settings!$A$30:$C$59,3,FALSE),0)</f>
        <v/>
      </c>
      <c r="M56" s="48">
        <f>IFERROR(VLOOKUP(A56,Settings!$A$30:$C$59,3,FALSE),0)</f>
        <v/>
      </c>
      <c r="N56" s="48">
        <f>IFERROR(VLOOKUP(A56,Settings!$A$30:$C$59,3,FALSE),0)</f>
        <v/>
      </c>
      <c r="O56" s="72">
        <f>IFERROR(VLOOKUP(A56,Settings!$A$30:$C$59,3,FALSE),0)*12</f>
        <v/>
      </c>
    </row>
    <row r="57">
      <c r="A57" s="38" t="inlineStr">
        <is>
          <t>Clothing</t>
        </is>
      </c>
      <c r="B57" s="71" t="inlineStr">
        <is>
          <t>Budget</t>
        </is>
      </c>
      <c r="C57" s="48">
        <f>IFERROR(VLOOKUP(A57,Settings!$A$30:$C$59,3,FALSE),0)</f>
        <v/>
      </c>
      <c r="D57" s="48">
        <f>IFERROR(VLOOKUP(A57,Settings!$A$30:$C$59,3,FALSE),0)</f>
        <v/>
      </c>
      <c r="E57" s="48">
        <f>IFERROR(VLOOKUP(A57,Settings!$A$30:$C$59,3,FALSE),0)</f>
        <v/>
      </c>
      <c r="F57" s="48">
        <f>IFERROR(VLOOKUP(A57,Settings!$A$30:$C$59,3,FALSE),0)</f>
        <v/>
      </c>
      <c r="G57" s="48">
        <f>IFERROR(VLOOKUP(A57,Settings!$A$30:$C$59,3,FALSE),0)</f>
        <v/>
      </c>
      <c r="H57" s="48">
        <f>IFERROR(VLOOKUP(A57,Settings!$A$30:$C$59,3,FALSE),0)</f>
        <v/>
      </c>
      <c r="I57" s="48">
        <f>IFERROR(VLOOKUP(A57,Settings!$A$30:$C$59,3,FALSE),0)</f>
        <v/>
      </c>
      <c r="J57" s="48">
        <f>IFERROR(VLOOKUP(A57,Settings!$A$30:$C$59,3,FALSE),0)</f>
        <v/>
      </c>
      <c r="K57" s="48">
        <f>IFERROR(VLOOKUP(A57,Settings!$A$30:$C$59,3,FALSE),0)</f>
        <v/>
      </c>
      <c r="L57" s="48">
        <f>IFERROR(VLOOKUP(A57,Settings!$A$30:$C$59,3,FALSE),0)</f>
        <v/>
      </c>
      <c r="M57" s="48">
        <f>IFERROR(VLOOKUP(A57,Settings!$A$30:$C$59,3,FALSE),0)</f>
        <v/>
      </c>
      <c r="N57" s="48">
        <f>IFERROR(VLOOKUP(A57,Settings!$A$30:$C$59,3,FALSE),0)</f>
        <v/>
      </c>
      <c r="O57" s="72">
        <f>IFERROR(VLOOKUP(A57,Settings!$A$30:$C$59,3,FALSE),0)*12</f>
        <v/>
      </c>
    </row>
    <row r="58">
      <c r="A58" s="38" t="inlineStr">
        <is>
          <t>Personal Care</t>
        </is>
      </c>
      <c r="B58" s="71" t="inlineStr">
        <is>
          <t>Budget</t>
        </is>
      </c>
      <c r="C58" s="48">
        <f>IFERROR(VLOOKUP(A58,Settings!$A$30:$C$59,3,FALSE),0)</f>
        <v/>
      </c>
      <c r="D58" s="48">
        <f>IFERROR(VLOOKUP(A58,Settings!$A$30:$C$59,3,FALSE),0)</f>
        <v/>
      </c>
      <c r="E58" s="48">
        <f>IFERROR(VLOOKUP(A58,Settings!$A$30:$C$59,3,FALSE),0)</f>
        <v/>
      </c>
      <c r="F58" s="48">
        <f>IFERROR(VLOOKUP(A58,Settings!$A$30:$C$59,3,FALSE),0)</f>
        <v/>
      </c>
      <c r="G58" s="48">
        <f>IFERROR(VLOOKUP(A58,Settings!$A$30:$C$59,3,FALSE),0)</f>
        <v/>
      </c>
      <c r="H58" s="48">
        <f>IFERROR(VLOOKUP(A58,Settings!$A$30:$C$59,3,FALSE),0)</f>
        <v/>
      </c>
      <c r="I58" s="48">
        <f>IFERROR(VLOOKUP(A58,Settings!$A$30:$C$59,3,FALSE),0)</f>
        <v/>
      </c>
      <c r="J58" s="48">
        <f>IFERROR(VLOOKUP(A58,Settings!$A$30:$C$59,3,FALSE),0)</f>
        <v/>
      </c>
      <c r="K58" s="48">
        <f>IFERROR(VLOOKUP(A58,Settings!$A$30:$C$59,3,FALSE),0)</f>
        <v/>
      </c>
      <c r="L58" s="48">
        <f>IFERROR(VLOOKUP(A58,Settings!$A$30:$C$59,3,FALSE),0)</f>
        <v/>
      </c>
      <c r="M58" s="48">
        <f>IFERROR(VLOOKUP(A58,Settings!$A$30:$C$59,3,FALSE),0)</f>
        <v/>
      </c>
      <c r="N58" s="48">
        <f>IFERROR(VLOOKUP(A58,Settings!$A$30:$C$59,3,FALSE),0)</f>
        <v/>
      </c>
      <c r="O58" s="72">
        <f>IFERROR(VLOOKUP(A58,Settings!$A$30:$C$59,3,FALSE),0)*12</f>
        <v/>
      </c>
    </row>
    <row r="59">
      <c r="A59" s="38" t="inlineStr">
        <is>
          <t>Gym/Fitness</t>
        </is>
      </c>
      <c r="B59" s="71" t="inlineStr">
        <is>
          <t>Budget</t>
        </is>
      </c>
      <c r="C59" s="48">
        <f>IFERROR(VLOOKUP(A59,Settings!$A$30:$C$59,3,FALSE),0)</f>
        <v/>
      </c>
      <c r="D59" s="48">
        <f>IFERROR(VLOOKUP(A59,Settings!$A$30:$C$59,3,FALSE),0)</f>
        <v/>
      </c>
      <c r="E59" s="48">
        <f>IFERROR(VLOOKUP(A59,Settings!$A$30:$C$59,3,FALSE),0)</f>
        <v/>
      </c>
      <c r="F59" s="48">
        <f>IFERROR(VLOOKUP(A59,Settings!$A$30:$C$59,3,FALSE),0)</f>
        <v/>
      </c>
      <c r="G59" s="48">
        <f>IFERROR(VLOOKUP(A59,Settings!$A$30:$C$59,3,FALSE),0)</f>
        <v/>
      </c>
      <c r="H59" s="48">
        <f>IFERROR(VLOOKUP(A59,Settings!$A$30:$C$59,3,FALSE),0)</f>
        <v/>
      </c>
      <c r="I59" s="48">
        <f>IFERROR(VLOOKUP(A59,Settings!$A$30:$C$59,3,FALSE),0)</f>
        <v/>
      </c>
      <c r="J59" s="48">
        <f>IFERROR(VLOOKUP(A59,Settings!$A$30:$C$59,3,FALSE),0)</f>
        <v/>
      </c>
      <c r="K59" s="48">
        <f>IFERROR(VLOOKUP(A59,Settings!$A$30:$C$59,3,FALSE),0)</f>
        <v/>
      </c>
      <c r="L59" s="48">
        <f>IFERROR(VLOOKUP(A59,Settings!$A$30:$C$59,3,FALSE),0)</f>
        <v/>
      </c>
      <c r="M59" s="48">
        <f>IFERROR(VLOOKUP(A59,Settings!$A$30:$C$59,3,FALSE),0)</f>
        <v/>
      </c>
      <c r="N59" s="48">
        <f>IFERROR(VLOOKUP(A59,Settings!$A$30:$C$59,3,FALSE),0)</f>
        <v/>
      </c>
      <c r="O59" s="72">
        <f>IFERROR(VLOOKUP(A59,Settings!$A$30:$C$59,3,FALSE),0)*12</f>
        <v/>
      </c>
    </row>
    <row r="60">
      <c r="A60" s="38" t="inlineStr">
        <is>
          <t>Pets</t>
        </is>
      </c>
      <c r="B60" s="71" t="inlineStr">
        <is>
          <t>Budget</t>
        </is>
      </c>
      <c r="C60" s="48">
        <f>IFERROR(VLOOKUP(A60,Settings!$A$30:$C$59,3,FALSE),0)</f>
        <v/>
      </c>
      <c r="D60" s="48">
        <f>IFERROR(VLOOKUP(A60,Settings!$A$30:$C$59,3,FALSE),0)</f>
        <v/>
      </c>
      <c r="E60" s="48">
        <f>IFERROR(VLOOKUP(A60,Settings!$A$30:$C$59,3,FALSE),0)</f>
        <v/>
      </c>
      <c r="F60" s="48">
        <f>IFERROR(VLOOKUP(A60,Settings!$A$30:$C$59,3,FALSE),0)</f>
        <v/>
      </c>
      <c r="G60" s="48">
        <f>IFERROR(VLOOKUP(A60,Settings!$A$30:$C$59,3,FALSE),0)</f>
        <v/>
      </c>
      <c r="H60" s="48">
        <f>IFERROR(VLOOKUP(A60,Settings!$A$30:$C$59,3,FALSE),0)</f>
        <v/>
      </c>
      <c r="I60" s="48">
        <f>IFERROR(VLOOKUP(A60,Settings!$A$30:$C$59,3,FALSE),0)</f>
        <v/>
      </c>
      <c r="J60" s="48">
        <f>IFERROR(VLOOKUP(A60,Settings!$A$30:$C$59,3,FALSE),0)</f>
        <v/>
      </c>
      <c r="K60" s="48">
        <f>IFERROR(VLOOKUP(A60,Settings!$A$30:$C$59,3,FALSE),0)</f>
        <v/>
      </c>
      <c r="L60" s="48">
        <f>IFERROR(VLOOKUP(A60,Settings!$A$30:$C$59,3,FALSE),0)</f>
        <v/>
      </c>
      <c r="M60" s="48">
        <f>IFERROR(VLOOKUP(A60,Settings!$A$30:$C$59,3,FALSE),0)</f>
        <v/>
      </c>
      <c r="N60" s="48">
        <f>IFERROR(VLOOKUP(A60,Settings!$A$30:$C$59,3,FALSE),0)</f>
        <v/>
      </c>
      <c r="O60" s="72">
        <f>IFERROR(VLOOKUP(A60,Settings!$A$30:$C$59,3,FALSE),0)*12</f>
        <v/>
      </c>
    </row>
    <row r="61">
      <c r="A61" s="38" t="inlineStr">
        <is>
          <t>Kids</t>
        </is>
      </c>
      <c r="B61" s="71" t="inlineStr">
        <is>
          <t>Budget</t>
        </is>
      </c>
      <c r="C61" s="48">
        <f>IFERROR(VLOOKUP(A61,Settings!$A$30:$C$59,3,FALSE),0)</f>
        <v/>
      </c>
      <c r="D61" s="48">
        <f>IFERROR(VLOOKUP(A61,Settings!$A$30:$C$59,3,FALSE),0)</f>
        <v/>
      </c>
      <c r="E61" s="48">
        <f>IFERROR(VLOOKUP(A61,Settings!$A$30:$C$59,3,FALSE),0)</f>
        <v/>
      </c>
      <c r="F61" s="48">
        <f>IFERROR(VLOOKUP(A61,Settings!$A$30:$C$59,3,FALSE),0)</f>
        <v/>
      </c>
      <c r="G61" s="48">
        <f>IFERROR(VLOOKUP(A61,Settings!$A$30:$C$59,3,FALSE),0)</f>
        <v/>
      </c>
      <c r="H61" s="48">
        <f>IFERROR(VLOOKUP(A61,Settings!$A$30:$C$59,3,FALSE),0)</f>
        <v/>
      </c>
      <c r="I61" s="48">
        <f>IFERROR(VLOOKUP(A61,Settings!$A$30:$C$59,3,FALSE),0)</f>
        <v/>
      </c>
      <c r="J61" s="48">
        <f>IFERROR(VLOOKUP(A61,Settings!$A$30:$C$59,3,FALSE),0)</f>
        <v/>
      </c>
      <c r="K61" s="48">
        <f>IFERROR(VLOOKUP(A61,Settings!$A$30:$C$59,3,FALSE),0)</f>
        <v/>
      </c>
      <c r="L61" s="48">
        <f>IFERROR(VLOOKUP(A61,Settings!$A$30:$C$59,3,FALSE),0)</f>
        <v/>
      </c>
      <c r="M61" s="48">
        <f>IFERROR(VLOOKUP(A61,Settings!$A$30:$C$59,3,FALSE),0)</f>
        <v/>
      </c>
      <c r="N61" s="48">
        <f>IFERROR(VLOOKUP(A61,Settings!$A$30:$C$59,3,FALSE),0)</f>
        <v/>
      </c>
      <c r="O61" s="72">
        <f>IFERROR(VLOOKUP(A61,Settings!$A$30:$C$59,3,FALSE),0)*12</f>
        <v/>
      </c>
    </row>
    <row r="62">
      <c r="A62" s="38" t="inlineStr">
        <is>
          <t>Gifts/Donations</t>
        </is>
      </c>
      <c r="B62" s="71" t="inlineStr">
        <is>
          <t>Budget</t>
        </is>
      </c>
      <c r="C62" s="48">
        <f>IFERROR(VLOOKUP(A62,Settings!$A$30:$C$59,3,FALSE),0)</f>
        <v/>
      </c>
      <c r="D62" s="48">
        <f>IFERROR(VLOOKUP(A62,Settings!$A$30:$C$59,3,FALSE),0)</f>
        <v/>
      </c>
      <c r="E62" s="48">
        <f>IFERROR(VLOOKUP(A62,Settings!$A$30:$C$59,3,FALSE),0)</f>
        <v/>
      </c>
      <c r="F62" s="48">
        <f>IFERROR(VLOOKUP(A62,Settings!$A$30:$C$59,3,FALSE),0)</f>
        <v/>
      </c>
      <c r="G62" s="48">
        <f>IFERROR(VLOOKUP(A62,Settings!$A$30:$C$59,3,FALSE),0)</f>
        <v/>
      </c>
      <c r="H62" s="48">
        <f>IFERROR(VLOOKUP(A62,Settings!$A$30:$C$59,3,FALSE),0)</f>
        <v/>
      </c>
      <c r="I62" s="48">
        <f>IFERROR(VLOOKUP(A62,Settings!$A$30:$C$59,3,FALSE),0)</f>
        <v/>
      </c>
      <c r="J62" s="48">
        <f>IFERROR(VLOOKUP(A62,Settings!$A$30:$C$59,3,FALSE),0)</f>
        <v/>
      </c>
      <c r="K62" s="48">
        <f>IFERROR(VLOOKUP(A62,Settings!$A$30:$C$59,3,FALSE),0)</f>
        <v/>
      </c>
      <c r="L62" s="48">
        <f>IFERROR(VLOOKUP(A62,Settings!$A$30:$C$59,3,FALSE),0)</f>
        <v/>
      </c>
      <c r="M62" s="48">
        <f>IFERROR(VLOOKUP(A62,Settings!$A$30:$C$59,3,FALSE),0)</f>
        <v/>
      </c>
      <c r="N62" s="48">
        <f>IFERROR(VLOOKUP(A62,Settings!$A$30:$C$59,3,FALSE),0)</f>
        <v/>
      </c>
      <c r="O62" s="72">
        <f>IFERROR(VLOOKUP(A62,Settings!$A$30:$C$59,3,FALSE),0)*12</f>
        <v/>
      </c>
    </row>
    <row r="63">
      <c r="A63" s="38" t="inlineStr">
        <is>
          <t>Travel</t>
        </is>
      </c>
      <c r="B63" s="71" t="inlineStr">
        <is>
          <t>Budget</t>
        </is>
      </c>
      <c r="C63" s="48">
        <f>IFERROR(VLOOKUP(A63,Settings!$A$30:$C$59,3,FALSE),0)</f>
        <v/>
      </c>
      <c r="D63" s="48">
        <f>IFERROR(VLOOKUP(A63,Settings!$A$30:$C$59,3,FALSE),0)</f>
        <v/>
      </c>
      <c r="E63" s="48">
        <f>IFERROR(VLOOKUP(A63,Settings!$A$30:$C$59,3,FALSE),0)</f>
        <v/>
      </c>
      <c r="F63" s="48">
        <f>IFERROR(VLOOKUP(A63,Settings!$A$30:$C$59,3,FALSE),0)</f>
        <v/>
      </c>
      <c r="G63" s="48">
        <f>IFERROR(VLOOKUP(A63,Settings!$A$30:$C$59,3,FALSE),0)</f>
        <v/>
      </c>
      <c r="H63" s="48">
        <f>IFERROR(VLOOKUP(A63,Settings!$A$30:$C$59,3,FALSE),0)</f>
        <v/>
      </c>
      <c r="I63" s="48">
        <f>IFERROR(VLOOKUP(A63,Settings!$A$30:$C$59,3,FALSE),0)</f>
        <v/>
      </c>
      <c r="J63" s="48">
        <f>IFERROR(VLOOKUP(A63,Settings!$A$30:$C$59,3,FALSE),0)</f>
        <v/>
      </c>
      <c r="K63" s="48">
        <f>IFERROR(VLOOKUP(A63,Settings!$A$30:$C$59,3,FALSE),0)</f>
        <v/>
      </c>
      <c r="L63" s="48">
        <f>IFERROR(VLOOKUP(A63,Settings!$A$30:$C$59,3,FALSE),0)</f>
        <v/>
      </c>
      <c r="M63" s="48">
        <f>IFERROR(VLOOKUP(A63,Settings!$A$30:$C$59,3,FALSE),0)</f>
        <v/>
      </c>
      <c r="N63" s="48">
        <f>IFERROR(VLOOKUP(A63,Settings!$A$30:$C$59,3,FALSE),0)</f>
        <v/>
      </c>
      <c r="O63" s="72">
        <f>IFERROR(VLOOKUP(A63,Settings!$A$30:$C$59,3,FALSE),0)*12</f>
        <v/>
      </c>
    </row>
    <row r="64">
      <c r="A64" s="38" t="inlineStr">
        <is>
          <t>Miscellaneous</t>
        </is>
      </c>
      <c r="B64" s="71" t="inlineStr">
        <is>
          <t>Budget</t>
        </is>
      </c>
      <c r="C64" s="48">
        <f>IFERROR(VLOOKUP(A64,Settings!$A$30:$C$59,3,FALSE),0)</f>
        <v/>
      </c>
      <c r="D64" s="48">
        <f>IFERROR(VLOOKUP(A64,Settings!$A$30:$C$59,3,FALSE),0)</f>
        <v/>
      </c>
      <c r="E64" s="48">
        <f>IFERROR(VLOOKUP(A64,Settings!$A$30:$C$59,3,FALSE),0)</f>
        <v/>
      </c>
      <c r="F64" s="48">
        <f>IFERROR(VLOOKUP(A64,Settings!$A$30:$C$59,3,FALSE),0)</f>
        <v/>
      </c>
      <c r="G64" s="48">
        <f>IFERROR(VLOOKUP(A64,Settings!$A$30:$C$59,3,FALSE),0)</f>
        <v/>
      </c>
      <c r="H64" s="48">
        <f>IFERROR(VLOOKUP(A64,Settings!$A$30:$C$59,3,FALSE),0)</f>
        <v/>
      </c>
      <c r="I64" s="48">
        <f>IFERROR(VLOOKUP(A64,Settings!$A$30:$C$59,3,FALSE),0)</f>
        <v/>
      </c>
      <c r="J64" s="48">
        <f>IFERROR(VLOOKUP(A64,Settings!$A$30:$C$59,3,FALSE),0)</f>
        <v/>
      </c>
      <c r="K64" s="48">
        <f>IFERROR(VLOOKUP(A64,Settings!$A$30:$C$59,3,FALSE),0)</f>
        <v/>
      </c>
      <c r="L64" s="48">
        <f>IFERROR(VLOOKUP(A64,Settings!$A$30:$C$59,3,FALSE),0)</f>
        <v/>
      </c>
      <c r="M64" s="48">
        <f>IFERROR(VLOOKUP(A64,Settings!$A$30:$C$59,3,FALSE),0)</f>
        <v/>
      </c>
      <c r="N64" s="48">
        <f>IFERROR(VLOOKUP(A64,Settings!$A$30:$C$59,3,FALSE),0)</f>
        <v/>
      </c>
      <c r="O64" s="72">
        <f>IFERROR(VLOOKUP(A64,Settings!$A$30:$C$59,3,FALSE),0)*12</f>
        <v/>
      </c>
    </row>
  </sheetData>
  <mergeCells count="2">
    <mergeCell ref="A34:O34"/>
    <mergeCell ref="A1:O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C0907E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s="29" t="inlineStr">
        <is>
          <t>Changelog</t>
        </is>
      </c>
      <c r="B1" s="2" t="n"/>
      <c r="C1" s="2" t="n"/>
    </row>
    <row r="2">
      <c r="A2" s="45" t="inlineStr">
        <is>
          <t>Version</t>
        </is>
      </c>
      <c r="B2" s="45" t="inlineStr">
        <is>
          <t>Date</t>
        </is>
      </c>
      <c r="C2" s="45" t="inlineStr">
        <is>
          <t>Notes</t>
        </is>
      </c>
    </row>
    <row r="3">
      <c r="A3" s="38" t="inlineStr">
        <is>
          <t>3.0</t>
        </is>
      </c>
      <c r="B3" s="38" t="inlineStr">
        <is>
          <t>2024-01-01</t>
        </is>
      </c>
      <c r="C3" s="35" t="inlineStr">
        <is>
          <t>Updated based on customer feedback — complete redesign with 28 tabs</t>
        </is>
      </c>
    </row>
    <row r="4">
      <c r="A4" s="38" t="inlineStr">
        <is>
          <t>2.5</t>
        </is>
      </c>
      <c r="B4" s="38" t="inlineStr">
        <is>
          <t>2023-07-01</t>
        </is>
      </c>
      <c r="C4" s="35" t="inlineStr">
        <is>
          <t>Added Sinking Funds, No-Spend Tracker, Subscriptions tabs</t>
        </is>
      </c>
    </row>
    <row r="5">
      <c r="A5" s="38" t="inlineStr">
        <is>
          <t>2.0</t>
        </is>
      </c>
      <c r="B5" s="38" t="inlineStr">
        <is>
          <t>2023-01-01</t>
        </is>
      </c>
      <c r="C5" s="35" t="inlineStr">
        <is>
          <t>Added Debt Tracker, Savings Goals, Net Worth, Bill Calendar</t>
        </is>
      </c>
    </row>
    <row r="6">
      <c r="A6" s="38" t="inlineStr">
        <is>
          <t>1.5</t>
        </is>
      </c>
      <c r="B6" s="38" t="inlineStr">
        <is>
          <t>2022-07-01</t>
        </is>
      </c>
      <c r="C6" s="35" t="inlineStr">
        <is>
          <t>Added Annual Summary, 12 monthly tabs, currency support</t>
        </is>
      </c>
    </row>
    <row r="7">
      <c r="A7" s="38" t="inlineStr">
        <is>
          <t>1.0</t>
        </is>
      </c>
      <c r="B7" s="38" t="inlineStr">
        <is>
          <t>2022-01-01</t>
        </is>
      </c>
      <c r="C7" s="35" t="inlineStr">
        <is>
          <t>Initial release — Dashboard, Transactions, Recurring</t>
        </is>
      </c>
    </row>
    <row r="9">
      <c r="A9" s="30" t="inlineStr">
        <is>
          <t>FEATURES INCLUDED IN VERSION 3.0</t>
        </is>
      </c>
    </row>
    <row r="10">
      <c r="A10" s="38" t="inlineStr">
        <is>
          <t>✓ 28 complete tabs</t>
        </is>
      </c>
    </row>
    <row r="11">
      <c r="A11" s="38" t="inlineStr">
        <is>
          <t>✓ Recurring Automations feeding Bill Calendar</t>
        </is>
      </c>
    </row>
    <row r="12">
      <c r="A12" s="38" t="inlineStr">
        <is>
          <t>✓ Dashboard with 5 charts and KPI cards</t>
        </is>
      </c>
    </row>
    <row r="13">
      <c r="A13" s="38" t="inlineStr">
        <is>
          <t>✓ 12 monthly Budget vs Actual tabs</t>
        </is>
      </c>
    </row>
    <row r="14">
      <c r="A14" s="38" t="inlineStr">
        <is>
          <t>✓ Debt Tracker with NPER payoff calculator</t>
        </is>
      </c>
    </row>
    <row r="15">
      <c r="A15" s="38" t="inlineStr">
        <is>
          <t>✓ Savings Goals with progress bars</t>
        </is>
      </c>
    </row>
    <row r="16">
      <c r="A16" s="38" t="inlineStr">
        <is>
          <t>✓ No-Spend Day Tracker with calendar</t>
        </is>
      </c>
    </row>
    <row r="17">
      <c r="A17" s="38" t="inlineStr">
        <is>
          <t>✓ Global currency selector (20 currencies)</t>
        </is>
      </c>
    </row>
    <row r="18">
      <c r="A18" s="38" t="inlineStr">
        <is>
          <t>✓ Net Worth tracker</t>
        </is>
      </c>
    </row>
    <row r="19">
      <c r="A19" s="38" t="inlineStr">
        <is>
          <t>✓ Subscriptions tracker</t>
        </is>
      </c>
    </row>
    <row r="20">
      <c r="A20" s="38" t="inlineStr">
        <is>
          <t>✓ Income Tracker by category</t>
        </is>
      </c>
    </row>
    <row r="21">
      <c r="A21" s="38" t="inlineStr">
        <is>
          <t>✓ Spending Analysis with % breakdown</t>
        </is>
      </c>
    </row>
    <row r="22">
      <c r="A22" s="38" t="inlineStr">
        <is>
          <t>✓ Excel + Google Sheets compatible</t>
        </is>
      </c>
    </row>
    <row r="23">
      <c r="A23" s="38" t="inlineStr">
        <is>
          <t>✓ No copy/paste required — single data entry</t>
        </is>
      </c>
    </row>
  </sheetData>
  <mergeCells count="16">
    <mergeCell ref="A10:C10"/>
    <mergeCell ref="A13:C13"/>
    <mergeCell ref="A11:C11"/>
    <mergeCell ref="A19:C19"/>
    <mergeCell ref="A1:C1"/>
    <mergeCell ref="A23:C23"/>
    <mergeCell ref="A14:C14"/>
    <mergeCell ref="A22:C22"/>
    <mergeCell ref="A17:C17"/>
    <mergeCell ref="A9:C9"/>
    <mergeCell ref="A18:C18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2026-06-23T17:40:58Z</dcterms:created>
  <dcterms:modified xsi:type="dcterms:W3CDTF">2026-06-23T17:40:58Z</dcterms:modified>
</cp:coreProperties>
</file>