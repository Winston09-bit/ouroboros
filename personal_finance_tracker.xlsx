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Jan" sheetId="2" state="visible" r:id="rId2"/>
    <sheet name="Feb" sheetId="3" state="visible" r:id="rId3"/>
    <sheet name="Mar" sheetId="4" state="visible" r:id="rId4"/>
    <sheet name="Apr" sheetId="5" state="visible" r:id="rId5"/>
    <sheet name="May" sheetId="6" state="visible" r:id="rId6"/>
    <sheet name="Jun" sheetId="7" state="visible" r:id="rId7"/>
    <sheet name="Jul" sheetId="8" state="visible" r:id="rId8"/>
    <sheet name="Aug" sheetId="9" state="visible" r:id="rId9"/>
    <sheet name="Sep" sheetId="10" state="visible" r:id="rId10"/>
    <sheet name="Oct" sheetId="11" state="visible" r:id="rId11"/>
    <sheet name="Nov" sheetId="12" state="visible" r:id="rId12"/>
    <sheet name="Dec" sheetId="13" state="visible" r:id="rId13"/>
    <sheet name="Debt Tracker" sheetId="14" state="visible" r:id="rId14"/>
    <sheet name="Bill Calendar" sheetId="15" state="visible" r:id="rId15"/>
    <sheet name="Savings Goals" sheetId="16" state="visible" r:id="rId16"/>
    <sheet name="Annual Overview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MM/DD"/>
    <numFmt numFmtId="167" formatCode="MM/DD/YYYY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color rgb="00999999"/>
      <sz val="9"/>
    </font>
    <font>
      <name val="Arial"/>
      <b val="1"/>
      <color rgb="00FFFFFF"/>
      <sz val="10"/>
    </font>
    <font>
      <name val="Arial"/>
      <b val="1"/>
      <color rgb="004A6741"/>
      <sz val="12"/>
    </font>
    <font>
      <name val="Arial"/>
      <b val="1"/>
      <color rgb="00FFFFFF"/>
      <sz val="14"/>
    </font>
    <font>
      <name val="Arial"/>
      <color rgb="004A6741"/>
      <sz val="10"/>
    </font>
    <font>
      <name val="Arial"/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4A6741"/>
      </patternFill>
    </fill>
    <fill>
      <patternFill patternType="solid">
        <fgColor rgb="00C97B5A"/>
      </patternFill>
    </fill>
    <fill>
      <patternFill patternType="solid">
        <fgColor rgb="00FFFFFF"/>
      </patternFill>
    </fill>
    <fill>
      <patternFill patternType="solid">
        <fgColor rgb="00FAF6F0"/>
      </patternFill>
    </fill>
    <fill>
      <patternFill patternType="solid">
        <fgColor rgb="00E8F5E3"/>
      </patternFill>
    </fill>
    <fill>
      <patternFill patternType="solid">
        <fgColor rgb="00FFFF9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4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9" fillId="6" borderId="6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3" fillId="6" borderId="7" applyAlignment="1" pivotButton="0" quotePrefix="0" xfId="0">
      <alignment horizontal="left" vertical="center" wrapText="1"/>
    </xf>
    <xf numFmtId="0" fontId="3" fillId="6" borderId="7" pivotButton="0" quotePrefix="0" xfId="0"/>
    <xf numFmtId="164" fontId="3" fillId="6" borderId="7" applyAlignment="1" pivotButton="0" quotePrefix="0" xfId="0">
      <alignment horizontal="right" vertical="center"/>
    </xf>
    <xf numFmtId="165" fontId="3" fillId="6" borderId="7" applyAlignment="1" pivotButton="0" quotePrefix="0" xfId="0">
      <alignment horizontal="right" vertical="center"/>
    </xf>
    <xf numFmtId="0" fontId="3" fillId="5" borderId="7" applyAlignment="1" pivotButton="0" quotePrefix="0" xfId="0">
      <alignment horizontal="left" vertical="center" wrapText="1"/>
    </xf>
    <xf numFmtId="0" fontId="3" fillId="5" borderId="7" pivotButton="0" quotePrefix="0" xfId="0"/>
    <xf numFmtId="164" fontId="3" fillId="5" borderId="7" applyAlignment="1" pivotButton="0" quotePrefix="0" xfId="0">
      <alignment horizontal="right" vertical="center"/>
    </xf>
    <xf numFmtId="165" fontId="3" fillId="5" borderId="7" applyAlignment="1" pivotButton="0" quotePrefix="0" xfId="0">
      <alignment horizontal="right" vertical="center"/>
    </xf>
    <xf numFmtId="0" fontId="3" fillId="3" borderId="7" applyAlignment="1" pivotButton="0" quotePrefix="0" xfId="0">
      <alignment horizontal="left" vertical="center" wrapText="1"/>
    </xf>
    <xf numFmtId="0" fontId="3" fillId="3" borderId="7" pivotButton="0" quotePrefix="0" xfId="0"/>
    <xf numFmtId="164" fontId="3" fillId="3" borderId="7" applyAlignment="1" pivotButton="0" quotePrefix="0" xfId="0">
      <alignment horizontal="right" vertical="center"/>
    </xf>
    <xf numFmtId="165" fontId="3" fillId="3" borderId="7" applyAlignment="1" pivotButton="0" quotePrefix="0" xfId="0">
      <alignment horizontal="right" vertical="center"/>
    </xf>
    <xf numFmtId="0" fontId="0" fillId="3" borderId="0" pivotButton="0" quotePrefix="0" xfId="0"/>
    <xf numFmtId="0" fontId="8" fillId="2" borderId="1" pivotButton="0" quotePrefix="0" xfId="0"/>
    <xf numFmtId="49" fontId="4" fillId="4" borderId="1" applyAlignment="1" pivotButton="0" quotePrefix="0" xfId="0">
      <alignment horizontal="right" vertical="center"/>
    </xf>
    <xf numFmtId="10" fontId="4" fillId="4" borderId="1" applyAlignment="1" pivotButton="0" quotePrefix="0" xfId="0">
      <alignment horizontal="right" vertical="center"/>
    </xf>
    <xf numFmtId="167" fontId="4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right" vertical="center"/>
    </xf>
    <xf numFmtId="49" fontId="4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right" vertical="center"/>
    </xf>
    <xf numFmtId="0" fontId="0" fillId="4" borderId="1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11" fillId="0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3" customWidth="1" min="7" max="7"/>
    <col width="25" customWidth="1" min="8" max="8"/>
    <col width="15" customWidth="1" min="9" max="9"/>
    <col width="12" customWidth="1" min="10" max="10"/>
    <col width="12" customWidth="1" min="11" max="11"/>
    <col width="15" customWidth="1" min="12" max="12"/>
  </cols>
  <sheetData>
    <row r="1" ht="40" customHeight="1">
      <c r="A1" s="1" t="inlineStr">
        <is>
          <t>💰 Personal Finance Command Center</t>
        </is>
      </c>
    </row>
    <row r="3">
      <c r="A3" s="2" t="inlineStr">
        <is>
          <t>📊 BUDGET SUMMARY</t>
        </is>
      </c>
      <c r="H3" s="3" t="inlineStr">
        <is>
          <t>💾 SAVINGS SNAPSHOT</t>
        </is>
      </c>
    </row>
    <row r="4">
      <c r="A4" s="4" t="inlineStr">
        <is>
          <t>Annual Income</t>
        </is>
      </c>
      <c r="B4" s="5" t="n"/>
      <c r="C4" s="6" t="n"/>
      <c r="D4" s="7" t="n"/>
      <c r="E4" s="5" t="n"/>
      <c r="F4" s="6" t="n"/>
      <c r="H4" s="4" t="inlineStr">
        <is>
          <t>Emergency Fund Goal</t>
        </is>
      </c>
      <c r="I4" s="5" t="n"/>
      <c r="J4" s="6" t="n"/>
      <c r="K4" s="7" t="n"/>
      <c r="L4" s="6" t="n"/>
    </row>
    <row r="5">
      <c r="A5" s="4" t="inlineStr">
        <is>
          <t>Monthly Income</t>
        </is>
      </c>
      <c r="B5" s="5" t="n"/>
      <c r="C5" s="6" t="n"/>
      <c r="D5" s="8">
        <f>IFERROR(D4/12,0)</f>
        <v/>
      </c>
      <c r="E5" s="5" t="n"/>
      <c r="F5" s="6" t="n"/>
      <c r="H5" s="4" t="inlineStr">
        <is>
          <t>Current Emergency Fund</t>
        </is>
      </c>
      <c r="I5" s="5" t="n"/>
      <c r="J5" s="6" t="n"/>
      <c r="K5" s="7" t="n"/>
      <c r="L5" s="6" t="n"/>
    </row>
    <row r="6">
      <c r="A6" s="4" t="inlineStr">
        <is>
          <t>Total Monthly Expenses</t>
        </is>
      </c>
      <c r="B6" s="5" t="n"/>
      <c r="C6" s="6" t="n"/>
      <c r="D6" s="9">
        <f>IFERROR(Jan!G50,0)</f>
        <v/>
      </c>
      <c r="E6" s="5" t="n"/>
      <c r="F6" s="6" t="n"/>
      <c r="H6" s="4" t="inlineStr">
        <is>
          <t>% Funded</t>
        </is>
      </c>
      <c r="I6" s="5" t="n"/>
      <c r="J6" s="6" t="n"/>
      <c r="K6" s="10">
        <f>IFERROR(H5/H4,0)</f>
        <v/>
      </c>
      <c r="L6" s="6" t="n"/>
    </row>
    <row r="7">
      <c r="A7" s="4" t="inlineStr">
        <is>
          <t>Left to Spend</t>
        </is>
      </c>
      <c r="B7" s="5" t="n"/>
      <c r="C7" s="6" t="n"/>
      <c r="D7" s="8">
        <f>IFERROR(D5-D6,0)</f>
        <v/>
      </c>
      <c r="E7" s="5" t="n"/>
      <c r="F7" s="6" t="n"/>
      <c r="G7" s="11" t="inlineStr">
        <is>
          <t>← red if negative</t>
        </is>
      </c>
      <c r="H7" s="4" t="inlineStr">
        <is>
          <t>Monthly Savings Target</t>
        </is>
      </c>
      <c r="I7" s="5" t="n"/>
      <c r="J7" s="6" t="n"/>
      <c r="K7" s="7" t="n"/>
      <c r="L7" s="6" t="n"/>
    </row>
    <row r="8">
      <c r="A8" s="4" t="inlineStr">
        <is>
          <t>Annual Savings Rate %</t>
        </is>
      </c>
      <c r="B8" s="5" t="n"/>
      <c r="C8" s="6" t="n"/>
      <c r="D8" s="10">
        <f>IFERROR(D8/D4,0)</f>
        <v/>
      </c>
      <c r="E8" s="5" t="n"/>
      <c r="F8" s="6" t="n"/>
      <c r="H8" s="4" t="inlineStr">
        <is>
          <t>YTD Savings</t>
        </is>
      </c>
      <c r="I8" s="5" t="n"/>
      <c r="J8" s="6" t="n"/>
      <c r="K8" s="9">
        <f>IFERROR(Jan!G48,0)</f>
        <v/>
      </c>
      <c r="L8" s="6" t="n"/>
    </row>
    <row r="9">
      <c r="A9" s="4" t="inlineStr">
        <is>
          <t>YTD Savings</t>
        </is>
      </c>
      <c r="B9" s="5" t="n"/>
      <c r="C9" s="6" t="n"/>
      <c r="D9" s="9">
        <f>IFERROR(Jan!G48,0)</f>
        <v/>
      </c>
      <c r="E9" s="5" t="n"/>
      <c r="F9" s="6" t="n"/>
    </row>
    <row r="12">
      <c r="A12" s="3" t="inlineStr">
        <is>
          <t>🏆 TOP SPENDING CATEGORIES (Current Month)</t>
        </is>
      </c>
      <c r="H12" s="2" t="inlineStr">
        <is>
          <t>📆 BILLS DUE THIS MONTH</t>
        </is>
      </c>
    </row>
    <row r="13">
      <c r="A13" s="12" t="inlineStr">
        <is>
          <t>Category</t>
        </is>
      </c>
      <c r="B13" s="12" t="inlineStr">
        <is>
          <t>Budgeted</t>
        </is>
      </c>
      <c r="C13" s="12" t="inlineStr">
        <is>
          <t>Actual</t>
        </is>
      </c>
      <c r="D13" s="12" t="inlineStr">
        <is>
          <t>Difference</t>
        </is>
      </c>
      <c r="E13" s="12" t="inlineStr">
        <is>
          <t>% Used</t>
        </is>
      </c>
      <c r="F13" s="12" t="inlineStr">
        <is>
          <t>Notes</t>
        </is>
      </c>
      <c r="H13" s="13" t="inlineStr">
        <is>
          <t>Bill</t>
        </is>
      </c>
      <c r="I13" s="13" t="inlineStr">
        <is>
          <t>Amount</t>
        </is>
      </c>
      <c r="J13" s="13" t="inlineStr">
        <is>
          <t>Due</t>
        </is>
      </c>
      <c r="K13" s="13" t="inlineStr">
        <is>
          <t>Auto-Pay?</t>
        </is>
      </c>
      <c r="L13" s="13" t="inlineStr">
        <is>
          <t>Status</t>
        </is>
      </c>
    </row>
    <row r="14">
      <c r="A14" s="14" t="inlineStr">
        <is>
          <t>🏠 Housing</t>
        </is>
      </c>
      <c r="B14" s="6" t="n"/>
      <c r="C14" s="9">
        <f>IFERROR(Jan!D18,0)</f>
        <v/>
      </c>
      <c r="D14" s="9">
        <f>IFERROR(Jan!E18,0)</f>
        <v/>
      </c>
      <c r="E14" s="8">
        <f>IFERROR(C14-D14,0)</f>
        <v/>
      </c>
      <c r="F14" s="10">
        <f>IFERROR(D14/C14,0)</f>
        <v/>
      </c>
      <c r="H14" s="14">
        <f>IFERROR('Bill Calendar'!A3,"")</f>
        <v/>
      </c>
      <c r="I14" s="9">
        <f>IFERROR('Bill Calendar'!C3,0)</f>
        <v/>
      </c>
      <c r="J14" s="15">
        <f>IFERROR('Bill Calendar'!D3,"")</f>
        <v/>
      </c>
      <c r="K14" s="14">
        <f>IFERROR('Bill Calendar'!F3,"")</f>
        <v/>
      </c>
      <c r="L14" s="14">
        <f>IFERROR('Bill Calendar'!G3,"")</f>
        <v/>
      </c>
    </row>
    <row r="15">
      <c r="A15" s="16" t="inlineStr">
        <is>
          <t>🚗 Transport</t>
        </is>
      </c>
      <c r="B15" s="6" t="n"/>
      <c r="C15" s="9">
        <f>IFERROR(Jan!D24,0)</f>
        <v/>
      </c>
      <c r="D15" s="9">
        <f>IFERROR(Jan!E24,0)</f>
        <v/>
      </c>
      <c r="E15" s="8">
        <f>IFERROR(C15-D15,0)</f>
        <v/>
      </c>
      <c r="F15" s="10">
        <f>IFERROR(D15/C15,0)</f>
        <v/>
      </c>
      <c r="H15" s="16">
        <f>IFERROR('Bill Calendar'!A4,"")</f>
        <v/>
      </c>
      <c r="I15" s="9">
        <f>IFERROR('Bill Calendar'!C4,0)</f>
        <v/>
      </c>
      <c r="J15" s="15">
        <f>IFERROR('Bill Calendar'!D4,"")</f>
        <v/>
      </c>
      <c r="K15" s="16">
        <f>IFERROR('Bill Calendar'!F4,"")</f>
        <v/>
      </c>
      <c r="L15" s="16">
        <f>IFERROR('Bill Calendar'!G4,"")</f>
        <v/>
      </c>
    </row>
    <row r="16">
      <c r="A16" s="14" t="inlineStr">
        <is>
          <t>🛒 Food</t>
        </is>
      </c>
      <c r="B16" s="6" t="n"/>
      <c r="C16" s="9">
        <f>IFERROR(Jan!D30,0)</f>
        <v/>
      </c>
      <c r="D16" s="9">
        <f>IFERROR(Jan!E30,0)</f>
        <v/>
      </c>
      <c r="E16" s="8">
        <f>IFERROR(C16-D16,0)</f>
        <v/>
      </c>
      <c r="F16" s="10">
        <f>IFERROR(D16/C16,0)</f>
        <v/>
      </c>
      <c r="H16" s="14">
        <f>IFERROR('Bill Calendar'!A5,"")</f>
        <v/>
      </c>
      <c r="I16" s="9">
        <f>IFERROR('Bill Calendar'!C5,0)</f>
        <v/>
      </c>
      <c r="J16" s="15">
        <f>IFERROR('Bill Calendar'!D5,"")</f>
        <v/>
      </c>
      <c r="K16" s="14">
        <f>IFERROR('Bill Calendar'!F5,"")</f>
        <v/>
      </c>
      <c r="L16" s="14">
        <f>IFERROR('Bill Calendar'!G5,"")</f>
        <v/>
      </c>
    </row>
    <row r="17">
      <c r="A17" s="16" t="inlineStr">
        <is>
          <t>🏥 Health</t>
        </is>
      </c>
      <c r="B17" s="6" t="n"/>
      <c r="C17" s="9">
        <f>IFERROR(Jan!D36,0)</f>
        <v/>
      </c>
      <c r="D17" s="9">
        <f>IFERROR(Jan!E36,0)</f>
        <v/>
      </c>
      <c r="E17" s="8">
        <f>IFERROR(C17-D17,0)</f>
        <v/>
      </c>
      <c r="F17" s="10">
        <f>IFERROR(D17/C17,0)</f>
        <v/>
      </c>
      <c r="H17" s="16">
        <f>IFERROR('Bill Calendar'!A6,"")</f>
        <v/>
      </c>
      <c r="I17" s="9">
        <f>IFERROR('Bill Calendar'!C6,0)</f>
        <v/>
      </c>
      <c r="J17" s="15">
        <f>IFERROR('Bill Calendar'!D6,"")</f>
        <v/>
      </c>
      <c r="K17" s="16">
        <f>IFERROR('Bill Calendar'!F6,"")</f>
        <v/>
      </c>
      <c r="L17" s="16">
        <f>IFERROR('Bill Calendar'!G6,"")</f>
        <v/>
      </c>
    </row>
    <row r="18">
      <c r="A18" s="14" t="inlineStr">
        <is>
          <t>🎬 Lifestyle</t>
        </is>
      </c>
      <c r="B18" s="6" t="n"/>
      <c r="C18" s="9">
        <f>IFERROR(Jan!D42,0)</f>
        <v/>
      </c>
      <c r="D18" s="9">
        <f>IFERROR(Jan!E42,0)</f>
        <v/>
      </c>
      <c r="E18" s="8">
        <f>IFERROR(C18-D18,0)</f>
        <v/>
      </c>
      <c r="F18" s="10">
        <f>IFERROR(D18/C18,0)</f>
        <v/>
      </c>
      <c r="H18" s="14">
        <f>IFERROR('Bill Calendar'!A7,"")</f>
        <v/>
      </c>
      <c r="I18" s="9">
        <f>IFERROR('Bill Calendar'!C7,0)</f>
        <v/>
      </c>
      <c r="J18" s="15">
        <f>IFERROR('Bill Calendar'!D7,"")</f>
        <v/>
      </c>
      <c r="K18" s="14">
        <f>IFERROR('Bill Calendar'!F7,"")</f>
        <v/>
      </c>
      <c r="L18" s="14">
        <f>IFERROR('Bill Calendar'!G7,"")</f>
        <v/>
      </c>
    </row>
    <row r="22" ht="18" customHeight="1">
      <c r="A22" s="17" t="inlineStr">
        <is>
          <t>[ Insert Chart Here: Monthly Income vs Expenses ]</t>
        </is>
      </c>
    </row>
    <row r="23"/>
    <row r="24"/>
    <row r="25"/>
    <row r="26"/>
    <row r="27"/>
    <row r="28"/>
    <row r="29"/>
    <row r="30"/>
    <row r="31"/>
    <row r="32"/>
    <row r="33"/>
    <row r="34"/>
    <row r="35"/>
  </sheetData>
  <mergeCells count="33">
    <mergeCell ref="A15:B15"/>
    <mergeCell ref="K5:L5"/>
    <mergeCell ref="A12:F12"/>
    <mergeCell ref="D7:F7"/>
    <mergeCell ref="A3:F3"/>
    <mergeCell ref="H7:J7"/>
    <mergeCell ref="A16:B16"/>
    <mergeCell ref="A5:C5"/>
    <mergeCell ref="A8:C8"/>
    <mergeCell ref="D4:F4"/>
    <mergeCell ref="D9:F9"/>
    <mergeCell ref="A18:B18"/>
    <mergeCell ref="D8:F8"/>
    <mergeCell ref="A4:C4"/>
    <mergeCell ref="A22:L35"/>
    <mergeCell ref="D5:F5"/>
    <mergeCell ref="K8:L8"/>
    <mergeCell ref="H5:J5"/>
    <mergeCell ref="K6:L6"/>
    <mergeCell ref="A9:C9"/>
    <mergeCell ref="H8:J8"/>
    <mergeCell ref="A14:B14"/>
    <mergeCell ref="A17:B17"/>
    <mergeCell ref="H3:L3"/>
    <mergeCell ref="K7:L7"/>
    <mergeCell ref="H12:L12"/>
    <mergeCell ref="A1:L1"/>
    <mergeCell ref="A6:C6"/>
    <mergeCell ref="H4:J4"/>
    <mergeCell ref="K4:L4"/>
    <mergeCell ref="A7:C7"/>
    <mergeCell ref="D6:F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January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February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March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April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May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June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July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August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September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October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November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A6741"/>
    <outlinePr summaryBelow="1" summaryRight="1"/>
    <pageSetUpPr/>
  </sheetPr>
  <dimension ref="A1:H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  <col width="15" customWidth="1" min="4" max="4"/>
    <col width="15" customWidth="1" min="5" max="5"/>
    <col width="10" customWidth="1" min="6" max="6"/>
    <col width="20" customWidth="1" min="7" max="7"/>
  </cols>
  <sheetData>
    <row r="1" ht="30" customHeight="1">
      <c r="A1" s="18" t="inlineStr">
        <is>
          <t>📅 Monthly Budget — December</t>
        </is>
      </c>
    </row>
    <row r="2">
      <c r="A2" s="12" t="inlineStr">
        <is>
          <t>Category</t>
        </is>
      </c>
      <c r="B2" s="12" t="inlineStr">
        <is>
          <t>Subcategory</t>
        </is>
      </c>
      <c r="C2" s="12" t="inlineStr">
        <is>
          <t>Budgeted</t>
        </is>
      </c>
      <c r="D2" s="12" t="inlineStr">
        <is>
          <t>Actual</t>
        </is>
      </c>
      <c r="E2" s="12" t="inlineStr">
        <is>
          <t>Difference</t>
        </is>
      </c>
      <c r="F2" s="12" t="inlineStr">
        <is>
          <t>% Used</t>
        </is>
      </c>
      <c r="G2" s="12" t="inlineStr">
        <is>
          <t>Notes</t>
        </is>
      </c>
    </row>
    <row r="3">
      <c r="A3" s="2" t="inlineStr">
        <is>
          <t>💵 INCOME</t>
        </is>
      </c>
    </row>
    <row r="4">
      <c r="A4" s="14" t="inlineStr">
        <is>
          <t>Income</t>
        </is>
      </c>
      <c r="B4" s="14" t="inlineStr">
        <is>
          <t>Primary Income</t>
        </is>
      </c>
      <c r="C4" s="19" t="n"/>
      <c r="D4" s="19" t="n"/>
      <c r="E4" s="20">
        <f>IFERROR(C4-D4,0)</f>
        <v/>
      </c>
      <c r="F4" s="21">
        <f>IFERROR(D4/C4,0)</f>
        <v/>
      </c>
      <c r="G4" s="14" t="inlineStr"/>
    </row>
    <row r="5">
      <c r="A5" s="16" t="inlineStr">
        <is>
          <t>Income</t>
        </is>
      </c>
      <c r="B5" s="16" t="inlineStr">
        <is>
          <t>Side Income</t>
        </is>
      </c>
      <c r="C5" s="22" t="n"/>
      <c r="D5" s="22" t="n"/>
      <c r="E5" s="23">
        <f>IFERROR(C5-D5,0)</f>
        <v/>
      </c>
      <c r="F5" s="24">
        <f>IFERROR(D5/C5,0)</f>
        <v/>
      </c>
      <c r="G5" s="16" t="inlineStr"/>
    </row>
    <row r="6">
      <c r="A6" s="14" t="inlineStr">
        <is>
          <t>Income</t>
        </is>
      </c>
      <c r="B6" s="14" t="inlineStr">
        <is>
          <t>Other Income</t>
        </is>
      </c>
      <c r="C6" s="19" t="n"/>
      <c r="D6" s="19" t="n"/>
      <c r="E6" s="20">
        <f>IFERROR(C6-D6,0)</f>
        <v/>
      </c>
      <c r="F6" s="21">
        <f>IFERROR(D6/C6,0)</f>
        <v/>
      </c>
      <c r="G6" s="14" t="inlineStr"/>
    </row>
    <row r="7">
      <c r="A7" s="25" t="inlineStr">
        <is>
          <t>TOTAL INCOME</t>
        </is>
      </c>
      <c r="B7" s="26" t="n"/>
      <c r="C7" s="27">
        <f>SUM(C4:C6)</f>
        <v/>
      </c>
      <c r="D7" s="27">
        <f>SUM(D4:D6)</f>
        <v/>
      </c>
      <c r="E7" s="27">
        <f>IFERROR(C7-D7,0)</f>
        <v/>
      </c>
      <c r="F7" s="28">
        <f>IFERROR(D7/C7,0)</f>
        <v/>
      </c>
      <c r="G7" s="26" t="n"/>
    </row>
    <row r="8">
      <c r="A8" s="2" t="inlineStr">
        <is>
          <t>🏠 HOUSING</t>
        </is>
      </c>
    </row>
    <row r="9">
      <c r="A9" s="14" t="inlineStr">
        <is>
          <t>HOUSING</t>
        </is>
      </c>
      <c r="B9" s="14" t="inlineStr">
        <is>
          <t>Rent/Mortgage</t>
        </is>
      </c>
      <c r="C9" s="19" t="n"/>
      <c r="D9" s="19" t="n"/>
      <c r="E9" s="20">
        <f>IFERROR(C9-D9,0)</f>
        <v/>
      </c>
      <c r="F9" s="21">
        <f>IFERROR(D9/C9,0)</f>
        <v/>
      </c>
      <c r="G9" s="14" t="inlineStr"/>
    </row>
    <row r="10">
      <c r="A10" s="16" t="inlineStr">
        <is>
          <t>HOUSING</t>
        </is>
      </c>
      <c r="B10" s="16" t="inlineStr">
        <is>
          <t>Utilities</t>
        </is>
      </c>
      <c r="C10" s="22" t="n"/>
      <c r="D10" s="22" t="n"/>
      <c r="E10" s="23">
        <f>IFERROR(C10-D10,0)</f>
        <v/>
      </c>
      <c r="F10" s="24">
        <f>IFERROR(D10/C10,0)</f>
        <v/>
      </c>
      <c r="G10" s="16" t="inlineStr"/>
    </row>
    <row r="11">
      <c r="A11" s="14" t="inlineStr">
        <is>
          <t>HOUSING</t>
        </is>
      </c>
      <c r="B11" s="14" t="inlineStr">
        <is>
          <t>Internet</t>
        </is>
      </c>
      <c r="C11" s="19" t="n"/>
      <c r="D11" s="19" t="n"/>
      <c r="E11" s="20">
        <f>IFERROR(C11-D11,0)</f>
        <v/>
      </c>
      <c r="F11" s="21">
        <f>IFERROR(D11/C11,0)</f>
        <v/>
      </c>
      <c r="G11" s="14" t="inlineStr"/>
    </row>
    <row r="12">
      <c r="A12" s="16" t="inlineStr">
        <is>
          <t>HOUSING</t>
        </is>
      </c>
      <c r="B12" s="16" t="inlineStr">
        <is>
          <t>Renter's Insurance</t>
        </is>
      </c>
      <c r="C12" s="22" t="n"/>
      <c r="D12" s="22" t="n"/>
      <c r="E12" s="23">
        <f>IFERROR(C12-D12,0)</f>
        <v/>
      </c>
      <c r="F12" s="24">
        <f>IFERROR(D12/C12,0)</f>
        <v/>
      </c>
      <c r="G12" s="16" t="inlineStr"/>
    </row>
    <row r="13">
      <c r="A13" s="29" t="inlineStr">
        <is>
          <t>Subtotal 🏠 HOUSING</t>
        </is>
      </c>
      <c r="B13" s="30" t="n"/>
      <c r="C13" s="31">
        <f>SUM(C9:C12)</f>
        <v/>
      </c>
      <c r="D13" s="31">
        <f>SUM(D9:D12)</f>
        <v/>
      </c>
      <c r="E13" s="31">
        <f>IFERROR(C13-D13,0)</f>
        <v/>
      </c>
      <c r="F13" s="32">
        <f>IFERROR(D13/C13,0)</f>
        <v/>
      </c>
    </row>
    <row r="14">
      <c r="A14" s="2" t="inlineStr">
        <is>
          <t>🚗 TRANSPORT</t>
        </is>
      </c>
    </row>
    <row r="15">
      <c r="A15" s="14" t="inlineStr">
        <is>
          <t>TRANSPORT</t>
        </is>
      </c>
      <c r="B15" s="14" t="inlineStr">
        <is>
          <t>Car Payment</t>
        </is>
      </c>
      <c r="C15" s="19" t="n"/>
      <c r="D15" s="19" t="n"/>
      <c r="E15" s="20">
        <f>IFERROR(C15-D15,0)</f>
        <v/>
      </c>
      <c r="F15" s="21">
        <f>IFERROR(D15/C15,0)</f>
        <v/>
      </c>
      <c r="G15" s="14" t="inlineStr"/>
    </row>
    <row r="16">
      <c r="A16" s="16" t="inlineStr">
        <is>
          <t>TRANSPORT</t>
        </is>
      </c>
      <c r="B16" s="16" t="inlineStr">
        <is>
          <t>Gas</t>
        </is>
      </c>
      <c r="C16" s="22" t="n"/>
      <c r="D16" s="22" t="n"/>
      <c r="E16" s="23">
        <f>IFERROR(C16-D16,0)</f>
        <v/>
      </c>
      <c r="F16" s="24">
        <f>IFERROR(D16/C16,0)</f>
        <v/>
      </c>
      <c r="G16" s="16" t="inlineStr"/>
    </row>
    <row r="17">
      <c r="A17" s="14" t="inlineStr">
        <is>
          <t>TRANSPORT</t>
        </is>
      </c>
      <c r="B17" s="14" t="inlineStr">
        <is>
          <t>Insurance</t>
        </is>
      </c>
      <c r="C17" s="19" t="n"/>
      <c r="D17" s="19" t="n"/>
      <c r="E17" s="20">
        <f>IFERROR(C17-D17,0)</f>
        <v/>
      </c>
      <c r="F17" s="21">
        <f>IFERROR(D17/C17,0)</f>
        <v/>
      </c>
      <c r="G17" s="14" t="inlineStr"/>
    </row>
    <row r="18">
      <c r="A18" s="16" t="inlineStr">
        <is>
          <t>TRANSPORT</t>
        </is>
      </c>
      <c r="B18" s="16" t="inlineStr">
        <is>
          <t>Parking</t>
        </is>
      </c>
      <c r="C18" s="22" t="n"/>
      <c r="D18" s="22" t="n"/>
      <c r="E18" s="23">
        <f>IFERROR(C18-D18,0)</f>
        <v/>
      </c>
      <c r="F18" s="24">
        <f>IFERROR(D18/C18,0)</f>
        <v/>
      </c>
      <c r="G18" s="16" t="inlineStr"/>
    </row>
    <row r="19">
      <c r="A19" s="14" t="inlineStr">
        <is>
          <t>TRANSPORT</t>
        </is>
      </c>
      <c r="B19" s="14" t="inlineStr">
        <is>
          <t>Public Transit</t>
        </is>
      </c>
      <c r="C19" s="19" t="n"/>
      <c r="D19" s="19" t="n"/>
      <c r="E19" s="20">
        <f>IFERROR(C19-D19,0)</f>
        <v/>
      </c>
      <c r="F19" s="21">
        <f>IFERROR(D19/C19,0)</f>
        <v/>
      </c>
      <c r="G19" s="14" t="inlineStr"/>
    </row>
    <row r="20">
      <c r="A20" s="29" t="inlineStr">
        <is>
          <t>Subtotal 🚗 TRANSPORT</t>
        </is>
      </c>
      <c r="B20" s="30" t="n"/>
      <c r="C20" s="31">
        <f>SUM(C15:C19)</f>
        <v/>
      </c>
      <c r="D20" s="31">
        <f>SUM(D15:D19)</f>
        <v/>
      </c>
      <c r="E20" s="31">
        <f>IFERROR(C20-D20,0)</f>
        <v/>
      </c>
      <c r="F20" s="32">
        <f>IFERROR(D20/C20,0)</f>
        <v/>
      </c>
    </row>
    <row r="21">
      <c r="A21" s="2" t="inlineStr">
        <is>
          <t>🛒 FOOD</t>
        </is>
      </c>
    </row>
    <row r="22">
      <c r="A22" s="14" t="inlineStr">
        <is>
          <t>FOOD</t>
        </is>
      </c>
      <c r="B22" s="14" t="inlineStr">
        <is>
          <t>Groceries</t>
        </is>
      </c>
      <c r="C22" s="19" t="n"/>
      <c r="D22" s="19" t="n"/>
      <c r="E22" s="20">
        <f>IFERROR(C22-D22,0)</f>
        <v/>
      </c>
      <c r="F22" s="21">
        <f>IFERROR(D22/C22,0)</f>
        <v/>
      </c>
      <c r="G22" s="14" t="inlineStr"/>
    </row>
    <row r="23">
      <c r="A23" s="16" t="inlineStr">
        <is>
          <t>FOOD</t>
        </is>
      </c>
      <c r="B23" s="16" t="inlineStr">
        <is>
          <t>Dining Out</t>
        </is>
      </c>
      <c r="C23" s="22" t="n"/>
      <c r="D23" s="22" t="n"/>
      <c r="E23" s="23">
        <f>IFERROR(C23-D23,0)</f>
        <v/>
      </c>
      <c r="F23" s="24">
        <f>IFERROR(D23/C23,0)</f>
        <v/>
      </c>
      <c r="G23" s="16" t="inlineStr"/>
    </row>
    <row r="24">
      <c r="A24" s="14" t="inlineStr">
        <is>
          <t>FOOD</t>
        </is>
      </c>
      <c r="B24" s="14" t="inlineStr">
        <is>
          <t>Coffee Shops</t>
        </is>
      </c>
      <c r="C24" s="19" t="n"/>
      <c r="D24" s="19" t="n"/>
      <c r="E24" s="20">
        <f>IFERROR(C24-D24,0)</f>
        <v/>
      </c>
      <c r="F24" s="21">
        <f>IFERROR(D24/C24,0)</f>
        <v/>
      </c>
      <c r="G24" s="14" t="inlineStr"/>
    </row>
    <row r="25">
      <c r="A25" s="16" t="inlineStr">
        <is>
          <t>FOOD</t>
        </is>
      </c>
      <c r="B25" s="16" t="inlineStr">
        <is>
          <t>Meal Delivery</t>
        </is>
      </c>
      <c r="C25" s="22" t="n"/>
      <c r="D25" s="22" t="n"/>
      <c r="E25" s="23">
        <f>IFERROR(C25-D25,0)</f>
        <v/>
      </c>
      <c r="F25" s="24">
        <f>IFERROR(D25/C25,0)</f>
        <v/>
      </c>
      <c r="G25" s="16" t="inlineStr"/>
    </row>
    <row r="26">
      <c r="A26" s="29" t="inlineStr">
        <is>
          <t>Subtotal 🛒 FOOD</t>
        </is>
      </c>
      <c r="B26" s="30" t="n"/>
      <c r="C26" s="31">
        <f>SUM(C22:C25)</f>
        <v/>
      </c>
      <c r="D26" s="31">
        <f>SUM(D22:D25)</f>
        <v/>
      </c>
      <c r="E26" s="31">
        <f>IFERROR(C26-D26,0)</f>
        <v/>
      </c>
      <c r="F26" s="32">
        <f>IFERROR(D26/C26,0)</f>
        <v/>
      </c>
    </row>
    <row r="27">
      <c r="A27" s="2" t="inlineStr">
        <is>
          <t>🏥 HEALTH</t>
        </is>
      </c>
    </row>
    <row r="28">
      <c r="A28" s="14" t="inlineStr">
        <is>
          <t>HEALTH</t>
        </is>
      </c>
      <c r="B28" s="14" t="inlineStr">
        <is>
          <t>Health Insurance</t>
        </is>
      </c>
      <c r="C28" s="19" t="n"/>
      <c r="D28" s="19" t="n"/>
      <c r="E28" s="20">
        <f>IFERROR(C28-D28,0)</f>
        <v/>
      </c>
      <c r="F28" s="21">
        <f>IFERROR(D28/C28,0)</f>
        <v/>
      </c>
      <c r="G28" s="14" t="inlineStr"/>
    </row>
    <row r="29">
      <c r="A29" s="16" t="inlineStr">
        <is>
          <t>HEALTH</t>
        </is>
      </c>
      <c r="B29" s="16" t="inlineStr">
        <is>
          <t>Gym</t>
        </is>
      </c>
      <c r="C29" s="22" t="n"/>
      <c r="D29" s="22" t="n"/>
      <c r="E29" s="23">
        <f>IFERROR(C29-D29,0)</f>
        <v/>
      </c>
      <c r="F29" s="24">
        <f>IFERROR(D29/C29,0)</f>
        <v/>
      </c>
      <c r="G29" s="16" t="inlineStr"/>
    </row>
    <row r="30">
      <c r="A30" s="14" t="inlineStr">
        <is>
          <t>HEALTH</t>
        </is>
      </c>
      <c r="B30" s="14" t="inlineStr">
        <is>
          <t>Pharmacy</t>
        </is>
      </c>
      <c r="C30" s="19" t="n"/>
      <c r="D30" s="19" t="n"/>
      <c r="E30" s="20">
        <f>IFERROR(C30-D30,0)</f>
        <v/>
      </c>
      <c r="F30" s="21">
        <f>IFERROR(D30/C30,0)</f>
        <v/>
      </c>
      <c r="G30" s="14" t="inlineStr"/>
    </row>
    <row r="31">
      <c r="A31" s="16" t="inlineStr">
        <is>
          <t>HEALTH</t>
        </is>
      </c>
      <c r="B31" s="16" t="inlineStr">
        <is>
          <t>Doctor Visits</t>
        </is>
      </c>
      <c r="C31" s="22" t="n"/>
      <c r="D31" s="22" t="n"/>
      <c r="E31" s="23">
        <f>IFERROR(C31-D31,0)</f>
        <v/>
      </c>
      <c r="F31" s="24">
        <f>IFERROR(D31/C31,0)</f>
        <v/>
      </c>
      <c r="G31" s="16" t="inlineStr"/>
    </row>
    <row r="32">
      <c r="A32" s="29" t="inlineStr">
        <is>
          <t>Subtotal 🏥 HEALTH</t>
        </is>
      </c>
      <c r="B32" s="30" t="n"/>
      <c r="C32" s="31">
        <f>SUM(C28:C31)</f>
        <v/>
      </c>
      <c r="D32" s="31">
        <f>SUM(D28:D31)</f>
        <v/>
      </c>
      <c r="E32" s="31">
        <f>IFERROR(C32-D32,0)</f>
        <v/>
      </c>
      <c r="F32" s="32">
        <f>IFERROR(D32/C32,0)</f>
        <v/>
      </c>
    </row>
    <row r="33">
      <c r="A33" s="2" t="inlineStr">
        <is>
          <t>🎬 LIFESTYLE</t>
        </is>
      </c>
    </row>
    <row r="34">
      <c r="A34" s="14" t="inlineStr">
        <is>
          <t>LIFESTYLE</t>
        </is>
      </c>
      <c r="B34" s="14" t="inlineStr">
        <is>
          <t>Subscriptions</t>
        </is>
      </c>
      <c r="C34" s="19" t="n"/>
      <c r="D34" s="19" t="n"/>
      <c r="E34" s="20">
        <f>IFERROR(C34-D34,0)</f>
        <v/>
      </c>
      <c r="F34" s="21">
        <f>IFERROR(D34/C34,0)</f>
        <v/>
      </c>
      <c r="G34" s="14" t="inlineStr"/>
    </row>
    <row r="35">
      <c r="A35" s="16" t="inlineStr">
        <is>
          <t>LIFESTYLE</t>
        </is>
      </c>
      <c r="B35" s="16" t="inlineStr">
        <is>
          <t>Entertainment</t>
        </is>
      </c>
      <c r="C35" s="22" t="n"/>
      <c r="D35" s="22" t="n"/>
      <c r="E35" s="23">
        <f>IFERROR(C35-D35,0)</f>
        <v/>
      </c>
      <c r="F35" s="24">
        <f>IFERROR(D35/C35,0)</f>
        <v/>
      </c>
      <c r="G35" s="16" t="inlineStr"/>
    </row>
    <row r="36">
      <c r="A36" s="14" t="inlineStr">
        <is>
          <t>LIFESTYLE</t>
        </is>
      </c>
      <c r="B36" s="14" t="inlineStr">
        <is>
          <t>Hobbies</t>
        </is>
      </c>
      <c r="C36" s="19" t="n"/>
      <c r="D36" s="19" t="n"/>
      <c r="E36" s="20">
        <f>IFERROR(C36-D36,0)</f>
        <v/>
      </c>
      <c r="F36" s="21">
        <f>IFERROR(D36/C36,0)</f>
        <v/>
      </c>
      <c r="G36" s="14" t="inlineStr"/>
    </row>
    <row r="37">
      <c r="A37" s="16" t="inlineStr">
        <is>
          <t>LIFESTYLE</t>
        </is>
      </c>
      <c r="B37" s="16" t="inlineStr">
        <is>
          <t>Personal Care</t>
        </is>
      </c>
      <c r="C37" s="22" t="n"/>
      <c r="D37" s="22" t="n"/>
      <c r="E37" s="23">
        <f>IFERROR(C37-D37,0)</f>
        <v/>
      </c>
      <c r="F37" s="24">
        <f>IFERROR(D37/C37,0)</f>
        <v/>
      </c>
      <c r="G37" s="16" t="inlineStr"/>
    </row>
    <row r="38">
      <c r="A38" s="29" t="inlineStr">
        <is>
          <t>Subtotal 🎬 LIFESTYLE</t>
        </is>
      </c>
      <c r="B38" s="30" t="n"/>
      <c r="C38" s="31">
        <f>SUM(C34:C37)</f>
        <v/>
      </c>
      <c r="D38" s="31">
        <f>SUM(D34:D37)</f>
        <v/>
      </c>
      <c r="E38" s="31">
        <f>IFERROR(C38-D38,0)</f>
        <v/>
      </c>
      <c r="F38" s="32">
        <f>IFERROR(D38/C38,0)</f>
        <v/>
      </c>
    </row>
    <row r="39">
      <c r="A39" s="2" t="inlineStr">
        <is>
          <t>👔 PERSONAL</t>
        </is>
      </c>
    </row>
    <row r="40">
      <c r="A40" s="14" t="inlineStr">
        <is>
          <t>PERSONAL</t>
        </is>
      </c>
      <c r="B40" s="14" t="inlineStr">
        <is>
          <t>Clothing</t>
        </is>
      </c>
      <c r="C40" s="19" t="n"/>
      <c r="D40" s="19" t="n"/>
      <c r="E40" s="20">
        <f>IFERROR(C40-D40,0)</f>
        <v/>
      </c>
      <c r="F40" s="21">
        <f>IFERROR(D40/C40,0)</f>
        <v/>
      </c>
      <c r="G40" s="14" t="inlineStr"/>
    </row>
    <row r="41">
      <c r="A41" s="16" t="inlineStr">
        <is>
          <t>PERSONAL</t>
        </is>
      </c>
      <c r="B41" s="16" t="inlineStr">
        <is>
          <t>Gifts</t>
        </is>
      </c>
      <c r="C41" s="22" t="n"/>
      <c r="D41" s="22" t="n"/>
      <c r="E41" s="23">
        <f>IFERROR(C41-D41,0)</f>
        <v/>
      </c>
      <c r="F41" s="24">
        <f>IFERROR(D41/C41,0)</f>
        <v/>
      </c>
      <c r="G41" s="16" t="inlineStr"/>
    </row>
    <row r="42">
      <c r="A42" s="14" t="inlineStr">
        <is>
          <t>PERSONAL</t>
        </is>
      </c>
      <c r="B42" s="14" t="inlineStr">
        <is>
          <t>Education</t>
        </is>
      </c>
      <c r="C42" s="19" t="n"/>
      <c r="D42" s="19" t="n"/>
      <c r="E42" s="20">
        <f>IFERROR(C42-D42,0)</f>
        <v/>
      </c>
      <c r="F42" s="21">
        <f>IFERROR(D42/C42,0)</f>
        <v/>
      </c>
      <c r="G42" s="14" t="inlineStr"/>
    </row>
    <row r="43">
      <c r="A43" s="16" t="inlineStr">
        <is>
          <t>PERSONAL</t>
        </is>
      </c>
      <c r="B43" s="16" t="inlineStr">
        <is>
          <t>Miscellaneous</t>
        </is>
      </c>
      <c r="C43" s="22" t="n"/>
      <c r="D43" s="22" t="n"/>
      <c r="E43" s="23">
        <f>IFERROR(C43-D43,0)</f>
        <v/>
      </c>
      <c r="F43" s="24">
        <f>IFERROR(D43/C43,0)</f>
        <v/>
      </c>
      <c r="G43" s="16" t="inlineStr"/>
    </row>
    <row r="44">
      <c r="A44" s="29" t="inlineStr">
        <is>
          <t>Subtotal 👔 PERSONAL</t>
        </is>
      </c>
      <c r="B44" s="30" t="n"/>
      <c r="C44" s="31">
        <f>SUM(C40:C43)</f>
        <v/>
      </c>
      <c r="D44" s="31">
        <f>SUM(D40:D43)</f>
        <v/>
      </c>
      <c r="E44" s="31">
        <f>IFERROR(C44-D44,0)</f>
        <v/>
      </c>
      <c r="F44" s="32">
        <f>IFERROR(D44/C44,0)</f>
        <v/>
      </c>
    </row>
    <row r="45">
      <c r="A45" s="2" t="inlineStr">
        <is>
          <t>💰 SAVINGS</t>
        </is>
      </c>
    </row>
    <row r="46">
      <c r="A46" s="14" t="inlineStr">
        <is>
          <t>SAVINGS</t>
        </is>
      </c>
      <c r="B46" s="14" t="inlineStr">
        <is>
          <t>Emergency Fund</t>
        </is>
      </c>
      <c r="C46" s="19" t="n"/>
      <c r="D46" s="19" t="n"/>
      <c r="E46" s="20">
        <f>IFERROR(C46-D46,0)</f>
        <v/>
      </c>
      <c r="F46" s="21">
        <f>IFERROR(D46/C46,0)</f>
        <v/>
      </c>
      <c r="G46" s="14" t="inlineStr"/>
    </row>
    <row r="47">
      <c r="A47" s="16" t="inlineStr">
        <is>
          <t>SAVINGS</t>
        </is>
      </c>
      <c r="B47" s="16" t="inlineStr">
        <is>
          <t>Retirement (401k/IRA)</t>
        </is>
      </c>
      <c r="C47" s="22" t="n"/>
      <c r="D47" s="22" t="n"/>
      <c r="E47" s="23">
        <f>IFERROR(C47-D47,0)</f>
        <v/>
      </c>
      <c r="F47" s="24">
        <f>IFERROR(D47/C47,0)</f>
        <v/>
      </c>
      <c r="G47" s="16" t="inlineStr"/>
    </row>
    <row r="48">
      <c r="A48" s="14" t="inlineStr">
        <is>
          <t>SAVINGS</t>
        </is>
      </c>
      <c r="B48" s="14" t="inlineStr">
        <is>
          <t>Investments</t>
        </is>
      </c>
      <c r="C48" s="19" t="n"/>
      <c r="D48" s="19" t="n"/>
      <c r="E48" s="20">
        <f>IFERROR(C48-D48,0)</f>
        <v/>
      </c>
      <c r="F48" s="21">
        <f>IFERROR(D48/C48,0)</f>
        <v/>
      </c>
      <c r="G48" s="14" t="inlineStr"/>
    </row>
    <row r="49">
      <c r="A49" s="16" t="inlineStr">
        <is>
          <t>SAVINGS</t>
        </is>
      </c>
      <c r="B49" s="16" t="inlineStr">
        <is>
          <t>Vacation Fund</t>
        </is>
      </c>
      <c r="C49" s="22" t="n"/>
      <c r="D49" s="22" t="n"/>
      <c r="E49" s="23">
        <f>IFERROR(C49-D49,0)</f>
        <v/>
      </c>
      <c r="F49" s="24">
        <f>IFERROR(D49/C49,0)</f>
        <v/>
      </c>
      <c r="G49" s="16" t="inlineStr"/>
    </row>
    <row r="50">
      <c r="A50" s="29" t="inlineStr">
        <is>
          <t>Subtotal 💰 SAVINGS</t>
        </is>
      </c>
      <c r="B50" s="30" t="n"/>
      <c r="C50" s="31">
        <f>SUM(C46:C49)</f>
        <v/>
      </c>
      <c r="D50" s="31">
        <f>SUM(D46:D49)</f>
        <v/>
      </c>
      <c r="E50" s="31">
        <f>IFERROR(C50-D50,0)</f>
        <v/>
      </c>
      <c r="F50" s="32">
        <f>IFERROR(D50/C50,0)</f>
        <v/>
      </c>
    </row>
    <row r="51">
      <c r="A51" s="2" t="inlineStr">
        <is>
          <t>💳 DEBT</t>
        </is>
      </c>
    </row>
    <row r="52">
      <c r="A52" s="14" t="inlineStr">
        <is>
          <t>DEBT</t>
        </is>
      </c>
      <c r="B52" s="14" t="inlineStr">
        <is>
          <t>Credit Card 1</t>
        </is>
      </c>
      <c r="C52" s="19" t="n"/>
      <c r="D52" s="19" t="n"/>
      <c r="E52" s="20">
        <f>IFERROR(C52-D52,0)</f>
        <v/>
      </c>
      <c r="F52" s="21">
        <f>IFERROR(D52/C52,0)</f>
        <v/>
      </c>
      <c r="G52" s="14" t="inlineStr"/>
    </row>
    <row r="53">
      <c r="A53" s="16" t="inlineStr">
        <is>
          <t>DEBT</t>
        </is>
      </c>
      <c r="B53" s="16" t="inlineStr">
        <is>
          <t>Credit Card 2</t>
        </is>
      </c>
      <c r="C53" s="22" t="n"/>
      <c r="D53" s="22" t="n"/>
      <c r="E53" s="23">
        <f>IFERROR(C53-D53,0)</f>
        <v/>
      </c>
      <c r="F53" s="24">
        <f>IFERROR(D53/C53,0)</f>
        <v/>
      </c>
      <c r="G53" s="16" t="inlineStr"/>
    </row>
    <row r="54">
      <c r="A54" s="14" t="inlineStr">
        <is>
          <t>DEBT</t>
        </is>
      </c>
      <c r="B54" s="14" t="inlineStr">
        <is>
          <t>Student Loan</t>
        </is>
      </c>
      <c r="C54" s="19" t="n"/>
      <c r="D54" s="19" t="n"/>
      <c r="E54" s="20">
        <f>IFERROR(C54-D54,0)</f>
        <v/>
      </c>
      <c r="F54" s="21">
        <f>IFERROR(D54/C54,0)</f>
        <v/>
      </c>
      <c r="G54" s="14" t="inlineStr"/>
    </row>
    <row r="55">
      <c r="A55" s="16" t="inlineStr">
        <is>
          <t>DEBT</t>
        </is>
      </c>
      <c r="B55" s="16" t="inlineStr">
        <is>
          <t>Other Loan</t>
        </is>
      </c>
      <c r="C55" s="22" t="n"/>
      <c r="D55" s="22" t="n"/>
      <c r="E55" s="23">
        <f>IFERROR(C55-D55,0)</f>
        <v/>
      </c>
      <c r="F55" s="24">
        <f>IFERROR(D55/C55,0)</f>
        <v/>
      </c>
      <c r="G55" s="16" t="inlineStr"/>
    </row>
    <row r="56">
      <c r="A56" s="29" t="inlineStr">
        <is>
          <t>Subtotal 💳 DEBT</t>
        </is>
      </c>
      <c r="B56" s="30" t="n"/>
      <c r="C56" s="31">
        <f>SUM(C52:C55)</f>
        <v/>
      </c>
      <c r="D56" s="31">
        <f>SUM(D52:D55)</f>
        <v/>
      </c>
      <c r="E56" s="31">
        <f>IFERROR(C56-D56,0)</f>
        <v/>
      </c>
      <c r="F56" s="32">
        <f>IFERROR(D56/C56,0)</f>
        <v/>
      </c>
    </row>
    <row r="57">
      <c r="A57" s="33" t="inlineStr">
        <is>
          <t>GRAND TOTAL EXPENSES</t>
        </is>
      </c>
      <c r="B57" s="34" t="n"/>
      <c r="C57" s="35">
        <f>C13+C20+C26+C32+C38+C44+C50+C56</f>
        <v/>
      </c>
      <c r="D57" s="35">
        <f>D13+D20+D26+D32+D38+D44+D50+D56</f>
        <v/>
      </c>
      <c r="E57" s="35">
        <f>IFERROR(C57-D57,0)</f>
        <v/>
      </c>
      <c r="F57" s="36">
        <f>IFERROR(D57/C57,0)</f>
        <v/>
      </c>
      <c r="G57" s="37" t="n"/>
    </row>
    <row r="58">
      <c r="A58" s="25" t="inlineStr">
        <is>
          <t>NET CASH FLOW</t>
        </is>
      </c>
      <c r="B58" s="26" t="n"/>
      <c r="C58" s="27">
        <f>IFERROR(C7-C57,0)</f>
        <v/>
      </c>
      <c r="D58" s="27">
        <f>IFERROR(D7-D57,0)</f>
        <v/>
      </c>
      <c r="E58" s="27">
        <f>IFERROR(C58-D58,0)</f>
        <v/>
      </c>
      <c r="F58" s="26" t="n"/>
    </row>
  </sheetData>
  <mergeCells count="21">
    <mergeCell ref="A14:G14"/>
    <mergeCell ref="A8:G8"/>
    <mergeCell ref="A1:H1"/>
    <mergeCell ref="A7:B7"/>
    <mergeCell ref="A39:G39"/>
    <mergeCell ref="A56:B56"/>
    <mergeCell ref="A51:G51"/>
    <mergeCell ref="A45:G45"/>
    <mergeCell ref="A50:B50"/>
    <mergeCell ref="A26:B26"/>
    <mergeCell ref="A57:B57"/>
    <mergeCell ref="A32:B32"/>
    <mergeCell ref="A20:B20"/>
    <mergeCell ref="A38:B38"/>
    <mergeCell ref="A27:G27"/>
    <mergeCell ref="A3:G3"/>
    <mergeCell ref="A21:G21"/>
    <mergeCell ref="A13:B13"/>
    <mergeCell ref="A44:B44"/>
    <mergeCell ref="A33:G33"/>
    <mergeCell ref="A58:B5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97B5A"/>
    <outlinePr summaryBelow="1" summaryRight="1"/>
    <pageSetUpPr/>
  </sheetPr>
  <dimension ref="A1: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4" customWidth="1" min="10" max="10"/>
  </cols>
  <sheetData>
    <row r="1" ht="30" customHeight="1">
      <c r="A1" s="18" t="inlineStr">
        <is>
          <t>💳 Debt Payoff Tracker</t>
        </is>
      </c>
    </row>
    <row r="2">
      <c r="A2" s="12" t="inlineStr">
        <is>
          <t>Debt Name</t>
        </is>
      </c>
      <c r="B2" s="12" t="inlineStr">
        <is>
          <t>Lender</t>
        </is>
      </c>
      <c r="C2" s="12" t="inlineStr">
        <is>
          <t>Original Balance</t>
        </is>
      </c>
      <c r="D2" s="12" t="inlineStr">
        <is>
          <t>Current Balance</t>
        </is>
      </c>
      <c r="E2" s="12" t="inlineStr">
        <is>
          <t>Interest Rate</t>
        </is>
      </c>
      <c r="F2" s="12" t="inlineStr">
        <is>
          <t>Min Payment</t>
        </is>
      </c>
      <c r="G2" s="12" t="inlineStr">
        <is>
          <t>Monthly Payment</t>
        </is>
      </c>
      <c r="H2" s="12" t="inlineStr">
        <is>
          <t>Payoff Date</t>
        </is>
      </c>
      <c r="I2" s="12" t="inlineStr">
        <is>
          <t>Status</t>
        </is>
      </c>
      <c r="J2" s="38" t="inlineStr">
        <is>
          <t>Avalanche Rank</t>
        </is>
      </c>
    </row>
    <row r="3">
      <c r="A3" s="14" t="inlineStr">
        <is>
          <t>Credit Card 1</t>
        </is>
      </c>
      <c r="B3" s="39" t="n"/>
      <c r="C3" s="19" t="n"/>
      <c r="D3" s="19" t="n"/>
      <c r="E3" s="40" t="n"/>
      <c r="F3" s="19" t="n"/>
      <c r="G3" s="19" t="n"/>
      <c r="H3" s="41" t="n"/>
      <c r="I3" s="42" t="inlineStr">
        <is>
          <t>Active</t>
        </is>
      </c>
      <c r="J3" s="43">
        <f>IFERROR(RANK(E3,E3:E8,0),"N/A")</f>
        <v/>
      </c>
    </row>
    <row r="4">
      <c r="A4" s="16" t="inlineStr">
        <is>
          <t>Credit Card 2</t>
        </is>
      </c>
      <c r="B4" s="44" t="n"/>
      <c r="C4" s="22" t="n"/>
      <c r="D4" s="22" t="n"/>
      <c r="E4" s="45" t="n"/>
      <c r="F4" s="22" t="n"/>
      <c r="G4" s="22" t="n"/>
      <c r="H4" s="46" t="n"/>
      <c r="I4" s="42" t="inlineStr">
        <is>
          <t>Active</t>
        </is>
      </c>
      <c r="J4" s="43">
        <f>IFERROR(RANK(E4,E3:E8,0),"N/A")</f>
        <v/>
      </c>
    </row>
    <row r="5">
      <c r="A5" s="14" t="inlineStr">
        <is>
          <t>Student Loan</t>
        </is>
      </c>
      <c r="B5" s="39" t="n"/>
      <c r="C5" s="19" t="n"/>
      <c r="D5" s="19" t="n"/>
      <c r="E5" s="40" t="n"/>
      <c r="F5" s="19" t="n"/>
      <c r="G5" s="19" t="n"/>
      <c r="H5" s="41" t="n"/>
      <c r="I5" s="42" t="inlineStr">
        <is>
          <t>Active</t>
        </is>
      </c>
      <c r="J5" s="43">
        <f>IFERROR(RANK(E5,E3:E8,0),"N/A")</f>
        <v/>
      </c>
    </row>
    <row r="6">
      <c r="A6" s="16" t="inlineStr">
        <is>
          <t>Car Loan</t>
        </is>
      </c>
      <c r="B6" s="44" t="n"/>
      <c r="C6" s="22" t="n"/>
      <c r="D6" s="22" t="n"/>
      <c r="E6" s="45" t="n"/>
      <c r="F6" s="22" t="n"/>
      <c r="G6" s="22" t="n"/>
      <c r="H6" s="46" t="n"/>
      <c r="I6" s="42" t="inlineStr">
        <is>
          <t>Active</t>
        </is>
      </c>
      <c r="J6" s="43">
        <f>IFERROR(RANK(E6,E3:E8,0),"N/A")</f>
        <v/>
      </c>
    </row>
    <row r="7">
      <c r="A7" s="14" t="inlineStr">
        <is>
          <t>Personal Loan</t>
        </is>
      </c>
      <c r="B7" s="39" t="n"/>
      <c r="C7" s="19" t="n"/>
      <c r="D7" s="19" t="n"/>
      <c r="E7" s="40" t="n"/>
      <c r="F7" s="19" t="n"/>
      <c r="G7" s="19" t="n"/>
      <c r="H7" s="41" t="n"/>
      <c r="I7" s="42" t="inlineStr">
        <is>
          <t>Active</t>
        </is>
      </c>
      <c r="J7" s="43">
        <f>IFERROR(RANK(E7,E3:E8,0),"N/A")</f>
        <v/>
      </c>
    </row>
    <row r="8">
      <c r="A8" s="16" t="inlineStr">
        <is>
          <t>Other</t>
        </is>
      </c>
      <c r="B8" s="44" t="n"/>
      <c r="C8" s="22" t="n"/>
      <c r="D8" s="22" t="n"/>
      <c r="E8" s="45" t="n"/>
      <c r="F8" s="22" t="n"/>
      <c r="G8" s="22" t="n"/>
      <c r="H8" s="46" t="n"/>
      <c r="I8" s="42" t="inlineStr">
        <is>
          <t>Active</t>
        </is>
      </c>
      <c r="J8" s="43">
        <f>IFERROR(RANK(E8,E3:E8,0),"N/A")</f>
        <v/>
      </c>
    </row>
    <row r="11">
      <c r="A11" s="2" t="inlineStr">
        <is>
          <t>📊 DEBT SUMMARY</t>
        </is>
      </c>
    </row>
    <row r="12">
      <c r="A12" s="4" t="inlineStr">
        <is>
          <t>Total Debt</t>
        </is>
      </c>
      <c r="B12" s="5" t="n"/>
      <c r="C12" s="6" t="n"/>
      <c r="D12" s="9">
        <f>IFERROR(SUM(D3:D8),0)</f>
        <v/>
      </c>
      <c r="E12" s="6" t="n"/>
    </row>
    <row r="13">
      <c r="A13" s="4" t="inlineStr">
        <is>
          <t>Total Monthly Minimums</t>
        </is>
      </c>
      <c r="B13" s="5" t="n"/>
      <c r="C13" s="6" t="n"/>
      <c r="D13" s="9">
        <f>IFERROR(SUM(F3:F8),0)</f>
        <v/>
      </c>
      <c r="E13" s="6" t="n"/>
    </row>
    <row r="14">
      <c r="A14" s="4" t="inlineStr">
        <is>
          <t>Debt-to-Income Ratio</t>
        </is>
      </c>
      <c r="B14" s="5" t="n"/>
      <c r="C14" s="6" t="n"/>
      <c r="D14" s="47">
        <f>IFERROR(SUM(F3:F8)/Dashboard!D5,0)</f>
        <v/>
      </c>
      <c r="E14" s="6" t="n"/>
    </row>
    <row r="15">
      <c r="A15" s="4" t="inlineStr">
        <is>
          <t>Est. Total Interest</t>
        </is>
      </c>
      <c r="B15" s="5" t="n"/>
      <c r="C15" s="6" t="n"/>
      <c r="D15" s="9">
        <f>IFERROR(SUMPRODUCT(D3:D8,E3:E8)/12*12,"N/A")</f>
        <v/>
      </c>
      <c r="E15" s="6" t="n"/>
    </row>
  </sheetData>
  <mergeCells count="10">
    <mergeCell ref="A13:C13"/>
    <mergeCell ref="D15:E15"/>
    <mergeCell ref="D13:E13"/>
    <mergeCell ref="A14:C14"/>
    <mergeCell ref="A1:I1"/>
    <mergeCell ref="A11:E11"/>
    <mergeCell ref="D14:E14"/>
    <mergeCell ref="A12:C12"/>
    <mergeCell ref="D12:E12"/>
    <mergeCell ref="A15:C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97B5A"/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22" customWidth="1" min="8" max="8"/>
  </cols>
  <sheetData>
    <row r="1" ht="30" customHeight="1">
      <c r="A1" s="48" t="inlineStr">
        <is>
          <t>📆 Bill Calendar</t>
        </is>
      </c>
    </row>
    <row r="2">
      <c r="A2" s="13" t="inlineStr">
        <is>
          <t>Bill Name</t>
        </is>
      </c>
      <c r="B2" s="13" t="inlineStr">
        <is>
          <t>Category</t>
        </is>
      </c>
      <c r="C2" s="13" t="inlineStr">
        <is>
          <t>Amount</t>
        </is>
      </c>
      <c r="D2" s="13" t="inlineStr">
        <is>
          <t>Due Date</t>
        </is>
      </c>
      <c r="E2" s="13" t="inlineStr">
        <is>
          <t>Frequency</t>
        </is>
      </c>
      <c r="F2" s="13" t="inlineStr">
        <is>
          <t>Auto-Pay?</t>
        </is>
      </c>
      <c r="G2" s="13" t="inlineStr">
        <is>
          <t>Paid?</t>
        </is>
      </c>
      <c r="H2" s="13" t="inlineStr">
        <is>
          <t>Notes</t>
        </is>
      </c>
    </row>
    <row r="3">
      <c r="A3" s="14" t="inlineStr">
        <is>
          <t>Rent/Mortgage</t>
        </is>
      </c>
      <c r="B3" s="14" t="inlineStr">
        <is>
          <t>Housing</t>
        </is>
      </c>
      <c r="C3" s="7" t="n">
        <v>1500</v>
      </c>
      <c r="D3" s="49" t="inlineStr">
        <is>
          <t>2026-01-01</t>
        </is>
      </c>
      <c r="E3" s="14" t="inlineStr">
        <is>
          <t>Monthly</t>
        </is>
      </c>
      <c r="F3" s="14" t="inlineStr">
        <is>
          <t>No</t>
        </is>
      </c>
      <c r="G3" s="14" t="inlineStr">
        <is>
          <t>No</t>
        </is>
      </c>
      <c r="H3" s="14" t="inlineStr"/>
    </row>
    <row r="4">
      <c r="A4" s="16" t="inlineStr">
        <is>
          <t>Electric</t>
        </is>
      </c>
      <c r="B4" s="16" t="inlineStr">
        <is>
          <t>Utilities</t>
        </is>
      </c>
      <c r="C4" s="7" t="n">
        <v>120</v>
      </c>
      <c r="D4" s="49" t="inlineStr">
        <is>
          <t>2026-01-15</t>
        </is>
      </c>
      <c r="E4" s="16" t="inlineStr">
        <is>
          <t>Monthly</t>
        </is>
      </c>
      <c r="F4" s="16" t="inlineStr">
        <is>
          <t>Yes</t>
        </is>
      </c>
      <c r="G4" s="16" t="inlineStr">
        <is>
          <t>No</t>
        </is>
      </c>
      <c r="H4" s="16" t="inlineStr"/>
    </row>
    <row r="5">
      <c r="A5" s="14" t="inlineStr">
        <is>
          <t>Internet</t>
        </is>
      </c>
      <c r="B5" s="14" t="inlineStr">
        <is>
          <t>Utilities</t>
        </is>
      </c>
      <c r="C5" s="7" t="n">
        <v>60</v>
      </c>
      <c r="D5" s="49" t="inlineStr">
        <is>
          <t>2026-01-22</t>
        </is>
      </c>
      <c r="E5" s="14" t="inlineStr">
        <is>
          <t>Monthly</t>
        </is>
      </c>
      <c r="F5" s="14" t="inlineStr">
        <is>
          <t>Yes</t>
        </is>
      </c>
      <c r="G5" s="14" t="inlineStr">
        <is>
          <t>No</t>
        </is>
      </c>
      <c r="H5" s="14" t="inlineStr"/>
    </row>
    <row r="6">
      <c r="A6" s="16" t="inlineStr">
        <is>
          <t>Netflix</t>
        </is>
      </c>
      <c r="B6" s="16" t="inlineStr">
        <is>
          <t>Subscriptions</t>
        </is>
      </c>
      <c r="C6" s="7" t="n">
        <v>18</v>
      </c>
      <c r="D6" s="49" t="inlineStr">
        <is>
          <t>2026-01-08</t>
        </is>
      </c>
      <c r="E6" s="16" t="inlineStr">
        <is>
          <t>Monthly</t>
        </is>
      </c>
      <c r="F6" s="16" t="inlineStr">
        <is>
          <t>Yes</t>
        </is>
      </c>
      <c r="G6" s="16" t="inlineStr">
        <is>
          <t>No</t>
        </is>
      </c>
      <c r="H6" s="16" t="inlineStr"/>
    </row>
    <row r="7">
      <c r="A7" s="14" t="inlineStr">
        <is>
          <t>Phone</t>
        </is>
      </c>
      <c r="B7" s="14" t="inlineStr">
        <is>
          <t>Subscriptions</t>
        </is>
      </c>
      <c r="C7" s="7" t="n">
        <v>85</v>
      </c>
      <c r="D7" s="49" t="inlineStr">
        <is>
          <t>2026-01-12</t>
        </is>
      </c>
      <c r="E7" s="14" t="inlineStr">
        <is>
          <t>Monthly</t>
        </is>
      </c>
      <c r="F7" s="14" t="inlineStr">
        <is>
          <t>Yes</t>
        </is>
      </c>
      <c r="G7" s="14" t="inlineStr">
        <is>
          <t>No</t>
        </is>
      </c>
      <c r="H7" s="14" t="inlineStr"/>
    </row>
    <row r="8">
      <c r="A8" s="16" t="inlineStr">
        <is>
          <t>Car Insurance</t>
        </is>
      </c>
      <c r="B8" s="16" t="inlineStr">
        <is>
          <t>Insurance</t>
        </is>
      </c>
      <c r="C8" s="7" t="n">
        <v>150</v>
      </c>
      <c r="D8" s="49" t="inlineStr">
        <is>
          <t>2026-01-20</t>
        </is>
      </c>
      <c r="E8" s="16" t="inlineStr">
        <is>
          <t>Monthly</t>
        </is>
      </c>
      <c r="F8" s="16" t="inlineStr">
        <is>
          <t>No</t>
        </is>
      </c>
      <c r="G8" s="16" t="inlineStr">
        <is>
          <t>No</t>
        </is>
      </c>
      <c r="H8" s="16" t="inlineStr"/>
    </row>
    <row r="9">
      <c r="A9" s="14" t="inlineStr">
        <is>
          <t>Gym</t>
        </is>
      </c>
      <c r="B9" s="14" t="inlineStr">
        <is>
          <t>Other</t>
        </is>
      </c>
      <c r="C9" s="7" t="n">
        <v>40</v>
      </c>
      <c r="D9" s="49" t="inlineStr">
        <is>
          <t>2026-01-01</t>
        </is>
      </c>
      <c r="E9" s="14" t="inlineStr">
        <is>
          <t>Monthly</t>
        </is>
      </c>
      <c r="F9" s="14" t="inlineStr">
        <is>
          <t>Yes</t>
        </is>
      </c>
      <c r="G9" s="14" t="inlineStr">
        <is>
          <t>No</t>
        </is>
      </c>
      <c r="H9" s="14" t="inlineStr"/>
    </row>
    <row r="10">
      <c r="A10" s="16" t="inlineStr">
        <is>
          <t>Spotify</t>
        </is>
      </c>
      <c r="B10" s="16" t="inlineStr">
        <is>
          <t>Subscriptions</t>
        </is>
      </c>
      <c r="C10" s="7" t="n">
        <v>11</v>
      </c>
      <c r="D10" s="49" t="inlineStr">
        <is>
          <t>2026-01-05</t>
        </is>
      </c>
      <c r="E10" s="16" t="inlineStr">
        <is>
          <t>Monthly</t>
        </is>
      </c>
      <c r="F10" s="16" t="inlineStr">
        <is>
          <t>Yes</t>
        </is>
      </c>
      <c r="G10" s="16" t="inlineStr">
        <is>
          <t>No</t>
        </is>
      </c>
      <c r="H10" s="16" t="inlineStr"/>
    </row>
    <row r="11">
      <c r="A11" s="50" t="inlineStr"/>
      <c r="B11" s="50" t="inlineStr"/>
      <c r="C11" s="51" t="inlineStr"/>
      <c r="D11" s="50" t="inlineStr"/>
      <c r="E11" s="50" t="inlineStr"/>
      <c r="F11" s="50" t="inlineStr"/>
      <c r="G11" s="50" t="inlineStr"/>
      <c r="H11" s="50" t="inlineStr"/>
    </row>
    <row r="12">
      <c r="A12" s="52" t="inlineStr"/>
      <c r="B12" s="52" t="inlineStr"/>
      <c r="C12" s="53" t="inlineStr"/>
      <c r="D12" s="52" t="inlineStr"/>
      <c r="E12" s="52" t="inlineStr"/>
      <c r="F12" s="52" t="inlineStr"/>
      <c r="G12" s="52" t="inlineStr"/>
      <c r="H12" s="52" t="inlineStr"/>
    </row>
    <row r="13">
      <c r="A13" s="50" t="inlineStr"/>
      <c r="B13" s="50" t="inlineStr"/>
      <c r="C13" s="51" t="inlineStr"/>
      <c r="D13" s="50" t="inlineStr"/>
      <c r="E13" s="50" t="inlineStr"/>
      <c r="F13" s="50" t="inlineStr"/>
      <c r="G13" s="50" t="inlineStr"/>
      <c r="H13" s="50" t="inlineStr"/>
    </row>
    <row r="14">
      <c r="A14" s="52" t="inlineStr"/>
      <c r="B14" s="52" t="inlineStr"/>
      <c r="C14" s="53" t="inlineStr"/>
      <c r="D14" s="52" t="inlineStr"/>
      <c r="E14" s="52" t="inlineStr"/>
      <c r="F14" s="52" t="inlineStr"/>
      <c r="G14" s="52" t="inlineStr"/>
      <c r="H14" s="52" t="inlineStr"/>
    </row>
    <row r="15">
      <c r="A15" s="50" t="inlineStr"/>
      <c r="B15" s="50" t="inlineStr"/>
      <c r="C15" s="51" t="inlineStr"/>
      <c r="D15" s="50" t="inlineStr"/>
      <c r="E15" s="50" t="inlineStr"/>
      <c r="F15" s="50" t="inlineStr"/>
      <c r="G15" s="50" t="inlineStr"/>
      <c r="H15" s="50" t="inlineStr"/>
    </row>
    <row r="16">
      <c r="A16" s="52" t="inlineStr"/>
      <c r="B16" s="52" t="inlineStr"/>
      <c r="C16" s="53" t="inlineStr"/>
      <c r="D16" s="52" t="inlineStr"/>
      <c r="E16" s="52" t="inlineStr"/>
      <c r="F16" s="52" t="inlineStr"/>
      <c r="G16" s="52" t="inlineStr"/>
      <c r="H16" s="52" t="inlineStr"/>
    </row>
    <row r="17">
      <c r="A17" s="50" t="inlineStr"/>
      <c r="B17" s="50" t="inlineStr"/>
      <c r="C17" s="51" t="inlineStr"/>
      <c r="D17" s="50" t="inlineStr"/>
      <c r="E17" s="50" t="inlineStr"/>
      <c r="F17" s="50" t="inlineStr"/>
      <c r="G17" s="50" t="inlineStr"/>
      <c r="H17" s="50" t="inlineStr"/>
    </row>
    <row r="18">
      <c r="A18" s="52" t="inlineStr"/>
      <c r="B18" s="52" t="inlineStr"/>
      <c r="C18" s="53" t="inlineStr"/>
      <c r="D18" s="52" t="inlineStr"/>
      <c r="E18" s="52" t="inlineStr"/>
      <c r="F18" s="52" t="inlineStr"/>
      <c r="G18" s="52" t="inlineStr"/>
      <c r="H18" s="52" t="inlineStr"/>
    </row>
    <row r="19">
      <c r="A19" s="50" t="inlineStr"/>
      <c r="B19" s="50" t="inlineStr"/>
      <c r="C19" s="51" t="inlineStr"/>
      <c r="D19" s="50" t="inlineStr"/>
      <c r="E19" s="50" t="inlineStr"/>
      <c r="F19" s="50" t="inlineStr"/>
      <c r="G19" s="50" t="inlineStr"/>
      <c r="H19" s="50" t="inlineStr"/>
    </row>
    <row r="20">
      <c r="A20" s="52" t="inlineStr"/>
      <c r="B20" s="52" t="inlineStr"/>
      <c r="C20" s="53" t="inlineStr"/>
      <c r="D20" s="52" t="inlineStr"/>
      <c r="E20" s="52" t="inlineStr"/>
      <c r="F20" s="52" t="inlineStr"/>
      <c r="G20" s="52" t="inlineStr"/>
      <c r="H20" s="52" t="inlineStr"/>
    </row>
    <row r="21">
      <c r="A21" s="50" t="inlineStr"/>
      <c r="B21" s="50" t="inlineStr"/>
      <c r="C21" s="51" t="inlineStr"/>
      <c r="D21" s="50" t="inlineStr"/>
      <c r="E21" s="50" t="inlineStr"/>
      <c r="F21" s="50" t="inlineStr"/>
      <c r="G21" s="50" t="inlineStr"/>
      <c r="H21" s="50" t="inlineStr"/>
    </row>
    <row r="22">
      <c r="A22" s="52" t="inlineStr"/>
      <c r="B22" s="52" t="inlineStr"/>
      <c r="C22" s="53" t="inlineStr"/>
      <c r="D22" s="52" t="inlineStr"/>
      <c r="E22" s="52" t="inlineStr"/>
      <c r="F22" s="52" t="inlineStr"/>
      <c r="G22" s="52" t="inlineStr"/>
      <c r="H22" s="52" t="inlineStr"/>
    </row>
    <row r="24">
      <c r="A24" s="25" t="inlineStr">
        <is>
          <t>MONTHLY TOTAL</t>
        </is>
      </c>
      <c r="B24" s="26" t="n"/>
      <c r="C24" s="27">
        <f>SUM(C3:C23)</f>
        <v/>
      </c>
      <c r="D24" s="26" t="n"/>
      <c r="E24" s="26" t="n"/>
      <c r="F24" s="26" t="n"/>
      <c r="G24" s="26" t="n"/>
      <c r="H24" s="26" t="n"/>
    </row>
  </sheetData>
  <mergeCells count="2">
    <mergeCell ref="A24:B24"/>
    <mergeCell ref="A1:H1"/>
  </mergeCells>
  <dataValidations count="3">
    <dataValidation sqref="B3:B23" showDropDown="0" showInputMessage="0" showErrorMessage="0" allowBlank="1" type="list">
      <formula1>"Housing,Utilities,Insurance,Subscriptions,Loans,Other"</formula1>
    </dataValidation>
    <dataValidation sqref="E3:E23" showDropDown="0" showInputMessage="0" showErrorMessage="0" allowBlank="1" type="list">
      <formula1>"Monthly,Weekly,Bi-Weekly,Quarterly,Annual"</formula1>
    </dataValidation>
    <dataValidation sqref="F3:G2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A6741"/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4" customWidth="1" min="5" max="5"/>
    <col width="12" customWidth="1" min="6" max="6"/>
    <col width="25" customWidth="1" min="7" max="7"/>
    <col width="12" customWidth="1" min="8" max="8"/>
  </cols>
  <sheetData>
    <row r="1" ht="30" customHeight="1">
      <c r="A1" s="48" t="inlineStr">
        <is>
          <t>🎯 Savings Goals Tracker</t>
        </is>
      </c>
    </row>
    <row r="2">
      <c r="A2" s="13" t="inlineStr">
        <is>
          <t>Goal Name</t>
        </is>
      </c>
      <c r="B2" s="13" t="inlineStr">
        <is>
          <t>Target Amount</t>
        </is>
      </c>
      <c r="C2" s="13" t="inlineStr">
        <is>
          <t>Current Saved</t>
        </is>
      </c>
      <c r="D2" s="13" t="inlineStr">
        <is>
          <t>Monthly Contribution</t>
        </is>
      </c>
      <c r="E2" s="13" t="inlineStr">
        <is>
          <t>Target Date</t>
        </is>
      </c>
      <c r="F2" s="13" t="inlineStr">
        <is>
          <t>% Complete</t>
        </is>
      </c>
      <c r="G2" s="13" t="inlineStr">
        <is>
          <t>Progress</t>
        </is>
      </c>
      <c r="H2" s="13" t="inlineStr">
        <is>
          <t>Priority</t>
        </is>
      </c>
    </row>
    <row r="3">
      <c r="A3" s="14" t="inlineStr">
        <is>
          <t>Emergency Fund</t>
        </is>
      </c>
      <c r="B3" s="19" t="n">
        <v>10000</v>
      </c>
      <c r="C3" s="19" t="n">
        <v>0</v>
      </c>
      <c r="D3" s="19" t="n">
        <v>500</v>
      </c>
      <c r="E3" s="41" t="inlineStr">
        <is>
          <t>2026-12-31</t>
        </is>
      </c>
      <c r="F3" s="10">
        <f>IFERROR(C3/B3,0)</f>
        <v/>
      </c>
      <c r="G3" s="54">
        <f>IFERROR(REPT("█",ROUND(C3/B3*20,0))&amp;REPT("░",20-ROUND(C3/B3*20,0)),"░░░░░░░░░░░░░░░░░░░░")</f>
        <v/>
      </c>
      <c r="H3" s="14" t="inlineStr">
        <is>
          <t>High</t>
        </is>
      </c>
    </row>
    <row r="4">
      <c r="A4" s="16" t="inlineStr">
        <is>
          <t>Vacation</t>
        </is>
      </c>
      <c r="B4" s="22" t="n">
        <v>3000</v>
      </c>
      <c r="C4" s="22" t="n">
        <v>0</v>
      </c>
      <c r="D4" s="22" t="n">
        <v>200</v>
      </c>
      <c r="E4" s="46" t="inlineStr">
        <is>
          <t>2026-07-01</t>
        </is>
      </c>
      <c r="F4" s="10">
        <f>IFERROR(C4/B4,0)</f>
        <v/>
      </c>
      <c r="G4" s="54">
        <f>IFERROR(REPT("█",ROUND(C4/B4*20,0))&amp;REPT("░",20-ROUND(C4/B4*20,0)),"░░░░░░░░░░░░░░░░░░░░")</f>
        <v/>
      </c>
      <c r="H4" s="16" t="inlineStr">
        <is>
          <t>Medium</t>
        </is>
      </c>
    </row>
    <row r="5">
      <c r="A5" s="14" t="inlineStr">
        <is>
          <t>Down Payment</t>
        </is>
      </c>
      <c r="B5" s="19" t="n">
        <v>50000</v>
      </c>
      <c r="C5" s="19" t="n">
        <v>0</v>
      </c>
      <c r="D5" s="19" t="n">
        <v>800</v>
      </c>
      <c r="E5" s="41" t="inlineStr">
        <is>
          <t>2029-01-01</t>
        </is>
      </c>
      <c r="F5" s="10">
        <f>IFERROR(C5/B5,0)</f>
        <v/>
      </c>
      <c r="G5" s="54">
        <f>IFERROR(REPT("█",ROUND(C5/B5*20,0))&amp;REPT("░",20-ROUND(C5/B5*20,0)),"░░░░░░░░░░░░░░░░░░░░")</f>
        <v/>
      </c>
      <c r="H5" s="14" t="inlineStr">
        <is>
          <t>High</t>
        </is>
      </c>
    </row>
    <row r="6">
      <c r="A6" s="16" t="inlineStr">
        <is>
          <t>New Car</t>
        </is>
      </c>
      <c r="B6" s="22" t="n">
        <v>15000</v>
      </c>
      <c r="C6" s="22" t="n">
        <v>0</v>
      </c>
      <c r="D6" s="22" t="n">
        <v>300</v>
      </c>
      <c r="E6" s="46" t="inlineStr">
        <is>
          <t>2027-06-01</t>
        </is>
      </c>
      <c r="F6" s="10">
        <f>IFERROR(C6/B6,0)</f>
        <v/>
      </c>
      <c r="G6" s="54">
        <f>IFERROR(REPT("█",ROUND(C6/B6*20,0))&amp;REPT("░",20-ROUND(C6/B6*20,0)),"░░░░░░░░░░░░░░░░░░░░")</f>
        <v/>
      </c>
      <c r="H6" s="16" t="inlineStr">
        <is>
          <t>Medium</t>
        </is>
      </c>
    </row>
    <row r="7">
      <c r="A7" s="14" t="inlineStr">
        <is>
          <t>Retirement Boost</t>
        </is>
      </c>
      <c r="B7" s="19" t="n">
        <v>20000</v>
      </c>
      <c r="C7" s="19" t="n">
        <v>0</v>
      </c>
      <c r="D7" s="19" t="n">
        <v>400</v>
      </c>
      <c r="E7" s="41" t="inlineStr">
        <is>
          <t>2030-01-01</t>
        </is>
      </c>
      <c r="F7" s="10">
        <f>IFERROR(C7/B7,0)</f>
        <v/>
      </c>
      <c r="G7" s="54">
        <f>IFERROR(REPT("█",ROUND(C7/B7*20,0))&amp;REPT("░",20-ROUND(C7/B7*20,0)),"░░░░░░░░░░░░░░░░░░░░")</f>
        <v/>
      </c>
      <c r="H7" s="14" t="inlineStr">
        <is>
          <t>Low</t>
        </is>
      </c>
    </row>
    <row r="8">
      <c r="A8" s="16" t="inlineStr">
        <is>
          <t>Other</t>
        </is>
      </c>
      <c r="B8" s="22" t="n">
        <v>5000</v>
      </c>
      <c r="C8" s="22" t="n">
        <v>0</v>
      </c>
      <c r="D8" s="22" t="n">
        <v>100</v>
      </c>
      <c r="E8" s="46" t="inlineStr">
        <is>
          <t>2027-01-01</t>
        </is>
      </c>
      <c r="F8" s="10">
        <f>IFERROR(C8/B8,0)</f>
        <v/>
      </c>
      <c r="G8" s="54">
        <f>IFERROR(REPT("█",ROUND(C8/B8*20,0))&amp;REPT("░",20-ROUND(C8/B8*20,0)),"░░░░░░░░░░░░░░░░░░░░")</f>
        <v/>
      </c>
      <c r="H8" s="16" t="inlineStr">
        <is>
          <t>Low</t>
        </is>
      </c>
    </row>
    <row r="9">
      <c r="A9" s="25" t="inlineStr">
        <is>
          <t>TOTALS</t>
        </is>
      </c>
      <c r="B9" s="27">
        <f>SUM(B3:B8)</f>
        <v/>
      </c>
      <c r="C9" s="27">
        <f>SUM(C3:C8)</f>
        <v/>
      </c>
      <c r="D9" s="27">
        <f>SUM(D3:D8)</f>
        <v/>
      </c>
      <c r="E9" s="26" t="n"/>
      <c r="F9" s="26" t="n"/>
      <c r="G9" s="26" t="n"/>
      <c r="H9" s="26" t="n"/>
    </row>
  </sheetData>
  <mergeCells count="2">
    <mergeCell ref="A9"/>
    <mergeCell ref="A1:H1"/>
  </mergeCells>
  <dataValidations count="1">
    <dataValidation sqref="H3:H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B5E20"/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4" customWidth="1" min="14" max="14"/>
    <col width="14" customWidth="1" min="15" max="15"/>
    <col width="14" customWidth="1" min="16" max="16"/>
  </cols>
  <sheetData>
    <row r="1" ht="35" customHeight="1">
      <c r="A1" s="55" t="inlineStr">
        <is>
          <t>📊 Annual Summary 2026</t>
        </is>
      </c>
    </row>
    <row r="2">
      <c r="A2" s="13" t="inlineStr">
        <is>
          <t>Category</t>
        </is>
      </c>
      <c r="B2" s="13" t="inlineStr">
        <is>
          <t>Jan</t>
        </is>
      </c>
      <c r="C2" s="13" t="inlineStr">
        <is>
          <t>Feb</t>
        </is>
      </c>
      <c r="D2" s="13" t="inlineStr">
        <is>
          <t>Mar</t>
        </is>
      </c>
      <c r="E2" s="13" t="inlineStr">
        <is>
          <t>Apr</t>
        </is>
      </c>
      <c r="F2" s="13" t="inlineStr">
        <is>
          <t>May</t>
        </is>
      </c>
      <c r="G2" s="13" t="inlineStr">
        <is>
          <t>Jun</t>
        </is>
      </c>
      <c r="H2" s="13" t="inlineStr">
        <is>
          <t>Jul</t>
        </is>
      </c>
      <c r="I2" s="13" t="inlineStr">
        <is>
          <t>Aug</t>
        </is>
      </c>
      <c r="J2" s="13" t="inlineStr">
        <is>
          <t>Sep</t>
        </is>
      </c>
      <c r="K2" s="13" t="inlineStr">
        <is>
          <t>Oct</t>
        </is>
      </c>
      <c r="L2" s="13" t="inlineStr">
        <is>
          <t>Nov</t>
        </is>
      </c>
      <c r="M2" s="13" t="inlineStr">
        <is>
          <t>Dec</t>
        </is>
      </c>
      <c r="N2" s="13" t="inlineStr">
        <is>
          <t>Annual Total</t>
        </is>
      </c>
      <c r="O2" s="13" t="inlineStr">
        <is>
          <t>Annual Budget</t>
        </is>
      </c>
      <c r="P2" s="13" t="inlineStr">
        <is>
          <t>Variance</t>
        </is>
      </c>
    </row>
    <row r="3">
      <c r="A3" s="56" t="inlineStr">
        <is>
          <t>Income</t>
        </is>
      </c>
      <c r="B3" s="9">
        <f>IFERROR(Jan!D7,0)</f>
        <v/>
      </c>
      <c r="C3" s="9">
        <f>IFERROR(Feb!D7,0)</f>
        <v/>
      </c>
      <c r="D3" s="9">
        <f>IFERROR(Mar!D7,0)</f>
        <v/>
      </c>
      <c r="E3" s="9">
        <f>IFERROR(Apr!D7,0)</f>
        <v/>
      </c>
      <c r="F3" s="9">
        <f>IFERROR(May!D7,0)</f>
        <v/>
      </c>
      <c r="G3" s="9">
        <f>IFERROR(Jun!D7,0)</f>
        <v/>
      </c>
      <c r="H3" s="9">
        <f>IFERROR(Jul!D7,0)</f>
        <v/>
      </c>
      <c r="I3" s="9">
        <f>IFERROR(Aug!D7,0)</f>
        <v/>
      </c>
      <c r="J3" s="9">
        <f>IFERROR(Sep!D7,0)</f>
        <v/>
      </c>
      <c r="K3" s="9">
        <f>IFERROR(Oct!D7,0)</f>
        <v/>
      </c>
      <c r="L3" s="9">
        <f>IFERROR(Nov!D7,0)</f>
        <v/>
      </c>
      <c r="M3" s="9">
        <f>IFERROR(Dec!D7,0)</f>
        <v/>
      </c>
      <c r="N3" s="8">
        <f>SUM(B3:M3)</f>
        <v/>
      </c>
      <c r="O3" s="7" t="n"/>
      <c r="P3" s="8">
        <f>IFERROR(N3-O3,0)</f>
        <v/>
      </c>
    </row>
    <row r="4">
      <c r="A4" s="57" t="inlineStr">
        <is>
          <t>Total Expenses</t>
        </is>
      </c>
      <c r="B4" s="9">
        <f>IFERROR(Jan!D57,0)</f>
        <v/>
      </c>
      <c r="C4" s="9">
        <f>IFERROR(Feb!D57,0)</f>
        <v/>
      </c>
      <c r="D4" s="9">
        <f>IFERROR(Mar!D57,0)</f>
        <v/>
      </c>
      <c r="E4" s="9">
        <f>IFERROR(Apr!D57,0)</f>
        <v/>
      </c>
      <c r="F4" s="9">
        <f>IFERROR(May!D57,0)</f>
        <v/>
      </c>
      <c r="G4" s="9">
        <f>IFERROR(Jun!D57,0)</f>
        <v/>
      </c>
      <c r="H4" s="9">
        <f>IFERROR(Jul!D57,0)</f>
        <v/>
      </c>
      <c r="I4" s="9">
        <f>IFERROR(Aug!D57,0)</f>
        <v/>
      </c>
      <c r="J4" s="9">
        <f>IFERROR(Sep!D57,0)</f>
        <v/>
      </c>
      <c r="K4" s="9">
        <f>IFERROR(Oct!D57,0)</f>
        <v/>
      </c>
      <c r="L4" s="9">
        <f>IFERROR(Nov!D57,0)</f>
        <v/>
      </c>
      <c r="M4" s="9">
        <f>IFERROR(Dec!D57,0)</f>
        <v/>
      </c>
      <c r="N4" s="8">
        <f>SUM(B4:M4)</f>
        <v/>
      </c>
      <c r="O4" s="7" t="n"/>
      <c r="P4" s="8">
        <f>IFERROR(N4-O4,0)</f>
        <v/>
      </c>
    </row>
    <row r="5">
      <c r="A5" s="14" t="inlineStr">
        <is>
          <t>Housing</t>
        </is>
      </c>
      <c r="B5" s="9">
        <f>IFERROR(Jan!D13,0)</f>
        <v/>
      </c>
      <c r="C5" s="9">
        <f>IFERROR(Feb!D13,0)</f>
        <v/>
      </c>
      <c r="D5" s="9">
        <f>IFERROR(Mar!D13,0)</f>
        <v/>
      </c>
      <c r="E5" s="9">
        <f>IFERROR(Apr!D13,0)</f>
        <v/>
      </c>
      <c r="F5" s="9">
        <f>IFERROR(May!D13,0)</f>
        <v/>
      </c>
      <c r="G5" s="9">
        <f>IFERROR(Jun!D13,0)</f>
        <v/>
      </c>
      <c r="H5" s="9">
        <f>IFERROR(Jul!D13,0)</f>
        <v/>
      </c>
      <c r="I5" s="9">
        <f>IFERROR(Aug!D13,0)</f>
        <v/>
      </c>
      <c r="J5" s="9">
        <f>IFERROR(Sep!D13,0)</f>
        <v/>
      </c>
      <c r="K5" s="9">
        <f>IFERROR(Oct!D13,0)</f>
        <v/>
      </c>
      <c r="L5" s="9">
        <f>IFERROR(Nov!D13,0)</f>
        <v/>
      </c>
      <c r="M5" s="9">
        <f>IFERROR(Dec!D13,0)</f>
        <v/>
      </c>
      <c r="N5" s="8">
        <f>SUM(B5:M5)</f>
        <v/>
      </c>
      <c r="O5" s="7" t="n"/>
      <c r="P5" s="8">
        <f>IFERROR(N5-O5,0)</f>
        <v/>
      </c>
    </row>
    <row r="6">
      <c r="A6" s="16" t="inlineStr">
        <is>
          <t>Transport</t>
        </is>
      </c>
      <c r="B6" s="9">
        <f>IFERROR(Jan!D20,0)</f>
        <v/>
      </c>
      <c r="C6" s="9">
        <f>IFERROR(Feb!D20,0)</f>
        <v/>
      </c>
      <c r="D6" s="9">
        <f>IFERROR(Mar!D20,0)</f>
        <v/>
      </c>
      <c r="E6" s="9">
        <f>IFERROR(Apr!D20,0)</f>
        <v/>
      </c>
      <c r="F6" s="9">
        <f>IFERROR(May!D20,0)</f>
        <v/>
      </c>
      <c r="G6" s="9">
        <f>IFERROR(Jun!D20,0)</f>
        <v/>
      </c>
      <c r="H6" s="9">
        <f>IFERROR(Jul!D20,0)</f>
        <v/>
      </c>
      <c r="I6" s="9">
        <f>IFERROR(Aug!D20,0)</f>
        <v/>
      </c>
      <c r="J6" s="9">
        <f>IFERROR(Sep!D20,0)</f>
        <v/>
      </c>
      <c r="K6" s="9">
        <f>IFERROR(Oct!D20,0)</f>
        <v/>
      </c>
      <c r="L6" s="9">
        <f>IFERROR(Nov!D20,0)</f>
        <v/>
      </c>
      <c r="M6" s="9">
        <f>IFERROR(Dec!D20,0)</f>
        <v/>
      </c>
      <c r="N6" s="8">
        <f>SUM(B6:M6)</f>
        <v/>
      </c>
      <c r="O6" s="7" t="n"/>
      <c r="P6" s="8">
        <f>IFERROR(N6-O6,0)</f>
        <v/>
      </c>
    </row>
    <row r="7">
      <c r="A7" s="14" t="inlineStr">
        <is>
          <t>Food</t>
        </is>
      </c>
      <c r="B7" s="9">
        <f>IFERROR(Jan!D26,0)</f>
        <v/>
      </c>
      <c r="C7" s="9">
        <f>IFERROR(Feb!D26,0)</f>
        <v/>
      </c>
      <c r="D7" s="9">
        <f>IFERROR(Mar!D26,0)</f>
        <v/>
      </c>
      <c r="E7" s="9">
        <f>IFERROR(Apr!D26,0)</f>
        <v/>
      </c>
      <c r="F7" s="9">
        <f>IFERROR(May!D26,0)</f>
        <v/>
      </c>
      <c r="G7" s="9">
        <f>IFERROR(Jun!D26,0)</f>
        <v/>
      </c>
      <c r="H7" s="9">
        <f>IFERROR(Jul!D26,0)</f>
        <v/>
      </c>
      <c r="I7" s="9">
        <f>IFERROR(Aug!D26,0)</f>
        <v/>
      </c>
      <c r="J7" s="9">
        <f>IFERROR(Sep!D26,0)</f>
        <v/>
      </c>
      <c r="K7" s="9">
        <f>IFERROR(Oct!D26,0)</f>
        <v/>
      </c>
      <c r="L7" s="9">
        <f>IFERROR(Nov!D26,0)</f>
        <v/>
      </c>
      <c r="M7" s="9">
        <f>IFERROR(Dec!D26,0)</f>
        <v/>
      </c>
      <c r="N7" s="8">
        <f>SUM(B7:M7)</f>
        <v/>
      </c>
      <c r="O7" s="7" t="n"/>
      <c r="P7" s="8">
        <f>IFERROR(N7-O7,0)</f>
        <v/>
      </c>
    </row>
    <row r="8">
      <c r="A8" s="16" t="inlineStr">
        <is>
          <t>Health</t>
        </is>
      </c>
      <c r="B8" s="9">
        <f>IFERROR(Jan!D32,0)</f>
        <v/>
      </c>
      <c r="C8" s="9">
        <f>IFERROR(Feb!D32,0)</f>
        <v/>
      </c>
      <c r="D8" s="9">
        <f>IFERROR(Mar!D32,0)</f>
        <v/>
      </c>
      <c r="E8" s="9">
        <f>IFERROR(Apr!D32,0)</f>
        <v/>
      </c>
      <c r="F8" s="9">
        <f>IFERROR(May!D32,0)</f>
        <v/>
      </c>
      <c r="G8" s="9">
        <f>IFERROR(Jun!D32,0)</f>
        <v/>
      </c>
      <c r="H8" s="9">
        <f>IFERROR(Jul!D32,0)</f>
        <v/>
      </c>
      <c r="I8" s="9">
        <f>IFERROR(Aug!D32,0)</f>
        <v/>
      </c>
      <c r="J8" s="9">
        <f>IFERROR(Sep!D32,0)</f>
        <v/>
      </c>
      <c r="K8" s="9">
        <f>IFERROR(Oct!D32,0)</f>
        <v/>
      </c>
      <c r="L8" s="9">
        <f>IFERROR(Nov!D32,0)</f>
        <v/>
      </c>
      <c r="M8" s="9">
        <f>IFERROR(Dec!D32,0)</f>
        <v/>
      </c>
      <c r="N8" s="8">
        <f>SUM(B8:M8)</f>
        <v/>
      </c>
      <c r="O8" s="7" t="n"/>
      <c r="P8" s="8">
        <f>IFERROR(N8-O8,0)</f>
        <v/>
      </c>
    </row>
    <row r="9">
      <c r="A9" s="14" t="inlineStr">
        <is>
          <t>Lifestyle</t>
        </is>
      </c>
      <c r="B9" s="9">
        <f>IFERROR(Jan!D38,0)</f>
        <v/>
      </c>
      <c r="C9" s="9">
        <f>IFERROR(Feb!D38,0)</f>
        <v/>
      </c>
      <c r="D9" s="9">
        <f>IFERROR(Mar!D38,0)</f>
        <v/>
      </c>
      <c r="E9" s="9">
        <f>IFERROR(Apr!D38,0)</f>
        <v/>
      </c>
      <c r="F9" s="9">
        <f>IFERROR(May!D38,0)</f>
        <v/>
      </c>
      <c r="G9" s="9">
        <f>IFERROR(Jun!D38,0)</f>
        <v/>
      </c>
      <c r="H9" s="9">
        <f>IFERROR(Jul!D38,0)</f>
        <v/>
      </c>
      <c r="I9" s="9">
        <f>IFERROR(Aug!D38,0)</f>
        <v/>
      </c>
      <c r="J9" s="9">
        <f>IFERROR(Sep!D38,0)</f>
        <v/>
      </c>
      <c r="K9" s="9">
        <f>IFERROR(Oct!D38,0)</f>
        <v/>
      </c>
      <c r="L9" s="9">
        <f>IFERROR(Nov!D38,0)</f>
        <v/>
      </c>
      <c r="M9" s="9">
        <f>IFERROR(Dec!D38,0)</f>
        <v/>
      </c>
      <c r="N9" s="8">
        <f>SUM(B9:M9)</f>
        <v/>
      </c>
      <c r="O9" s="7" t="n"/>
      <c r="P9" s="8">
        <f>IFERROR(N9-O9,0)</f>
        <v/>
      </c>
    </row>
    <row r="10">
      <c r="A10" s="16" t="inlineStr">
        <is>
          <t>Personal</t>
        </is>
      </c>
      <c r="B10" s="9">
        <f>IFERROR(Jan!D44,0)</f>
        <v/>
      </c>
      <c r="C10" s="9">
        <f>IFERROR(Feb!D44,0)</f>
        <v/>
      </c>
      <c r="D10" s="9">
        <f>IFERROR(Mar!D44,0)</f>
        <v/>
      </c>
      <c r="E10" s="9">
        <f>IFERROR(Apr!D44,0)</f>
        <v/>
      </c>
      <c r="F10" s="9">
        <f>IFERROR(May!D44,0)</f>
        <v/>
      </c>
      <c r="G10" s="9">
        <f>IFERROR(Jun!D44,0)</f>
        <v/>
      </c>
      <c r="H10" s="9">
        <f>IFERROR(Jul!D44,0)</f>
        <v/>
      </c>
      <c r="I10" s="9">
        <f>IFERROR(Aug!D44,0)</f>
        <v/>
      </c>
      <c r="J10" s="9">
        <f>IFERROR(Sep!D44,0)</f>
        <v/>
      </c>
      <c r="K10" s="9">
        <f>IFERROR(Oct!D44,0)</f>
        <v/>
      </c>
      <c r="L10" s="9">
        <f>IFERROR(Nov!D44,0)</f>
        <v/>
      </c>
      <c r="M10" s="9">
        <f>IFERROR(Dec!D44,0)</f>
        <v/>
      </c>
      <c r="N10" s="8">
        <f>SUM(B10:M10)</f>
        <v/>
      </c>
      <c r="O10" s="7" t="n"/>
      <c r="P10" s="8">
        <f>IFERROR(N10-O10,0)</f>
        <v/>
      </c>
    </row>
    <row r="11">
      <c r="A11" s="14" t="inlineStr">
        <is>
          <t>Savings</t>
        </is>
      </c>
      <c r="B11" s="9">
        <f>IFERROR(Jan!D50,0)</f>
        <v/>
      </c>
      <c r="C11" s="9">
        <f>IFERROR(Feb!D50,0)</f>
        <v/>
      </c>
      <c r="D11" s="9">
        <f>IFERROR(Mar!D50,0)</f>
        <v/>
      </c>
      <c r="E11" s="9">
        <f>IFERROR(Apr!D50,0)</f>
        <v/>
      </c>
      <c r="F11" s="9">
        <f>IFERROR(May!D50,0)</f>
        <v/>
      </c>
      <c r="G11" s="9">
        <f>IFERROR(Jun!D50,0)</f>
        <v/>
      </c>
      <c r="H11" s="9">
        <f>IFERROR(Jul!D50,0)</f>
        <v/>
      </c>
      <c r="I11" s="9">
        <f>IFERROR(Aug!D50,0)</f>
        <v/>
      </c>
      <c r="J11" s="9">
        <f>IFERROR(Sep!D50,0)</f>
        <v/>
      </c>
      <c r="K11" s="9">
        <f>IFERROR(Oct!D50,0)</f>
        <v/>
      </c>
      <c r="L11" s="9">
        <f>IFERROR(Nov!D50,0)</f>
        <v/>
      </c>
      <c r="M11" s="9">
        <f>IFERROR(Dec!D50,0)</f>
        <v/>
      </c>
      <c r="N11" s="8">
        <f>SUM(B11:M11)</f>
        <v/>
      </c>
      <c r="O11" s="7" t="n"/>
      <c r="P11" s="8">
        <f>IFERROR(N11-O11,0)</f>
        <v/>
      </c>
    </row>
    <row r="12">
      <c r="A12" s="16" t="inlineStr">
        <is>
          <t>Debt Payments</t>
        </is>
      </c>
      <c r="B12" s="9">
        <f>IFERROR(Jan!D56,0)</f>
        <v/>
      </c>
      <c r="C12" s="9">
        <f>IFERROR(Feb!D56,0)</f>
        <v/>
      </c>
      <c r="D12" s="9">
        <f>IFERROR(Mar!D56,0)</f>
        <v/>
      </c>
      <c r="E12" s="9">
        <f>IFERROR(Apr!D56,0)</f>
        <v/>
      </c>
      <c r="F12" s="9">
        <f>IFERROR(May!D56,0)</f>
        <v/>
      </c>
      <c r="G12" s="9">
        <f>IFERROR(Jun!D56,0)</f>
        <v/>
      </c>
      <c r="H12" s="9">
        <f>IFERROR(Jul!D56,0)</f>
        <v/>
      </c>
      <c r="I12" s="9">
        <f>IFERROR(Aug!D56,0)</f>
        <v/>
      </c>
      <c r="J12" s="9">
        <f>IFERROR(Sep!D56,0)</f>
        <v/>
      </c>
      <c r="K12" s="9">
        <f>IFERROR(Oct!D56,0)</f>
        <v/>
      </c>
      <c r="L12" s="9">
        <f>IFERROR(Nov!D56,0)</f>
        <v/>
      </c>
      <c r="M12" s="9">
        <f>IFERROR(Dec!D56,0)</f>
        <v/>
      </c>
      <c r="N12" s="8">
        <f>SUM(B12:M12)</f>
        <v/>
      </c>
      <c r="O12" s="7" t="n"/>
      <c r="P12" s="8">
        <f>IFERROR(N12-O12,0)</f>
        <v/>
      </c>
    </row>
    <row r="13">
      <c r="A13" s="56" t="inlineStr">
        <is>
          <t>Net Cash Flow</t>
        </is>
      </c>
      <c r="B13" s="9">
        <f>IFERROR(Jan!D58,0)</f>
        <v/>
      </c>
      <c r="C13" s="9">
        <f>IFERROR(Feb!D58,0)</f>
        <v/>
      </c>
      <c r="D13" s="9">
        <f>IFERROR(Mar!D58,0)</f>
        <v/>
      </c>
      <c r="E13" s="9">
        <f>IFERROR(Apr!D58,0)</f>
        <v/>
      </c>
      <c r="F13" s="9">
        <f>IFERROR(May!D58,0)</f>
        <v/>
      </c>
      <c r="G13" s="9">
        <f>IFERROR(Jun!D58,0)</f>
        <v/>
      </c>
      <c r="H13" s="9">
        <f>IFERROR(Jul!D58,0)</f>
        <v/>
      </c>
      <c r="I13" s="9">
        <f>IFERROR(Aug!D58,0)</f>
        <v/>
      </c>
      <c r="J13" s="9">
        <f>IFERROR(Sep!D58,0)</f>
        <v/>
      </c>
      <c r="K13" s="9">
        <f>IFERROR(Oct!D58,0)</f>
        <v/>
      </c>
      <c r="L13" s="9">
        <f>IFERROR(Nov!D58,0)</f>
        <v/>
      </c>
      <c r="M13" s="9">
        <f>IFERROR(Dec!D58,0)</f>
        <v/>
      </c>
      <c r="N13" s="8">
        <f>SUM(B13:M13)</f>
        <v/>
      </c>
      <c r="O13" s="7" t="n"/>
      <c r="P13" s="8">
        <f>IFERROR(N13-O13,0)</f>
        <v/>
      </c>
    </row>
    <row r="15">
      <c r="A15" s="2" t="inlineStr">
        <is>
          <t>📈 ANNUAL STATISTICS</t>
        </is>
      </c>
    </row>
    <row r="16">
      <c r="A16" s="4" t="inlineStr">
        <is>
          <t>YTD Savings Rate</t>
        </is>
      </c>
      <c r="B16" s="5" t="n"/>
      <c r="C16" s="6" t="n"/>
      <c r="D16" s="47">
        <f>IFERROR(N11/N3,0)</f>
        <v/>
      </c>
      <c r="E16" s="5" t="n"/>
      <c r="F16" s="6" t="n"/>
    </row>
    <row r="17">
      <c r="A17" s="4" t="inlineStr">
        <is>
          <t>Highest Spending Month</t>
        </is>
      </c>
      <c r="B17" s="5" t="n"/>
      <c r="C17" s="6" t="n"/>
      <c r="D17" s="58">
        <f>IFERROR(INDEX(A2:M2,MATCH(MAX(B4:M4),B4:M4,0)+1,1),"N/A")</f>
        <v/>
      </c>
      <c r="E17" s="5" t="n"/>
      <c r="F17" s="6" t="n"/>
    </row>
    <row r="18">
      <c r="A18" s="4" t="inlineStr">
        <is>
          <t>Lowest Spending Month</t>
        </is>
      </c>
      <c r="B18" s="5" t="n"/>
      <c r="C18" s="6" t="n"/>
      <c r="D18" s="58">
        <f>IFERROR(INDEX(A2:M2,MATCH(MIN(B4:M4),B4:M4,0)+1,1),"N/A")</f>
        <v/>
      </c>
      <c r="E18" s="5" t="n"/>
      <c r="F18" s="6" t="n"/>
    </row>
    <row r="19">
      <c r="A19" s="4" t="inlineStr">
        <is>
          <t>Total Annual Income</t>
        </is>
      </c>
      <c r="B19" s="5" t="n"/>
      <c r="C19" s="6" t="n"/>
      <c r="D19" s="9">
        <f>IFERROR(N3,0)</f>
        <v/>
      </c>
      <c r="E19" s="5" t="n"/>
      <c r="F19" s="6" t="n"/>
    </row>
    <row r="20">
      <c r="A20" s="4" t="inlineStr">
        <is>
          <t>Total Annual Expenses</t>
        </is>
      </c>
      <c r="B20" s="5" t="n"/>
      <c r="C20" s="6" t="n"/>
      <c r="D20" s="9">
        <f>IFERROR(N4,0)</f>
        <v/>
      </c>
      <c r="E20" s="5" t="n"/>
      <c r="F20" s="6" t="n"/>
    </row>
    <row r="21">
      <c r="A21" s="4" t="inlineStr">
        <is>
          <t>Annual Net Cash Flow</t>
        </is>
      </c>
      <c r="B21" s="5" t="n"/>
      <c r="C21" s="6" t="n"/>
      <c r="D21" s="9">
        <f>IFERROR(N13,0)</f>
        <v/>
      </c>
      <c r="E21" s="5" t="n"/>
      <c r="F21" s="6" t="n"/>
    </row>
  </sheetData>
  <mergeCells count="14">
    <mergeCell ref="D19:F19"/>
    <mergeCell ref="A19:C19"/>
    <mergeCell ref="A15:H15"/>
    <mergeCell ref="A17:C17"/>
    <mergeCell ref="A18:C18"/>
    <mergeCell ref="D18:F18"/>
    <mergeCell ref="D17:F17"/>
    <mergeCell ref="A21:C21"/>
    <mergeCell ref="D21:F21"/>
    <mergeCell ref="D20:F20"/>
    <mergeCell ref="A20:C20"/>
    <mergeCell ref="D16:F16"/>
    <mergeCell ref="A16:C16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2026-06-22T16:26:48Z</dcterms:created>
  <dcterms:modified xsi:type="dcterms:W3CDTF">2026-06-22T16:26:49Z</dcterms:modified>
</cp:coreProperties>
</file>