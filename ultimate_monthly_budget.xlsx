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Jan" sheetId="2" state="visible" r:id="rId2"/>
    <sheet name="Feb" sheetId="3" state="visible" r:id="rId3"/>
    <sheet name="Mar" sheetId="4" state="visible" r:id="rId4"/>
    <sheet name="Apr" sheetId="5" state="visible" r:id="rId5"/>
    <sheet name="May" sheetId="6" state="visible" r:id="rId6"/>
    <sheet name="Jun" sheetId="7" state="visible" r:id="rId7"/>
    <sheet name="Jul" sheetId="8" state="visible" r:id="rId8"/>
    <sheet name="Aug" sheetId="9" state="visible" r:id="rId9"/>
    <sheet name="Sep" sheetId="10" state="visible" r:id="rId10"/>
    <sheet name="Oct" sheetId="11" state="visible" r:id="rId11"/>
    <sheet name="Nov" sheetId="12" state="visible" r:id="rId12"/>
    <sheet name="Dec" sheetId="13" state="visible" r:id="rId13"/>
    <sheet name="Annual Budget" sheetId="14" state="visible" r:id="rId14"/>
    <sheet name="Savings Tracker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;[RED]-0.0%"/>
  </numFmts>
  <fonts count="12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color rgb="00FFFFFF"/>
      <sz val="15"/>
    </font>
    <font>
      <name val="Calibri"/>
      <i val="1"/>
      <color rgb="002C2C2C"/>
      <sz val="1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1A4FA0"/>
      <sz val="11"/>
    </font>
    <font>
      <name val="Calibri"/>
      <b val="1"/>
      <color rgb="002C2C2C"/>
      <sz val="11"/>
    </font>
    <font>
      <name val="Calibri"/>
      <b val="1"/>
      <color rgb="00000000"/>
      <sz val="11"/>
    </font>
    <font>
      <name val="Calibri"/>
      <color rgb="007D3C4E"/>
      <sz val="11"/>
    </font>
    <font>
      <name val="Calibri"/>
      <color rgb="002C2C2C"/>
      <sz val="11"/>
    </font>
    <font>
      <name val="Calibri"/>
      <b val="1"/>
      <color rgb="00FFFFFF"/>
      <sz val="16"/>
    </font>
  </fonts>
  <fills count="11">
    <fill>
      <patternFill/>
    </fill>
    <fill>
      <patternFill patternType="gray125"/>
    </fill>
    <fill>
      <patternFill patternType="solid">
        <fgColor rgb="007D3C4E"/>
      </patternFill>
    </fill>
    <fill>
      <patternFill patternType="solid">
        <fgColor rgb="00C4A882"/>
      </patternFill>
    </fill>
    <fill>
      <patternFill patternType="solid">
        <fgColor rgb="004A6741"/>
      </patternFill>
    </fill>
    <fill>
      <patternFill patternType="solid">
        <fgColor rgb="00F9E8ED"/>
      </patternFill>
    </fill>
    <fill>
      <patternFill patternType="solid">
        <fgColor rgb="00FFFFFF"/>
      </patternFill>
    </fill>
    <fill>
      <patternFill patternType="solid">
        <fgColor rgb="00C8DDB8"/>
      </patternFill>
    </fill>
    <fill>
      <patternFill patternType="solid">
        <fgColor rgb="00A85470"/>
      </patternFill>
    </fill>
    <fill>
      <patternFill patternType="solid">
        <fgColor rgb="00E8B4C0"/>
      </patternFill>
    </fill>
    <fill>
      <patternFill patternType="solid">
        <fgColor rgb="00EEF4E8"/>
      </patternFill>
    </fill>
  </fills>
  <borders count="3">
    <border>
      <left/>
      <right/>
      <top/>
      <bottom/>
      <diagonal/>
    </border>
    <border/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2">
    <xf numFmtId="0" fontId="0" fillId="0" borderId="0"/>
    <xf numFmtId="0" fontId="1" fillId="0" borderId="1"/>
  </cellStyleXfs>
  <cellXfs count="70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left" vertical="center"/>
    </xf>
    <xf numFmtId="164" fontId="9" fillId="10" borderId="0" applyAlignment="1" pivotButton="0" quotePrefix="0" xfId="0">
      <alignment horizontal="right" vertical="center"/>
    </xf>
    <xf numFmtId="0" fontId="0" fillId="10" borderId="0" pivotButton="0" quotePrefix="0" xfId="0"/>
    <xf numFmtId="0" fontId="7" fillId="5" borderId="0" applyAlignment="1" pivotButton="0" quotePrefix="0" xfId="0">
      <alignment horizontal="left" vertical="center"/>
    </xf>
    <xf numFmtId="164" fontId="9" fillId="5" borderId="0" applyAlignment="1" pivotButton="0" quotePrefix="0" xfId="0">
      <alignment horizontal="right" vertical="center"/>
    </xf>
    <xf numFmtId="0" fontId="0" fillId="5" borderId="0" pivotButton="0" quotePrefix="0" xfId="0"/>
    <xf numFmtId="165" fontId="9" fillId="5" borderId="0" applyAlignment="1" pivotButton="0" quotePrefix="0" xfId="0">
      <alignment horizontal="right" vertical="center"/>
    </xf>
    <xf numFmtId="49" fontId="9" fillId="10" borderId="0" applyAlignment="1" pivotButton="0" quotePrefix="0" xfId="0">
      <alignment horizontal="right" vertical="center"/>
    </xf>
    <xf numFmtId="49" fontId="9" fillId="5" borderId="0" applyAlignment="1" pivotButton="0" quotePrefix="0" xfId="0">
      <alignment horizontal="right" vertical="center"/>
    </xf>
    <xf numFmtId="16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5" fillId="5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5" fontId="5" fillId="5" borderId="2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164" fontId="5" fillId="6" borderId="2" applyAlignment="1" pivotButton="0" quotePrefix="0" xfId="0">
      <alignment horizontal="right" vertical="center"/>
    </xf>
    <xf numFmtId="165" fontId="5" fillId="6" borderId="2" applyAlignment="1" pivotButton="0" quotePrefix="0" xfId="0">
      <alignment horizontal="right" vertical="center"/>
    </xf>
    <xf numFmtId="0" fontId="0" fillId="6" borderId="0" pivotButton="0" quotePrefix="0" xfId="0"/>
    <xf numFmtId="0" fontId="7" fillId="7" borderId="0" applyAlignment="1" pivotButton="0" quotePrefix="0" xfId="0">
      <alignment horizontal="center" vertical="center"/>
    </xf>
    <xf numFmtId="164" fontId="8" fillId="7" borderId="0" applyAlignment="1" pivotButton="0" quotePrefix="0" xfId="0">
      <alignment horizontal="right" vertical="center"/>
    </xf>
    <xf numFmtId="165" fontId="8" fillId="7" borderId="0" applyAlignment="1" pivotButton="0" quotePrefix="0" xfId="0">
      <alignment horizontal="right" vertical="center"/>
    </xf>
    <xf numFmtId="0" fontId="0" fillId="7" borderId="0" pivotButton="0" quotePrefix="0" xfId="0"/>
    <xf numFmtId="0" fontId="4" fillId="8" borderId="0" applyAlignment="1" pivotButton="0" quotePrefix="0" xfId="0">
      <alignment horizontal="left" vertical="center"/>
    </xf>
    <xf numFmtId="0" fontId="0" fillId="8" borderId="0" pivotButton="0" quotePrefix="0" xfId="0"/>
    <xf numFmtId="164" fontId="0" fillId="5" borderId="0" pivotButton="0" quotePrefix="0" xfId="0"/>
    <xf numFmtId="165" fontId="0" fillId="5" borderId="0" pivotButton="0" quotePrefix="0" xfId="0"/>
    <xf numFmtId="164" fontId="0" fillId="6" borderId="0" pivotButton="0" quotePrefix="0" xfId="0"/>
    <xf numFmtId="165" fontId="0" fillId="6" borderId="0" pivotButton="0" quotePrefix="0" xfId="0"/>
    <xf numFmtId="0" fontId="7" fillId="9" borderId="0" applyAlignment="1" pivotButton="0" quotePrefix="0" xfId="0">
      <alignment horizontal="center" vertical="center"/>
    </xf>
    <xf numFmtId="164" fontId="8" fillId="9" borderId="0" applyAlignment="1" pivotButton="0" quotePrefix="0" xfId="0">
      <alignment horizontal="right" vertical="center"/>
    </xf>
    <xf numFmtId="165" fontId="8" fillId="9" borderId="0" applyAlignment="1" pivotButton="0" quotePrefix="0" xfId="0">
      <alignment horizontal="right" vertical="center"/>
    </xf>
    <xf numFmtId="0" fontId="0" fillId="9" borderId="0" pivotButton="0" quotePrefix="0" xfId="0"/>
    <xf numFmtId="164" fontId="4" fillId="2" borderId="0" applyAlignment="1" pivotButton="0" quotePrefix="0" xfId="0">
      <alignment horizontal="right" vertical="center"/>
    </xf>
    <xf numFmtId="165" fontId="4" fillId="2" borderId="0" applyAlignment="1" pivotButton="0" quotePrefix="0" xfId="0">
      <alignment horizontal="right" vertical="center"/>
    </xf>
    <xf numFmtId="0" fontId="0" fillId="2" borderId="0" pivotButton="0" quotePrefix="0" xfId="0"/>
    <xf numFmtId="0" fontId="4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164" fontId="7" fillId="7" borderId="0" applyAlignment="1" pivotButton="0" quotePrefix="0" xfId="0">
      <alignment horizontal="right" vertical="center"/>
    </xf>
    <xf numFmtId="164" fontId="6" fillId="7" borderId="0" applyAlignment="1" pivotButton="0" quotePrefix="0" xfId="0">
      <alignment horizontal="right" vertical="center"/>
    </xf>
    <xf numFmtId="0" fontId="10" fillId="5" borderId="0" applyAlignment="1" pivotButton="0" quotePrefix="0" xfId="0">
      <alignment horizontal="left" vertical="center"/>
    </xf>
    <xf numFmtId="164" fontId="10" fillId="5" borderId="0" applyAlignment="1" pivotButton="0" quotePrefix="0" xfId="0">
      <alignment horizontal="right" vertical="center"/>
    </xf>
    <xf numFmtId="164" fontId="6" fillId="5" borderId="0" applyAlignment="1" pivotButton="0" quotePrefix="0" xfId="0">
      <alignment horizontal="right" vertical="center"/>
    </xf>
    <xf numFmtId="0" fontId="10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right" vertical="center"/>
    </xf>
    <xf numFmtId="164" fontId="6" fillId="6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left" vertical="center"/>
    </xf>
    <xf numFmtId="164" fontId="6" fillId="2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165" fontId="5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left" vertical="center"/>
    </xf>
    <xf numFmtId="164" fontId="6" fillId="10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/>
    </xf>
    <xf numFmtId="165" fontId="5" fillId="10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</cellXfs>
  <cellStyles count="2">
    <cellStyle name="Normal" xfId="0" builtinId="0" hidden="0"/>
    <cellStyle name="normal_calibri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Income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'Dashboard'!Q10</f>
            </strRef>
          </tx>
          <spPr>
            <a:solidFill>
              <a:srgbClr val="C97B8E"/>
            </a:solidFill>
            <a:ln>
              <a:solidFill>
                <a:srgbClr val="C97B8E"/>
              </a:solidFill>
              <a:prstDash val="solid"/>
            </a:ln>
          </spPr>
          <cat>
            <numRef>
              <f>'Dashboard'!$P$11:$P$22</f>
            </numRef>
          </cat>
          <val>
            <numRef>
              <f>'Dashboard'!$Q$11:$Q$22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Annual Income by Source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'Dashboard'!Q24</f>
            </strRef>
          </tx>
          <spPr>
            <a:ln>
              <a:prstDash val="solid"/>
            </a:ln>
          </spPr>
          <cat>
            <numRef>
              <f>'Dashboard'!$P$25:$P$30</f>
            </numRef>
          </cat>
          <val>
            <numRef>
              <f>'Dashboard'!$Q$25:$Q$30</f>
            </numRef>
          </val>
        </ser>
        <firstSliceAng val="0"/>
        <holeSize val="4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Savings Goals Progress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'Savings Tracker'!C3</f>
            </strRef>
          </tx>
          <spPr>
            <a:solidFill>
              <a:srgbClr val="6B9E63"/>
            </a:solidFill>
            <a:ln>
              <a:solidFill>
                <a:srgbClr val="6B9E63"/>
              </a:solidFill>
              <a:prstDash val="solid"/>
            </a:ln>
          </spPr>
          <cat>
            <numRef>
              <f>'Savings Tracker'!$A$4:$A$11</f>
            </numRef>
          </cat>
          <val>
            <numRef>
              <f>'Savings Tracker'!$C$4:$C$11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Goal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Savings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'Dashboard'!S10</f>
            </strRef>
          </tx>
          <spPr>
            <a:solidFill>
              <a:srgbClr val="6B9E63"/>
            </a:solidFill>
            <a:ln>
              <a:solidFill>
                <a:srgbClr val="6B9E63"/>
              </a:solidFill>
              <a:prstDash val="solid"/>
            </a:ln>
          </spPr>
          <cat>
            <numRef>
              <f>'Dashboard'!$P$11:$P$22</f>
            </numRef>
          </cat>
          <val>
            <numRef>
              <f>'Dashboard'!$S$11:$S$22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35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35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20" customWidth="1" min="14" max="14"/>
  </cols>
  <sheetData>
    <row r="1" ht="35" customHeight="1">
      <c r="A1" s="1" t="inlineStr">
        <is>
          <t>DASHBOARD · THE ULTIMATE MONTHLY BUDGET · 2026</t>
        </is>
      </c>
    </row>
    <row r="2" ht="22" customHeight="1">
      <c r="A2" s="2" t="inlineStr">
        <is>
          <t>Your complete financial overview at a glance</t>
        </is>
      </c>
    </row>
    <row r="3" ht="22" customHeight="1">
      <c r="A3" s="3" t="inlineStr">
        <is>
          <t>BUDGET OVERVIEW</t>
        </is>
      </c>
    </row>
    <row r="4" ht="18" customHeight="1">
      <c r="A4" s="4" t="inlineStr">
        <is>
          <t>Annual Income</t>
        </is>
      </c>
      <c r="B4" s="5">
        <f>'Jan'!D11+'Feb'!D11+'Mar'!D11+'Apr'!D11+'May'!D11+'Jun'!D11+'Jul'!D11+'Aug'!D11+'Sep'!D11+'Oct'!D11+'Nov'!D11+'Dec'!D11</f>
        <v/>
      </c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</row>
    <row r="5" ht="18" customHeight="1">
      <c r="A5" s="7" t="inlineStr">
        <is>
          <t>Annual Expenses</t>
        </is>
      </c>
      <c r="B5" s="8">
        <f>'Jan'!D76+'Feb'!D76+'Mar'!D76+'Apr'!D76+'May'!D76+'Jun'!D76+'Jul'!D76+'Aug'!D76+'Sep'!D76+'Oct'!D76+'Nov'!D76+'Dec'!D76</f>
        <v/>
      </c>
      <c r="C5" s="9" t="inlineStr"/>
      <c r="D5" s="9" t="inlineStr"/>
      <c r="E5" s="9" t="inlineStr"/>
      <c r="F5" s="9" t="inlineStr"/>
      <c r="G5" s="9" t="inlineStr"/>
      <c r="H5" s="9" t="inlineStr"/>
      <c r="I5" s="9" t="inlineStr"/>
      <c r="J5" s="9" t="inlineStr"/>
      <c r="K5" s="9" t="inlineStr"/>
      <c r="L5" s="9" t="inlineStr"/>
      <c r="M5" s="9" t="inlineStr"/>
      <c r="N5" s="9" t="inlineStr"/>
    </row>
    <row r="6" ht="18" customHeight="1">
      <c r="A6" s="4" t="inlineStr">
        <is>
          <t>Annual Savings</t>
        </is>
      </c>
      <c r="B6" s="5">
        <f>'Jan'!D77+'Feb'!D77+'Mar'!D77+'Apr'!D77+'May'!D77+'Jun'!D77+'Jul'!D77+'Aug'!D77+'Sep'!D77+'Oct'!D77+'Nov'!D77+'Dec'!D77</f>
        <v/>
      </c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  <c r="N6" s="6" t="inlineStr"/>
    </row>
    <row r="7" ht="18" customHeight="1">
      <c r="A7" s="7" t="inlineStr">
        <is>
          <t>Savings Rate</t>
        </is>
      </c>
      <c r="B7" s="10">
        <f>IF(('Jan'!D11+'Feb'!D11+'Mar'!D11+'Apr'!D11+'May'!D11+'Jun'!D11+'Jul'!D11+'Aug'!D11+'Sep'!D11+'Oct'!D11+'Nov'!D11+'Dec'!D11)=0,0,('Jan'!D77+'Feb'!D77+'Mar'!D77+'Apr'!D77+'May'!D77+'Jun'!D77+'Jul'!D77+'Aug'!D77+'Sep'!D77+'Oct'!D77+'Nov'!D77+'Dec'!D77)/('Jan'!D11+'Feb'!D11+'Mar'!D11+'Apr'!D11+'May'!D11+'Jun'!D11+'Jul'!D11+'Aug'!D11+'Sep'!D11+'Oct'!D11+'Nov'!D11+'Dec'!D11))</f>
        <v/>
      </c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  <c r="K7" s="9" t="inlineStr"/>
      <c r="L7" s="9" t="inlineStr"/>
      <c r="M7" s="9" t="inlineStr"/>
      <c r="N7" s="9" t="inlineStr"/>
    </row>
    <row r="8" ht="18" customHeight="1">
      <c r="A8" s="4" t="inlineStr">
        <is>
          <t>Best Month</t>
        </is>
      </c>
      <c r="B8" s="11">
        <f>INDEX({"Jan","Feb","Mar","Apr","May","Jun","Jul","Aug","Sep","Oct","Nov","Dec"},MATCH(MAX('Jan'!D77,'Feb'!D77,'Mar'!D77,'Apr'!D77,'May'!D77,'Jun'!D77,'Jul'!D77,'Aug'!D77,'Sep'!D77,'Oct'!D77,'Nov'!D77,'Dec'!D77),{'Jan'!D77,'Feb'!D77,'Mar'!D77,'Apr'!D77,'May'!D77,'Jun'!D77,'Jul'!D77,'Aug'!D77,'Sep'!D77,'Oct'!D77,'Nov'!D77,'Dec'!D77},0))</f>
        <v/>
      </c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</row>
    <row r="9" ht="18" customHeight="1">
      <c r="A9" s="7" t="inlineStr">
        <is>
          <t>Worst Month</t>
        </is>
      </c>
      <c r="B9" s="12">
        <f>INDEX({"Jan","Feb","Mar","Apr","May","Jun","Jul","Aug","Sep","Oct","Nov","Dec"},MATCH(MIN('Jan'!D77,'Feb'!D77,'Mar'!D77,'Apr'!D77,'May'!D77,'Jun'!D77,'Jul'!D77,'Aug'!D77,'Sep'!D77,'Oct'!D77,'Nov'!D77,'Dec'!D77),{'Jan'!D77,'Feb'!D77,'Mar'!D77,'Apr'!D77,'May'!D77,'Jun'!D77,'Jul'!D77,'Aug'!D77,'Sep'!D77,'Oct'!D77,'Nov'!D77,'Dec'!D77},0))</f>
        <v/>
      </c>
      <c r="C9" s="9" t="inlineStr"/>
      <c r="D9" s="9" t="inlineStr"/>
      <c r="E9" s="9" t="inlineStr"/>
      <c r="F9" s="9" t="inlineStr"/>
      <c r="G9" s="9" t="inlineStr"/>
      <c r="H9" s="9" t="inlineStr"/>
      <c r="I9" s="9" t="inlineStr"/>
      <c r="J9" s="9" t="inlineStr"/>
      <c r="K9" s="9" t="inlineStr"/>
      <c r="L9" s="9" t="inlineStr"/>
      <c r="M9" s="9" t="inlineStr"/>
      <c r="N9" s="9" t="inlineStr"/>
    </row>
    <row r="10">
      <c r="P10" t="inlineStr">
        <is>
          <t>Month</t>
        </is>
      </c>
      <c r="Q10" t="inlineStr">
        <is>
          <t>Monthly Income</t>
        </is>
      </c>
      <c r="R10" t="inlineStr">
        <is>
          <t>Monthly Expenses</t>
        </is>
      </c>
      <c r="S10" t="inlineStr">
        <is>
          <t>Monthly Savings</t>
        </is>
      </c>
      <c r="T10" t="inlineStr">
        <is>
          <t>Cumulative Savings</t>
        </is>
      </c>
    </row>
    <row r="11" ht="16" customHeight="1">
      <c r="P11" t="inlineStr">
        <is>
          <t>Jan</t>
        </is>
      </c>
      <c r="Q11" s="13">
        <f>'Jan'!D11</f>
        <v/>
      </c>
      <c r="R11" s="13">
        <f>'Jan'!D76</f>
        <v/>
      </c>
      <c r="S11" s="13">
        <f>'Jan'!D77</f>
        <v/>
      </c>
      <c r="T11" s="13">
        <f>SUM(S11)</f>
        <v/>
      </c>
    </row>
    <row r="12" ht="16" customHeight="1">
      <c r="P12" t="inlineStr">
        <is>
          <t>Feb</t>
        </is>
      </c>
      <c r="Q12" s="13">
        <f>'Feb'!D11</f>
        <v/>
      </c>
      <c r="R12" s="13">
        <f>'Feb'!D76</f>
        <v/>
      </c>
      <c r="S12" s="13">
        <f>'Feb'!D77</f>
        <v/>
      </c>
      <c r="T12" s="13">
        <f>SUM(S11,S12)</f>
        <v/>
      </c>
    </row>
    <row r="13" ht="16" customHeight="1">
      <c r="P13" t="inlineStr">
        <is>
          <t>Mar</t>
        </is>
      </c>
      <c r="Q13" s="13">
        <f>'Mar'!D11</f>
        <v/>
      </c>
      <c r="R13" s="13">
        <f>'Mar'!D76</f>
        <v/>
      </c>
      <c r="S13" s="13">
        <f>'Mar'!D77</f>
        <v/>
      </c>
      <c r="T13" s="13">
        <f>SUM(S11,S12,S13)</f>
        <v/>
      </c>
    </row>
    <row r="14" ht="16" customHeight="1">
      <c r="P14" t="inlineStr">
        <is>
          <t>Apr</t>
        </is>
      </c>
      <c r="Q14" s="13">
        <f>'Apr'!D11</f>
        <v/>
      </c>
      <c r="R14" s="13">
        <f>'Apr'!D76</f>
        <v/>
      </c>
      <c r="S14" s="13">
        <f>'Apr'!D77</f>
        <v/>
      </c>
      <c r="T14" s="13">
        <f>SUM(S11,S12,S13,S14)</f>
        <v/>
      </c>
    </row>
    <row r="15" ht="16" customHeight="1">
      <c r="P15" t="inlineStr">
        <is>
          <t>May</t>
        </is>
      </c>
      <c r="Q15" s="13">
        <f>'May'!D11</f>
        <v/>
      </c>
      <c r="R15" s="13">
        <f>'May'!D76</f>
        <v/>
      </c>
      <c r="S15" s="13">
        <f>'May'!D77</f>
        <v/>
      </c>
      <c r="T15" s="13">
        <f>SUM(S11,S12,S13,S14,S15)</f>
        <v/>
      </c>
    </row>
    <row r="16" ht="16" customHeight="1">
      <c r="P16" t="inlineStr">
        <is>
          <t>Jun</t>
        </is>
      </c>
      <c r="Q16" s="13">
        <f>'Jun'!D11</f>
        <v/>
      </c>
      <c r="R16" s="13">
        <f>'Jun'!D76</f>
        <v/>
      </c>
      <c r="S16" s="13">
        <f>'Jun'!D77</f>
        <v/>
      </c>
      <c r="T16" s="13">
        <f>SUM(S11,S12,S13,S14,S15,S16)</f>
        <v/>
      </c>
    </row>
    <row r="17" ht="16" customHeight="1">
      <c r="P17" t="inlineStr">
        <is>
          <t>Jul</t>
        </is>
      </c>
      <c r="Q17" s="13">
        <f>'Jul'!D11</f>
        <v/>
      </c>
      <c r="R17" s="13">
        <f>'Jul'!D76</f>
        <v/>
      </c>
      <c r="S17" s="13">
        <f>'Jul'!D77</f>
        <v/>
      </c>
      <c r="T17" s="13">
        <f>SUM(S11,S12,S13,S14,S15,S16,S17)</f>
        <v/>
      </c>
    </row>
    <row r="18" ht="16" customHeight="1">
      <c r="P18" t="inlineStr">
        <is>
          <t>Aug</t>
        </is>
      </c>
      <c r="Q18" s="13">
        <f>'Aug'!D11</f>
        <v/>
      </c>
      <c r="R18" s="13">
        <f>'Aug'!D76</f>
        <v/>
      </c>
      <c r="S18" s="13">
        <f>'Aug'!D77</f>
        <v/>
      </c>
      <c r="T18" s="13">
        <f>SUM(S11,S12,S13,S14,S15,S16,S17,S18)</f>
        <v/>
      </c>
    </row>
    <row r="19" ht="16" customHeight="1">
      <c r="P19" t="inlineStr">
        <is>
          <t>Sep</t>
        </is>
      </c>
      <c r="Q19" s="13">
        <f>'Sep'!D11</f>
        <v/>
      </c>
      <c r="R19" s="13">
        <f>'Sep'!D76</f>
        <v/>
      </c>
      <c r="S19" s="13">
        <f>'Sep'!D77</f>
        <v/>
      </c>
      <c r="T19" s="13">
        <f>SUM(S11,S12,S13,S14,S15,S16,S17,S18,S19)</f>
        <v/>
      </c>
    </row>
    <row r="20" ht="16" customHeight="1">
      <c r="P20" t="inlineStr">
        <is>
          <t>Oct</t>
        </is>
      </c>
      <c r="Q20" s="13">
        <f>'Oct'!D11</f>
        <v/>
      </c>
      <c r="R20" s="13">
        <f>'Oct'!D76</f>
        <v/>
      </c>
      <c r="S20" s="13">
        <f>'Oct'!D77</f>
        <v/>
      </c>
      <c r="T20" s="13">
        <f>SUM(S11,S12,S13,S14,S15,S16,S17,S18,S19,S20)</f>
        <v/>
      </c>
    </row>
    <row r="21" ht="16" customHeight="1">
      <c r="P21" t="inlineStr">
        <is>
          <t>Nov</t>
        </is>
      </c>
      <c r="Q21" s="13">
        <f>'Nov'!D11</f>
        <v/>
      </c>
      <c r="R21" s="13">
        <f>'Nov'!D76</f>
        <v/>
      </c>
      <c r="S21" s="13">
        <f>'Nov'!D77</f>
        <v/>
      </c>
      <c r="T21" s="13">
        <f>SUM(S11,S12,S13,S14,S15,S16,S17,S18,S19,S20,S21)</f>
        <v/>
      </c>
    </row>
    <row r="22" ht="16" customHeight="1">
      <c r="P22" t="inlineStr">
        <is>
          <t>Dec</t>
        </is>
      </c>
      <c r="Q22" s="13">
        <f>'Dec'!D11</f>
        <v/>
      </c>
      <c r="R22" s="13">
        <f>'Dec'!D76</f>
        <v/>
      </c>
      <c r="S22" s="13">
        <f>'Dec'!D77</f>
        <v/>
      </c>
      <c r="T22" s="13">
        <f>SUM(S11,S12,S13,S14,S15,S16,S17,S18,S19,S20,S21,S22)</f>
        <v/>
      </c>
    </row>
    <row r="24">
      <c r="P24" t="inlineStr">
        <is>
          <t>Income Source</t>
        </is>
      </c>
      <c r="Q24" t="inlineStr">
        <is>
          <t>Annual Amount</t>
        </is>
      </c>
    </row>
    <row r="25">
      <c r="P25" t="inlineStr">
        <is>
          <t>Primary Salary</t>
        </is>
      </c>
      <c r="Q25" s="13">
        <f>'Jan'!D5+'Feb'!D5+'Mar'!D5+'Apr'!D5+'May'!D5+'Jun'!D5+'Jul'!D5+'Aug'!D5+'Sep'!D5+'Oct'!D5+'Nov'!D5+'Dec'!D5</f>
        <v/>
      </c>
    </row>
    <row r="26">
      <c r="P26" t="inlineStr">
        <is>
          <t>Freelance</t>
        </is>
      </c>
      <c r="Q26" s="13">
        <f>'Jan'!D6+'Feb'!D6+'Mar'!D6+'Apr'!D6+'May'!D6+'Jun'!D6+'Jul'!D6+'Aug'!D6+'Sep'!D6+'Oct'!D6+'Nov'!D6+'Dec'!D6</f>
        <v/>
      </c>
    </row>
    <row r="27">
      <c r="P27" t="inlineStr">
        <is>
          <t>Rental Income</t>
        </is>
      </c>
      <c r="Q27" s="13">
        <f>'Jan'!D7+'Feb'!D7+'Mar'!D7+'Apr'!D7+'May'!D7+'Jun'!D7+'Jul'!D7+'Aug'!D7+'Sep'!D7+'Oct'!D7+'Nov'!D7+'Dec'!D7</f>
        <v/>
      </c>
    </row>
    <row r="28">
      <c r="P28" t="inlineStr">
        <is>
          <t>Dividends</t>
        </is>
      </c>
      <c r="Q28" s="13">
        <f>'Jan'!D8+'Feb'!D8+'Mar'!D8+'Apr'!D8+'May'!D8+'Jun'!D8+'Jul'!D8+'Aug'!D8+'Sep'!D8+'Oct'!D8+'Nov'!D8+'Dec'!D8</f>
        <v/>
      </c>
    </row>
    <row r="29">
      <c r="P29" t="inlineStr">
        <is>
          <t>Side Business</t>
        </is>
      </c>
      <c r="Q29" s="13">
        <f>'Jan'!D9+'Feb'!D9+'Mar'!D9+'Apr'!D9+'May'!D9+'Jun'!D9+'Jul'!D9+'Aug'!D9+'Sep'!D9+'Oct'!D9+'Nov'!D9+'Dec'!D9</f>
        <v/>
      </c>
    </row>
    <row r="30">
      <c r="P30" t="inlineStr">
        <is>
          <t>Other Income</t>
        </is>
      </c>
      <c r="Q30" s="13">
        <f>'Jan'!D10+'Feb'!D10+'Mar'!D10+'Apr'!D10+'May'!D10+'Jun'!D10+'Jul'!D10+'Aug'!D10+'Sep'!D10+'Oct'!D10+'Nov'!D10+'Dec'!D10</f>
        <v/>
      </c>
    </row>
  </sheetData>
  <mergeCells count="3">
    <mergeCell ref="A3:N3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JAN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FEB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MAR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APR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MAY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JUN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JUL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AUG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SEP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OCT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NOV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  <col width="13" customWidth="1" min="5" max="5"/>
    <col width="10" customWidth="1" min="6" max="6"/>
    <col width="18" customWidth="1" min="7" max="7"/>
  </cols>
  <sheetData>
    <row r="1" ht="30" customHeight="1">
      <c r="A1" s="14" t="inlineStr">
        <is>
          <t>DEC 2026 · MONTHLY BUDGET</t>
        </is>
      </c>
    </row>
    <row r="2" ht="20" customHeight="1">
      <c r="A2" s="2" t="inlineStr">
        <is>
          <t>Track your income, expenses and cash flow</t>
        </is>
      </c>
    </row>
    <row r="3" ht="20" customHeight="1">
      <c r="A3" s="15" t="inlineStr">
        <is>
          <t>CATEGORY</t>
        </is>
      </c>
      <c r="B3" s="15" t="inlineStr">
        <is>
          <t>SUBCATEGORY</t>
        </is>
      </c>
      <c r="C3" s="15" t="inlineStr">
        <is>
          <t>BUDGETED</t>
        </is>
      </c>
      <c r="D3" s="15" t="inlineStr">
        <is>
          <t>ACTUAL</t>
        </is>
      </c>
      <c r="E3" s="15" t="inlineStr">
        <is>
          <t>DIFFERENCE</t>
        </is>
      </c>
      <c r="F3" s="15" t="inlineStr">
        <is>
          <t>% USED</t>
        </is>
      </c>
      <c r="G3" s="15" t="inlineStr">
        <is>
          <t>NOTES</t>
        </is>
      </c>
    </row>
    <row r="4" ht="18" customHeight="1">
      <c r="A4" s="16" t="inlineStr">
        <is>
          <t>INCOME</t>
        </is>
      </c>
      <c r="B4" s="17" t="n"/>
      <c r="C4" s="17" t="n"/>
      <c r="D4" s="17" t="n"/>
      <c r="E4" s="17" t="n"/>
      <c r="F4" s="17" t="n"/>
      <c r="G4" s="17" t="n"/>
    </row>
    <row r="5" ht="16" customHeight="1">
      <c r="A5" s="18" t="inlineStr">
        <is>
          <t>Income</t>
        </is>
      </c>
      <c r="B5" s="19" t="inlineStr">
        <is>
          <t>Primary Salary</t>
        </is>
      </c>
      <c r="C5" s="20" t="n">
        <v>0</v>
      </c>
      <c r="D5" s="20" t="n">
        <v>0</v>
      </c>
      <c r="E5" s="20">
        <f>D5-C5</f>
        <v/>
      </c>
      <c r="F5" s="21">
        <f>IF(C5=0,0,D5/C5)</f>
        <v/>
      </c>
      <c r="G5" s="9" t="inlineStr"/>
    </row>
    <row r="6" ht="16" customHeight="1">
      <c r="A6" s="22" t="inlineStr">
        <is>
          <t>Income</t>
        </is>
      </c>
      <c r="B6" s="23" t="inlineStr">
        <is>
          <t>Freelance</t>
        </is>
      </c>
      <c r="C6" s="24" t="n">
        <v>0</v>
      </c>
      <c r="D6" s="24" t="n">
        <v>0</v>
      </c>
      <c r="E6" s="24">
        <f>D6-C6</f>
        <v/>
      </c>
      <c r="F6" s="25">
        <f>IF(C6=0,0,D6/C6)</f>
        <v/>
      </c>
      <c r="G6" s="26" t="inlineStr"/>
    </row>
    <row r="7" ht="16" customHeight="1">
      <c r="A7" s="18" t="inlineStr">
        <is>
          <t>Income</t>
        </is>
      </c>
      <c r="B7" s="19" t="inlineStr">
        <is>
          <t>Rental Income</t>
        </is>
      </c>
      <c r="C7" s="20" t="n">
        <v>0</v>
      </c>
      <c r="D7" s="20" t="n">
        <v>0</v>
      </c>
      <c r="E7" s="20">
        <f>D7-C7</f>
        <v/>
      </c>
      <c r="F7" s="21">
        <f>IF(C7=0,0,D7/C7)</f>
        <v/>
      </c>
      <c r="G7" s="9" t="inlineStr"/>
    </row>
    <row r="8" ht="16" customHeight="1">
      <c r="A8" s="22" t="inlineStr">
        <is>
          <t>Income</t>
        </is>
      </c>
      <c r="B8" s="23" t="inlineStr">
        <is>
          <t>Dividends</t>
        </is>
      </c>
      <c r="C8" s="24" t="n">
        <v>0</v>
      </c>
      <c r="D8" s="24" t="n">
        <v>0</v>
      </c>
      <c r="E8" s="24">
        <f>D8-C8</f>
        <v/>
      </c>
      <c r="F8" s="25">
        <f>IF(C8=0,0,D8/C8)</f>
        <v/>
      </c>
      <c r="G8" s="26" t="inlineStr"/>
    </row>
    <row r="9" ht="16" customHeight="1">
      <c r="A9" s="18" t="inlineStr">
        <is>
          <t>Income</t>
        </is>
      </c>
      <c r="B9" s="19" t="inlineStr">
        <is>
          <t>Side Business</t>
        </is>
      </c>
      <c r="C9" s="20" t="n">
        <v>0</v>
      </c>
      <c r="D9" s="20" t="n">
        <v>0</v>
      </c>
      <c r="E9" s="20">
        <f>D9-C9</f>
        <v/>
      </c>
      <c r="F9" s="21">
        <f>IF(C9=0,0,D9/C9)</f>
        <v/>
      </c>
      <c r="G9" s="9" t="inlineStr"/>
    </row>
    <row r="10" ht="16" customHeight="1">
      <c r="A10" s="22" t="inlineStr">
        <is>
          <t>Income</t>
        </is>
      </c>
      <c r="B10" s="23" t="inlineStr">
        <is>
          <t>Other Income</t>
        </is>
      </c>
      <c r="C10" s="24" t="n">
        <v>0</v>
      </c>
      <c r="D10" s="24" t="n">
        <v>0</v>
      </c>
      <c r="E10" s="24">
        <f>D10-C10</f>
        <v/>
      </c>
      <c r="F10" s="25">
        <f>IF(C10=0,0,D10/C10)</f>
        <v/>
      </c>
      <c r="G10" s="26" t="inlineStr"/>
    </row>
    <row r="11" ht="18" customHeight="1">
      <c r="A11" s="27" t="inlineStr">
        <is>
          <t>TOTAL INCOME</t>
        </is>
      </c>
      <c r="C11" s="28">
        <f>SUM(C5:C10)</f>
        <v/>
      </c>
      <c r="D11" s="28">
        <f>SUM(D5:D10)</f>
        <v/>
      </c>
      <c r="E11" s="28">
        <f>SUM(E5:E10)</f>
        <v/>
      </c>
      <c r="F11" s="29">
        <f>SUM(F5:F10)</f>
        <v/>
      </c>
      <c r="G11" s="30" t="inlineStr"/>
    </row>
    <row r="12" ht="18" customHeight="1">
      <c r="A12" s="31" t="inlineStr">
        <is>
          <t>HOUSING</t>
        </is>
      </c>
      <c r="B12" s="32" t="n"/>
      <c r="C12" s="32" t="n"/>
      <c r="D12" s="32" t="n"/>
      <c r="E12" s="32" t="n"/>
      <c r="F12" s="32" t="n"/>
      <c r="G12" s="32" t="n"/>
    </row>
    <row r="13" ht="16" customHeight="1">
      <c r="A13" s="18" t="inlineStr">
        <is>
          <t>HOUSING</t>
        </is>
      </c>
      <c r="B13" s="19" t="inlineStr">
        <is>
          <t>Rent/Mortgage</t>
        </is>
      </c>
      <c r="C13" s="20" t="n">
        <v>0</v>
      </c>
      <c r="D13" s="20" t="n">
        <v>0</v>
      </c>
      <c r="E13" s="33">
        <f>D13-C13</f>
        <v/>
      </c>
      <c r="F13" s="34">
        <f>IF(C13=0,0,D13/C13)</f>
        <v/>
      </c>
      <c r="G13" s="9" t="inlineStr"/>
    </row>
    <row r="14" ht="16" customHeight="1">
      <c r="A14" s="22" t="inlineStr">
        <is>
          <t>HOUSING</t>
        </is>
      </c>
      <c r="B14" s="23" t="inlineStr">
        <is>
          <t>Electricity</t>
        </is>
      </c>
      <c r="C14" s="24" t="n">
        <v>0</v>
      </c>
      <c r="D14" s="24" t="n">
        <v>0</v>
      </c>
      <c r="E14" s="35">
        <f>D14-C14</f>
        <v/>
      </c>
      <c r="F14" s="36">
        <f>IF(C14=0,0,D14/C14)</f>
        <v/>
      </c>
      <c r="G14" s="26" t="inlineStr"/>
    </row>
    <row r="15" ht="16" customHeight="1">
      <c r="A15" s="18" t="inlineStr">
        <is>
          <t>HOUSING</t>
        </is>
      </c>
      <c r="B15" s="19" t="inlineStr">
        <is>
          <t>Water</t>
        </is>
      </c>
      <c r="C15" s="20" t="n">
        <v>0</v>
      </c>
      <c r="D15" s="20" t="n">
        <v>0</v>
      </c>
      <c r="E15" s="33">
        <f>D15-C15</f>
        <v/>
      </c>
      <c r="F15" s="34">
        <f>IF(C15=0,0,D15/C15)</f>
        <v/>
      </c>
      <c r="G15" s="9" t="inlineStr"/>
    </row>
    <row r="16" ht="16" customHeight="1">
      <c r="A16" s="22" t="inlineStr">
        <is>
          <t>HOUSING</t>
        </is>
      </c>
      <c r="B16" s="23" t="inlineStr">
        <is>
          <t>Internet</t>
        </is>
      </c>
      <c r="C16" s="24" t="n">
        <v>0</v>
      </c>
      <c r="D16" s="24" t="n">
        <v>0</v>
      </c>
      <c r="E16" s="35">
        <f>D16-C16</f>
        <v/>
      </c>
      <c r="F16" s="36">
        <f>IF(C16=0,0,D16/C16)</f>
        <v/>
      </c>
      <c r="G16" s="26" t="inlineStr"/>
    </row>
    <row r="17" ht="16" customHeight="1">
      <c r="A17" s="18" t="inlineStr">
        <is>
          <t>HOUSING</t>
        </is>
      </c>
      <c r="B17" s="19" t="inlineStr">
        <is>
          <t>Home Insurance</t>
        </is>
      </c>
      <c r="C17" s="20" t="n">
        <v>0</v>
      </c>
      <c r="D17" s="20" t="n">
        <v>0</v>
      </c>
      <c r="E17" s="33">
        <f>D17-C17</f>
        <v/>
      </c>
      <c r="F17" s="34">
        <f>IF(C17=0,0,D17/C17)</f>
        <v/>
      </c>
      <c r="G17" s="9" t="inlineStr"/>
    </row>
    <row r="18" ht="16" customHeight="1">
      <c r="A18" s="22" t="inlineStr">
        <is>
          <t>HOUSING</t>
        </is>
      </c>
      <c r="B18" s="23" t="inlineStr">
        <is>
          <t>Maintenance</t>
        </is>
      </c>
      <c r="C18" s="24" t="n">
        <v>0</v>
      </c>
      <c r="D18" s="24" t="n">
        <v>0</v>
      </c>
      <c r="E18" s="35">
        <f>D18-C18</f>
        <v/>
      </c>
      <c r="F18" s="36">
        <f>IF(C18=0,0,D18/C18)</f>
        <v/>
      </c>
      <c r="G18" s="26" t="inlineStr"/>
    </row>
    <row r="19" ht="18" customHeight="1">
      <c r="A19" s="37" t="inlineStr">
        <is>
          <t>SUBTOTAL · HOUSING</t>
        </is>
      </c>
      <c r="C19" s="38">
        <f>SUM(C13:C18)</f>
        <v/>
      </c>
      <c r="D19" s="38">
        <f>SUM(D13:D18)</f>
        <v/>
      </c>
      <c r="E19" s="38">
        <f>SUM(E13:E18)</f>
        <v/>
      </c>
      <c r="F19" s="39">
        <f>SUM(F13:F18)</f>
        <v/>
      </c>
      <c r="G19" s="40" t="inlineStr"/>
    </row>
    <row r="20" ht="18" customHeight="1">
      <c r="A20" s="31" t="inlineStr">
        <is>
          <t>TRANSPORT</t>
        </is>
      </c>
      <c r="B20" s="32" t="n"/>
      <c r="C20" s="32" t="n"/>
      <c r="D20" s="32" t="n"/>
      <c r="E20" s="32" t="n"/>
      <c r="F20" s="32" t="n"/>
      <c r="G20" s="32" t="n"/>
    </row>
    <row r="21" ht="16" customHeight="1">
      <c r="A21" s="18" t="inlineStr">
        <is>
          <t>TRANSPORT</t>
        </is>
      </c>
      <c r="B21" s="19" t="inlineStr">
        <is>
          <t>Car Payment</t>
        </is>
      </c>
      <c r="C21" s="20" t="n">
        <v>0</v>
      </c>
      <c r="D21" s="20" t="n">
        <v>0</v>
      </c>
      <c r="E21" s="33">
        <f>D21-C21</f>
        <v/>
      </c>
      <c r="F21" s="34">
        <f>IF(C21=0,0,D21/C21)</f>
        <v/>
      </c>
      <c r="G21" s="9" t="inlineStr"/>
    </row>
    <row r="22" ht="16" customHeight="1">
      <c r="A22" s="22" t="inlineStr">
        <is>
          <t>TRANSPORT</t>
        </is>
      </c>
      <c r="B22" s="23" t="inlineStr">
        <is>
          <t>Fuel</t>
        </is>
      </c>
      <c r="C22" s="24" t="n">
        <v>0</v>
      </c>
      <c r="D22" s="24" t="n">
        <v>0</v>
      </c>
      <c r="E22" s="35">
        <f>D22-C22</f>
        <v/>
      </c>
      <c r="F22" s="36">
        <f>IF(C22=0,0,D22/C22)</f>
        <v/>
      </c>
      <c r="G22" s="26" t="inlineStr"/>
    </row>
    <row r="23" ht="16" customHeight="1">
      <c r="A23" s="18" t="inlineStr">
        <is>
          <t>TRANSPORT</t>
        </is>
      </c>
      <c r="B23" s="19" t="inlineStr">
        <is>
          <t>Car Insurance</t>
        </is>
      </c>
      <c r="C23" s="20" t="n">
        <v>0</v>
      </c>
      <c r="D23" s="20" t="n">
        <v>0</v>
      </c>
      <c r="E23" s="33">
        <f>D23-C23</f>
        <v/>
      </c>
      <c r="F23" s="34">
        <f>IF(C23=0,0,D23/C23)</f>
        <v/>
      </c>
      <c r="G23" s="9" t="inlineStr"/>
    </row>
    <row r="24" ht="16" customHeight="1">
      <c r="A24" s="22" t="inlineStr">
        <is>
          <t>TRANSPORT</t>
        </is>
      </c>
      <c r="B24" s="23" t="inlineStr">
        <is>
          <t>Parking</t>
        </is>
      </c>
      <c r="C24" s="24" t="n">
        <v>0</v>
      </c>
      <c r="D24" s="24" t="n">
        <v>0</v>
      </c>
      <c r="E24" s="35">
        <f>D24-C24</f>
        <v/>
      </c>
      <c r="F24" s="36">
        <f>IF(C24=0,0,D24/C24)</f>
        <v/>
      </c>
      <c r="G24" s="26" t="inlineStr"/>
    </row>
    <row r="25" ht="16" customHeight="1">
      <c r="A25" s="18" t="inlineStr">
        <is>
          <t>TRANSPORT</t>
        </is>
      </c>
      <c r="B25" s="19" t="inlineStr">
        <is>
          <t>Public Transport</t>
        </is>
      </c>
      <c r="C25" s="20" t="n">
        <v>0</v>
      </c>
      <c r="D25" s="20" t="n">
        <v>0</v>
      </c>
      <c r="E25" s="33">
        <f>D25-C25</f>
        <v/>
      </c>
      <c r="F25" s="34">
        <f>IF(C25=0,0,D25/C25)</f>
        <v/>
      </c>
      <c r="G25" s="9" t="inlineStr"/>
    </row>
    <row r="26" ht="16" customHeight="1">
      <c r="A26" s="22" t="inlineStr">
        <is>
          <t>TRANSPORT</t>
        </is>
      </c>
      <c r="B26" s="23" t="inlineStr">
        <is>
          <t>Ride Share</t>
        </is>
      </c>
      <c r="C26" s="24" t="n">
        <v>0</v>
      </c>
      <c r="D26" s="24" t="n">
        <v>0</v>
      </c>
      <c r="E26" s="35">
        <f>D26-C26</f>
        <v/>
      </c>
      <c r="F26" s="36">
        <f>IF(C26=0,0,D26/C26)</f>
        <v/>
      </c>
      <c r="G26" s="26" t="inlineStr"/>
    </row>
    <row r="27" ht="18" customHeight="1">
      <c r="A27" s="37" t="inlineStr">
        <is>
          <t>SUBTOTAL · TRANSPORT</t>
        </is>
      </c>
      <c r="C27" s="38">
        <f>SUM(C21:C26)</f>
        <v/>
      </c>
      <c r="D27" s="38">
        <f>SUM(D21:D26)</f>
        <v/>
      </c>
      <c r="E27" s="38">
        <f>SUM(E21:E26)</f>
        <v/>
      </c>
      <c r="F27" s="39">
        <f>SUM(F21:F26)</f>
        <v/>
      </c>
      <c r="G27" s="40" t="inlineStr"/>
    </row>
    <row r="28" ht="18" customHeight="1">
      <c r="A28" s="31" t="inlineStr">
        <is>
          <t>FOOD &amp; DINING</t>
        </is>
      </c>
      <c r="B28" s="32" t="n"/>
      <c r="C28" s="32" t="n"/>
      <c r="D28" s="32" t="n"/>
      <c r="E28" s="32" t="n"/>
      <c r="F28" s="32" t="n"/>
      <c r="G28" s="32" t="n"/>
    </row>
    <row r="29" ht="16" customHeight="1">
      <c r="A29" s="18" t="inlineStr">
        <is>
          <t>FOOD &amp; DINING</t>
        </is>
      </c>
      <c r="B29" s="19" t="inlineStr">
        <is>
          <t>Groceries</t>
        </is>
      </c>
      <c r="C29" s="20" t="n">
        <v>0</v>
      </c>
      <c r="D29" s="20" t="n">
        <v>0</v>
      </c>
      <c r="E29" s="33">
        <f>D29-C29</f>
        <v/>
      </c>
      <c r="F29" s="34">
        <f>IF(C29=0,0,D29/C29)</f>
        <v/>
      </c>
      <c r="G29" s="9" t="inlineStr"/>
    </row>
    <row r="30" ht="16" customHeight="1">
      <c r="A30" s="22" t="inlineStr">
        <is>
          <t>FOOD &amp; DINING</t>
        </is>
      </c>
      <c r="B30" s="23" t="inlineStr">
        <is>
          <t>Restaurants</t>
        </is>
      </c>
      <c r="C30" s="24" t="n">
        <v>0</v>
      </c>
      <c r="D30" s="24" t="n">
        <v>0</v>
      </c>
      <c r="E30" s="35">
        <f>D30-C30</f>
        <v/>
      </c>
      <c r="F30" s="36">
        <f>IF(C30=0,0,D30/C30)</f>
        <v/>
      </c>
      <c r="G30" s="26" t="inlineStr"/>
    </row>
    <row r="31" ht="16" customHeight="1">
      <c r="A31" s="18" t="inlineStr">
        <is>
          <t>FOOD &amp; DINING</t>
        </is>
      </c>
      <c r="B31" s="19" t="inlineStr">
        <is>
          <t>Coffee Shops</t>
        </is>
      </c>
      <c r="C31" s="20" t="n">
        <v>0</v>
      </c>
      <c r="D31" s="20" t="n">
        <v>0</v>
      </c>
      <c r="E31" s="33">
        <f>D31-C31</f>
        <v/>
      </c>
      <c r="F31" s="34">
        <f>IF(C31=0,0,D31/C31)</f>
        <v/>
      </c>
      <c r="G31" s="9" t="inlineStr"/>
    </row>
    <row r="32" ht="16" customHeight="1">
      <c r="A32" s="22" t="inlineStr">
        <is>
          <t>FOOD &amp; DINING</t>
        </is>
      </c>
      <c r="B32" s="23" t="inlineStr">
        <is>
          <t>Food Delivery</t>
        </is>
      </c>
      <c r="C32" s="24" t="n">
        <v>0</v>
      </c>
      <c r="D32" s="24" t="n">
        <v>0</v>
      </c>
      <c r="E32" s="35">
        <f>D32-C32</f>
        <v/>
      </c>
      <c r="F32" s="36">
        <f>IF(C32=0,0,D32/C32)</f>
        <v/>
      </c>
      <c r="G32" s="26" t="inlineStr"/>
    </row>
    <row r="33" ht="16" customHeight="1">
      <c r="A33" s="18" t="inlineStr">
        <is>
          <t>FOOD &amp; DINING</t>
        </is>
      </c>
      <c r="B33" s="19" t="inlineStr">
        <is>
          <t>Work Lunch</t>
        </is>
      </c>
      <c r="C33" s="20" t="n">
        <v>0</v>
      </c>
      <c r="D33" s="20" t="n">
        <v>0</v>
      </c>
      <c r="E33" s="33">
        <f>D33-C33</f>
        <v/>
      </c>
      <c r="F33" s="34">
        <f>IF(C33=0,0,D33/C33)</f>
        <v/>
      </c>
      <c r="G33" s="9" t="inlineStr"/>
    </row>
    <row r="34" ht="16" customHeight="1">
      <c r="A34" s="22" t="inlineStr">
        <is>
          <t>FOOD &amp; DINING</t>
        </is>
      </c>
      <c r="B34" s="23" t="inlineStr">
        <is>
          <t>Other</t>
        </is>
      </c>
      <c r="C34" s="24" t="n">
        <v>0</v>
      </c>
      <c r="D34" s="24" t="n">
        <v>0</v>
      </c>
      <c r="E34" s="35">
        <f>D34-C34</f>
        <v/>
      </c>
      <c r="F34" s="36">
        <f>IF(C34=0,0,D34/C34)</f>
        <v/>
      </c>
      <c r="G34" s="26" t="inlineStr"/>
    </row>
    <row r="35" ht="18" customHeight="1">
      <c r="A35" s="37" t="inlineStr">
        <is>
          <t>SUBTOTAL · FOOD &amp; DINING</t>
        </is>
      </c>
      <c r="C35" s="38">
        <f>SUM(C29:C34)</f>
        <v/>
      </c>
      <c r="D35" s="38">
        <f>SUM(D29:D34)</f>
        <v/>
      </c>
      <c r="E35" s="38">
        <f>SUM(E29:E34)</f>
        <v/>
      </c>
      <c r="F35" s="39">
        <f>SUM(F29:F34)</f>
        <v/>
      </c>
      <c r="G35" s="40" t="inlineStr"/>
    </row>
    <row r="36" ht="18" customHeight="1">
      <c r="A36" s="31" t="inlineStr">
        <is>
          <t>HEALTH &amp; WELLNESS</t>
        </is>
      </c>
      <c r="B36" s="32" t="n"/>
      <c r="C36" s="32" t="n"/>
      <c r="D36" s="32" t="n"/>
      <c r="E36" s="32" t="n"/>
      <c r="F36" s="32" t="n"/>
      <c r="G36" s="32" t="n"/>
    </row>
    <row r="37" ht="16" customHeight="1">
      <c r="A37" s="18" t="inlineStr">
        <is>
          <t>HEALTH &amp; WELLNESS</t>
        </is>
      </c>
      <c r="B37" s="19" t="inlineStr">
        <is>
          <t>Health Insurance</t>
        </is>
      </c>
      <c r="C37" s="20" t="n">
        <v>0</v>
      </c>
      <c r="D37" s="20" t="n">
        <v>0</v>
      </c>
      <c r="E37" s="33">
        <f>D37-C37</f>
        <v/>
      </c>
      <c r="F37" s="34">
        <f>IF(C37=0,0,D37/C37)</f>
        <v/>
      </c>
      <c r="G37" s="9" t="inlineStr"/>
    </row>
    <row r="38" ht="16" customHeight="1">
      <c r="A38" s="22" t="inlineStr">
        <is>
          <t>HEALTH &amp; WELLNESS</t>
        </is>
      </c>
      <c r="B38" s="23" t="inlineStr">
        <is>
          <t>Gym Membership</t>
        </is>
      </c>
      <c r="C38" s="24" t="n">
        <v>0</v>
      </c>
      <c r="D38" s="24" t="n">
        <v>0</v>
      </c>
      <c r="E38" s="35">
        <f>D38-C38</f>
        <v/>
      </c>
      <c r="F38" s="36">
        <f>IF(C38=0,0,D38/C38)</f>
        <v/>
      </c>
      <c r="G38" s="26" t="inlineStr"/>
    </row>
    <row r="39" ht="16" customHeight="1">
      <c r="A39" s="18" t="inlineStr">
        <is>
          <t>HEALTH &amp; WELLNESS</t>
        </is>
      </c>
      <c r="B39" s="19" t="inlineStr">
        <is>
          <t>Pharmacy</t>
        </is>
      </c>
      <c r="C39" s="20" t="n">
        <v>0</v>
      </c>
      <c r="D39" s="20" t="n">
        <v>0</v>
      </c>
      <c r="E39" s="33">
        <f>D39-C39</f>
        <v/>
      </c>
      <c r="F39" s="34">
        <f>IF(C39=0,0,D39/C39)</f>
        <v/>
      </c>
      <c r="G39" s="9" t="inlineStr"/>
    </row>
    <row r="40" ht="16" customHeight="1">
      <c r="A40" s="22" t="inlineStr">
        <is>
          <t>HEALTH &amp; WELLNESS</t>
        </is>
      </c>
      <c r="B40" s="23" t="inlineStr">
        <is>
          <t>Doctor Visits</t>
        </is>
      </c>
      <c r="C40" s="24" t="n">
        <v>0</v>
      </c>
      <c r="D40" s="24" t="n">
        <v>0</v>
      </c>
      <c r="E40" s="35">
        <f>D40-C40</f>
        <v/>
      </c>
      <c r="F40" s="36">
        <f>IF(C40=0,0,D40/C40)</f>
        <v/>
      </c>
      <c r="G40" s="26" t="inlineStr"/>
    </row>
    <row r="41" ht="16" customHeight="1">
      <c r="A41" s="18" t="inlineStr">
        <is>
          <t>HEALTH &amp; WELLNESS</t>
        </is>
      </c>
      <c r="B41" s="19" t="inlineStr">
        <is>
          <t>Dental</t>
        </is>
      </c>
      <c r="C41" s="20" t="n">
        <v>0</v>
      </c>
      <c r="D41" s="20" t="n">
        <v>0</v>
      </c>
      <c r="E41" s="33">
        <f>D41-C41</f>
        <v/>
      </c>
      <c r="F41" s="34">
        <f>IF(C41=0,0,D41/C41)</f>
        <v/>
      </c>
      <c r="G41" s="9" t="inlineStr"/>
    </row>
    <row r="42" ht="16" customHeight="1">
      <c r="A42" s="22" t="inlineStr">
        <is>
          <t>HEALTH &amp; WELLNESS</t>
        </is>
      </c>
      <c r="B42" s="23" t="inlineStr">
        <is>
          <t>Mental Health</t>
        </is>
      </c>
      <c r="C42" s="24" t="n">
        <v>0</v>
      </c>
      <c r="D42" s="24" t="n">
        <v>0</v>
      </c>
      <c r="E42" s="35">
        <f>D42-C42</f>
        <v/>
      </c>
      <c r="F42" s="36">
        <f>IF(C42=0,0,D42/C42)</f>
        <v/>
      </c>
      <c r="G42" s="26" t="inlineStr"/>
    </row>
    <row r="43" ht="18" customHeight="1">
      <c r="A43" s="37" t="inlineStr">
        <is>
          <t>SUBTOTAL · HEALTH &amp; WELLNESS</t>
        </is>
      </c>
      <c r="C43" s="38">
        <f>SUM(C37:C42)</f>
        <v/>
      </c>
      <c r="D43" s="38">
        <f>SUM(D37:D42)</f>
        <v/>
      </c>
      <c r="E43" s="38">
        <f>SUM(E37:E42)</f>
        <v/>
      </c>
      <c r="F43" s="39">
        <f>SUM(F37:F42)</f>
        <v/>
      </c>
      <c r="G43" s="40" t="inlineStr"/>
    </row>
    <row r="44" ht="18" customHeight="1">
      <c r="A44" s="31" t="inlineStr">
        <is>
          <t>LIFESTYLE</t>
        </is>
      </c>
      <c r="B44" s="32" t="n"/>
      <c r="C44" s="32" t="n"/>
      <c r="D44" s="32" t="n"/>
      <c r="E44" s="32" t="n"/>
      <c r="F44" s="32" t="n"/>
      <c r="G44" s="32" t="n"/>
    </row>
    <row r="45" ht="16" customHeight="1">
      <c r="A45" s="18" t="inlineStr">
        <is>
          <t>LIFESTYLE</t>
        </is>
      </c>
      <c r="B45" s="19" t="inlineStr">
        <is>
          <t>Streaming Services</t>
        </is>
      </c>
      <c r="C45" s="20" t="n">
        <v>0</v>
      </c>
      <c r="D45" s="20" t="n">
        <v>0</v>
      </c>
      <c r="E45" s="33">
        <f>D45-C45</f>
        <v/>
      </c>
      <c r="F45" s="34">
        <f>IF(C45=0,0,D45/C45)</f>
        <v/>
      </c>
      <c r="G45" s="9" t="inlineStr"/>
    </row>
    <row r="46" ht="16" customHeight="1">
      <c r="A46" s="22" t="inlineStr">
        <is>
          <t>LIFESTYLE</t>
        </is>
      </c>
      <c r="B46" s="23" t="inlineStr">
        <is>
          <t>Entertainment</t>
        </is>
      </c>
      <c r="C46" s="24" t="n">
        <v>0</v>
      </c>
      <c r="D46" s="24" t="n">
        <v>0</v>
      </c>
      <c r="E46" s="35">
        <f>D46-C46</f>
        <v/>
      </c>
      <c r="F46" s="36">
        <f>IF(C46=0,0,D46/C46)</f>
        <v/>
      </c>
      <c r="G46" s="26" t="inlineStr"/>
    </row>
    <row r="47" ht="16" customHeight="1">
      <c r="A47" s="18" t="inlineStr">
        <is>
          <t>LIFESTYLE</t>
        </is>
      </c>
      <c r="B47" s="19" t="inlineStr">
        <is>
          <t>Hobbies</t>
        </is>
      </c>
      <c r="C47" s="20" t="n">
        <v>0</v>
      </c>
      <c r="D47" s="20" t="n">
        <v>0</v>
      </c>
      <c r="E47" s="33">
        <f>D47-C47</f>
        <v/>
      </c>
      <c r="F47" s="34">
        <f>IF(C47=0,0,D47/C47)</f>
        <v/>
      </c>
      <c r="G47" s="9" t="inlineStr"/>
    </row>
    <row r="48" ht="16" customHeight="1">
      <c r="A48" s="22" t="inlineStr">
        <is>
          <t>LIFESTYLE</t>
        </is>
      </c>
      <c r="B48" s="23" t="inlineStr">
        <is>
          <t>Personal Care</t>
        </is>
      </c>
      <c r="C48" s="24" t="n">
        <v>0</v>
      </c>
      <c r="D48" s="24" t="n">
        <v>0</v>
      </c>
      <c r="E48" s="35">
        <f>D48-C48</f>
        <v/>
      </c>
      <c r="F48" s="36">
        <f>IF(C48=0,0,D48/C48)</f>
        <v/>
      </c>
      <c r="G48" s="26" t="inlineStr"/>
    </row>
    <row r="49" ht="16" customHeight="1">
      <c r="A49" s="18" t="inlineStr">
        <is>
          <t>LIFESTYLE</t>
        </is>
      </c>
      <c r="B49" s="19" t="inlineStr">
        <is>
          <t>Books</t>
        </is>
      </c>
      <c r="C49" s="20" t="n">
        <v>0</v>
      </c>
      <c r="D49" s="20" t="n">
        <v>0</v>
      </c>
      <c r="E49" s="33">
        <f>D49-C49</f>
        <v/>
      </c>
      <c r="F49" s="34">
        <f>IF(C49=0,0,D49/C49)</f>
        <v/>
      </c>
      <c r="G49" s="9" t="inlineStr"/>
    </row>
    <row r="50" ht="16" customHeight="1">
      <c r="A50" s="22" t="inlineStr">
        <is>
          <t>LIFESTYLE</t>
        </is>
      </c>
      <c r="B50" s="23" t="inlineStr">
        <is>
          <t>Clothing</t>
        </is>
      </c>
      <c r="C50" s="24" t="n">
        <v>0</v>
      </c>
      <c r="D50" s="24" t="n">
        <v>0</v>
      </c>
      <c r="E50" s="35">
        <f>D50-C50</f>
        <v/>
      </c>
      <c r="F50" s="36">
        <f>IF(C50=0,0,D50/C50)</f>
        <v/>
      </c>
      <c r="G50" s="26" t="inlineStr"/>
    </row>
    <row r="51" ht="18" customHeight="1">
      <c r="A51" s="37" t="inlineStr">
        <is>
          <t>SUBTOTAL · LIFESTYLE</t>
        </is>
      </c>
      <c r="C51" s="38">
        <f>SUM(C45:C50)</f>
        <v/>
      </c>
      <c r="D51" s="38">
        <f>SUM(D45:D50)</f>
        <v/>
      </c>
      <c r="E51" s="38">
        <f>SUM(E45:E50)</f>
        <v/>
      </c>
      <c r="F51" s="39">
        <f>SUM(F45:F50)</f>
        <v/>
      </c>
      <c r="G51" s="40" t="inlineStr"/>
    </row>
    <row r="52" ht="18" customHeight="1">
      <c r="A52" s="31" t="inlineStr">
        <is>
          <t>CHILDREN &amp; FAMILY</t>
        </is>
      </c>
      <c r="B52" s="32" t="n"/>
      <c r="C52" s="32" t="n"/>
      <c r="D52" s="32" t="n"/>
      <c r="E52" s="32" t="n"/>
      <c r="F52" s="32" t="n"/>
      <c r="G52" s="32" t="n"/>
    </row>
    <row r="53" ht="16" customHeight="1">
      <c r="A53" s="18" t="inlineStr">
        <is>
          <t>CHILDREN &amp; FAMILY</t>
        </is>
      </c>
      <c r="B53" s="19" t="inlineStr">
        <is>
          <t>Childcare</t>
        </is>
      </c>
      <c r="C53" s="20" t="n">
        <v>0</v>
      </c>
      <c r="D53" s="20" t="n">
        <v>0</v>
      </c>
      <c r="E53" s="33">
        <f>D53-C53</f>
        <v/>
      </c>
      <c r="F53" s="34">
        <f>IF(C53=0,0,D53/C53)</f>
        <v/>
      </c>
      <c r="G53" s="9" t="inlineStr"/>
    </row>
    <row r="54" ht="16" customHeight="1">
      <c r="A54" s="22" t="inlineStr">
        <is>
          <t>CHILDREN &amp; FAMILY</t>
        </is>
      </c>
      <c r="B54" s="23" t="inlineStr">
        <is>
          <t>School Fees</t>
        </is>
      </c>
      <c r="C54" s="24" t="n">
        <v>0</v>
      </c>
      <c r="D54" s="24" t="n">
        <v>0</v>
      </c>
      <c r="E54" s="35">
        <f>D54-C54</f>
        <v/>
      </c>
      <c r="F54" s="36">
        <f>IF(C54=0,0,D54/C54)</f>
        <v/>
      </c>
      <c r="G54" s="26" t="inlineStr"/>
    </row>
    <row r="55" ht="16" customHeight="1">
      <c r="A55" s="18" t="inlineStr">
        <is>
          <t>CHILDREN &amp; FAMILY</t>
        </is>
      </c>
      <c r="B55" s="19" t="inlineStr">
        <is>
          <t>Activities</t>
        </is>
      </c>
      <c r="C55" s="20" t="n">
        <v>0</v>
      </c>
      <c r="D55" s="20" t="n">
        <v>0</v>
      </c>
      <c r="E55" s="33">
        <f>D55-C55</f>
        <v/>
      </c>
      <c r="F55" s="34">
        <f>IF(C55=0,0,D55/C55)</f>
        <v/>
      </c>
      <c r="G55" s="9" t="inlineStr"/>
    </row>
    <row r="56" ht="16" customHeight="1">
      <c r="A56" s="22" t="inlineStr">
        <is>
          <t>CHILDREN &amp; FAMILY</t>
        </is>
      </c>
      <c r="B56" s="23" t="inlineStr">
        <is>
          <t>Toys &amp; Gifts</t>
        </is>
      </c>
      <c r="C56" s="24" t="n">
        <v>0</v>
      </c>
      <c r="D56" s="24" t="n">
        <v>0</v>
      </c>
      <c r="E56" s="35">
        <f>D56-C56</f>
        <v/>
      </c>
      <c r="F56" s="36">
        <f>IF(C56=0,0,D56/C56)</f>
        <v/>
      </c>
      <c r="G56" s="26" t="inlineStr"/>
    </row>
    <row r="57" ht="16" customHeight="1">
      <c r="A57" s="18" t="inlineStr">
        <is>
          <t>CHILDREN &amp; FAMILY</t>
        </is>
      </c>
      <c r="B57" s="19" t="inlineStr">
        <is>
          <t>Family Outings</t>
        </is>
      </c>
      <c r="C57" s="20" t="n">
        <v>0</v>
      </c>
      <c r="D57" s="20" t="n">
        <v>0</v>
      </c>
      <c r="E57" s="33">
        <f>D57-C57</f>
        <v/>
      </c>
      <c r="F57" s="34">
        <f>IF(C57=0,0,D57/C57)</f>
        <v/>
      </c>
      <c r="G57" s="9" t="inlineStr"/>
    </row>
    <row r="58" ht="16" customHeight="1">
      <c r="A58" s="22" t="inlineStr">
        <is>
          <t>CHILDREN &amp; FAMILY</t>
        </is>
      </c>
      <c r="B58" s="23" t="inlineStr">
        <is>
          <t>Other</t>
        </is>
      </c>
      <c r="C58" s="24" t="n">
        <v>0</v>
      </c>
      <c r="D58" s="24" t="n">
        <v>0</v>
      </c>
      <c r="E58" s="35">
        <f>D58-C58</f>
        <v/>
      </c>
      <c r="F58" s="36">
        <f>IF(C58=0,0,D58/C58)</f>
        <v/>
      </c>
      <c r="G58" s="26" t="inlineStr"/>
    </row>
    <row r="59" ht="18" customHeight="1">
      <c r="A59" s="37" t="inlineStr">
        <is>
          <t>SUBTOTAL · CHILDREN &amp; FAMILY</t>
        </is>
      </c>
      <c r="C59" s="38">
        <f>SUM(C53:C58)</f>
        <v/>
      </c>
      <c r="D59" s="38">
        <f>SUM(D53:D58)</f>
        <v/>
      </c>
      <c r="E59" s="38">
        <f>SUM(E53:E58)</f>
        <v/>
      </c>
      <c r="F59" s="39">
        <f>SUM(F53:F58)</f>
        <v/>
      </c>
      <c r="G59" s="40" t="inlineStr"/>
    </row>
    <row r="60" ht="18" customHeight="1">
      <c r="A60" s="31" t="inlineStr">
        <is>
          <t>SAVINGS &amp; INVESTMENTS</t>
        </is>
      </c>
      <c r="B60" s="32" t="n"/>
      <c r="C60" s="32" t="n"/>
      <c r="D60" s="32" t="n"/>
      <c r="E60" s="32" t="n"/>
      <c r="F60" s="32" t="n"/>
      <c r="G60" s="32" t="n"/>
    </row>
    <row r="61" ht="16" customHeight="1">
      <c r="A61" s="18" t="inlineStr">
        <is>
          <t>SAVINGS &amp; INVESTMENTS</t>
        </is>
      </c>
      <c r="B61" s="19" t="inlineStr">
        <is>
          <t>Emergency Fund</t>
        </is>
      </c>
      <c r="C61" s="20" t="n">
        <v>0</v>
      </c>
      <c r="D61" s="20" t="n">
        <v>0</v>
      </c>
      <c r="E61" s="33">
        <f>D61-C61</f>
        <v/>
      </c>
      <c r="F61" s="34">
        <f>IF(C61=0,0,D61/C61)</f>
        <v/>
      </c>
      <c r="G61" s="9" t="inlineStr"/>
    </row>
    <row r="62" ht="16" customHeight="1">
      <c r="A62" s="22" t="inlineStr">
        <is>
          <t>SAVINGS &amp; INVESTMENTS</t>
        </is>
      </c>
      <c r="B62" s="23" t="inlineStr">
        <is>
          <t>Pension/IRA</t>
        </is>
      </c>
      <c r="C62" s="24" t="n">
        <v>0</v>
      </c>
      <c r="D62" s="24" t="n">
        <v>0</v>
      </c>
      <c r="E62" s="35">
        <f>D62-C62</f>
        <v/>
      </c>
      <c r="F62" s="36">
        <f>IF(C62=0,0,D62/C62)</f>
        <v/>
      </c>
      <c r="G62" s="26" t="inlineStr"/>
    </row>
    <row r="63" ht="16" customHeight="1">
      <c r="A63" s="18" t="inlineStr">
        <is>
          <t>SAVINGS &amp; INVESTMENTS</t>
        </is>
      </c>
      <c r="B63" s="19" t="inlineStr">
        <is>
          <t>Stocks &amp; ETFs</t>
        </is>
      </c>
      <c r="C63" s="20" t="n">
        <v>0</v>
      </c>
      <c r="D63" s="20" t="n">
        <v>0</v>
      </c>
      <c r="E63" s="33">
        <f>D63-C63</f>
        <v/>
      </c>
      <c r="F63" s="34">
        <f>IF(C63=0,0,D63/C63)</f>
        <v/>
      </c>
      <c r="G63" s="9" t="inlineStr"/>
    </row>
    <row r="64" ht="16" customHeight="1">
      <c r="A64" s="22" t="inlineStr">
        <is>
          <t>SAVINGS &amp; INVESTMENTS</t>
        </is>
      </c>
      <c r="B64" s="23" t="inlineStr">
        <is>
          <t>Vacation Fund</t>
        </is>
      </c>
      <c r="C64" s="24" t="n">
        <v>0</v>
      </c>
      <c r="D64" s="24" t="n">
        <v>0</v>
      </c>
      <c r="E64" s="35">
        <f>D64-C64</f>
        <v/>
      </c>
      <c r="F64" s="36">
        <f>IF(C64=0,0,D64/C64)</f>
        <v/>
      </c>
      <c r="G64" s="26" t="inlineStr"/>
    </row>
    <row r="65" ht="16" customHeight="1">
      <c r="A65" s="18" t="inlineStr">
        <is>
          <t>SAVINGS &amp; INVESTMENTS</t>
        </is>
      </c>
      <c r="B65" s="19" t="inlineStr">
        <is>
          <t>Home Fund</t>
        </is>
      </c>
      <c r="C65" s="20" t="n">
        <v>0</v>
      </c>
      <c r="D65" s="20" t="n">
        <v>0</v>
      </c>
      <c r="E65" s="33">
        <f>D65-C65</f>
        <v/>
      </c>
      <c r="F65" s="34">
        <f>IF(C65=0,0,D65/C65)</f>
        <v/>
      </c>
      <c r="G65" s="9" t="inlineStr"/>
    </row>
    <row r="66" ht="16" customHeight="1">
      <c r="A66" s="22" t="inlineStr">
        <is>
          <t>SAVINGS &amp; INVESTMENTS</t>
        </is>
      </c>
      <c r="B66" s="23" t="inlineStr">
        <is>
          <t>Other</t>
        </is>
      </c>
      <c r="C66" s="24" t="n">
        <v>0</v>
      </c>
      <c r="D66" s="24" t="n">
        <v>0</v>
      </c>
      <c r="E66" s="35">
        <f>D66-C66</f>
        <v/>
      </c>
      <c r="F66" s="36">
        <f>IF(C66=0,0,D66/C66)</f>
        <v/>
      </c>
      <c r="G66" s="26" t="inlineStr"/>
    </row>
    <row r="67" ht="18" customHeight="1">
      <c r="A67" s="37" t="inlineStr">
        <is>
          <t>SUBTOTAL · SAVINGS &amp; INVESTMENTS</t>
        </is>
      </c>
      <c r="C67" s="38">
        <f>SUM(C61:C66)</f>
        <v/>
      </c>
      <c r="D67" s="38">
        <f>SUM(D61:D66)</f>
        <v/>
      </c>
      <c r="E67" s="38">
        <f>SUM(E61:E66)</f>
        <v/>
      </c>
      <c r="F67" s="39">
        <f>SUM(F61:F66)</f>
        <v/>
      </c>
      <c r="G67" s="40" t="inlineStr"/>
    </row>
    <row r="68" ht="18" customHeight="1">
      <c r="A68" s="31" t="inlineStr">
        <is>
          <t>DEBT PAYMENTS</t>
        </is>
      </c>
      <c r="B68" s="32" t="n"/>
      <c r="C68" s="32" t="n"/>
      <c r="D68" s="32" t="n"/>
      <c r="E68" s="32" t="n"/>
      <c r="F68" s="32" t="n"/>
      <c r="G68" s="32" t="n"/>
    </row>
    <row r="69" ht="16" customHeight="1">
      <c r="A69" s="18" t="inlineStr">
        <is>
          <t>DEBT PAYMENTS</t>
        </is>
      </c>
      <c r="B69" s="19" t="inlineStr">
        <is>
          <t>Credit Card 1</t>
        </is>
      </c>
      <c r="C69" s="20" t="n">
        <v>0</v>
      </c>
      <c r="D69" s="20" t="n">
        <v>0</v>
      </c>
      <c r="E69" s="33">
        <f>D69-C69</f>
        <v/>
      </c>
      <c r="F69" s="34">
        <f>IF(C69=0,0,D69/C69)</f>
        <v/>
      </c>
      <c r="G69" s="9" t="inlineStr"/>
    </row>
    <row r="70" ht="16" customHeight="1">
      <c r="A70" s="22" t="inlineStr">
        <is>
          <t>DEBT PAYMENTS</t>
        </is>
      </c>
      <c r="B70" s="23" t="inlineStr">
        <is>
          <t>Credit Card 2</t>
        </is>
      </c>
      <c r="C70" s="24" t="n">
        <v>0</v>
      </c>
      <c r="D70" s="24" t="n">
        <v>0</v>
      </c>
      <c r="E70" s="35">
        <f>D70-C70</f>
        <v/>
      </c>
      <c r="F70" s="36">
        <f>IF(C70=0,0,D70/C70)</f>
        <v/>
      </c>
      <c r="G70" s="26" t="inlineStr"/>
    </row>
    <row r="71" ht="16" customHeight="1">
      <c r="A71" s="18" t="inlineStr">
        <is>
          <t>DEBT PAYMENTS</t>
        </is>
      </c>
      <c r="B71" s="19" t="inlineStr">
        <is>
          <t>Student Loan</t>
        </is>
      </c>
      <c r="C71" s="20" t="n">
        <v>0</v>
      </c>
      <c r="D71" s="20" t="n">
        <v>0</v>
      </c>
      <c r="E71" s="33">
        <f>D71-C71</f>
        <v/>
      </c>
      <c r="F71" s="34">
        <f>IF(C71=0,0,D71/C71)</f>
        <v/>
      </c>
      <c r="G71" s="9" t="inlineStr"/>
    </row>
    <row r="72" ht="16" customHeight="1">
      <c r="A72" s="22" t="inlineStr">
        <is>
          <t>DEBT PAYMENTS</t>
        </is>
      </c>
      <c r="B72" s="23" t="inlineStr">
        <is>
          <t>Car Loan</t>
        </is>
      </c>
      <c r="C72" s="24" t="n">
        <v>0</v>
      </c>
      <c r="D72" s="24" t="n">
        <v>0</v>
      </c>
      <c r="E72" s="35">
        <f>D72-C72</f>
        <v/>
      </c>
      <c r="F72" s="36">
        <f>IF(C72=0,0,D72/C72)</f>
        <v/>
      </c>
      <c r="G72" s="26" t="inlineStr"/>
    </row>
    <row r="73" ht="16" customHeight="1">
      <c r="A73" s="18" t="inlineStr">
        <is>
          <t>DEBT PAYMENTS</t>
        </is>
      </c>
      <c r="B73" s="19" t="inlineStr">
        <is>
          <t>Personal Loan</t>
        </is>
      </c>
      <c r="C73" s="20" t="n">
        <v>0</v>
      </c>
      <c r="D73" s="20" t="n">
        <v>0</v>
      </c>
      <c r="E73" s="33">
        <f>D73-C73</f>
        <v/>
      </c>
      <c r="F73" s="34">
        <f>IF(C73=0,0,D73/C73)</f>
        <v/>
      </c>
      <c r="G73" s="9" t="inlineStr"/>
    </row>
    <row r="74" ht="16" customHeight="1">
      <c r="A74" s="22" t="inlineStr">
        <is>
          <t>DEBT PAYMENTS</t>
        </is>
      </c>
      <c r="B74" s="23" t="inlineStr">
        <is>
          <t>Other</t>
        </is>
      </c>
      <c r="C74" s="24" t="n">
        <v>0</v>
      </c>
      <c r="D74" s="24" t="n">
        <v>0</v>
      </c>
      <c r="E74" s="35">
        <f>D74-C74</f>
        <v/>
      </c>
      <c r="F74" s="36">
        <f>IF(C74=0,0,D74/C74)</f>
        <v/>
      </c>
      <c r="G74" s="26" t="inlineStr"/>
    </row>
    <row r="75" ht="18" customHeight="1">
      <c r="A75" s="37" t="inlineStr">
        <is>
          <t>SUBTOTAL · DEBT PAYMENTS</t>
        </is>
      </c>
      <c r="C75" s="38">
        <f>SUM(C69:C74)</f>
        <v/>
      </c>
      <c r="D75" s="38">
        <f>SUM(D69:D74)</f>
        <v/>
      </c>
      <c r="E75" s="38">
        <f>SUM(E69:E74)</f>
        <v/>
      </c>
      <c r="F75" s="39">
        <f>SUM(F69:F74)</f>
        <v/>
      </c>
      <c r="G75" s="40" t="inlineStr"/>
    </row>
    <row r="76" ht="20" customHeight="1">
      <c r="A76" s="15" t="inlineStr">
        <is>
          <t>GRAND TOTAL EXPENSES</t>
        </is>
      </c>
      <c r="C76" s="41">
        <f>C19+C27+C35+C43+C51+C59+C67+C75</f>
        <v/>
      </c>
      <c r="D76" s="41">
        <f>D19+D27+D35+D43+D51+D59+D67+D75</f>
        <v/>
      </c>
      <c r="E76" s="41">
        <f>E19+E27+E35+E43+E51+E59+E67+E75</f>
        <v/>
      </c>
      <c r="F76" s="42">
        <f>F19+F27+F35+F43+F51+F59+F67+F75</f>
        <v/>
      </c>
      <c r="G76" s="43" t="inlineStr"/>
    </row>
    <row r="77" ht="20" customHeight="1">
      <c r="A77" s="44" t="inlineStr">
        <is>
          <t>NET CASH FLOW</t>
        </is>
      </c>
      <c r="C77" s="45">
        <f>C11-C76</f>
        <v/>
      </c>
      <c r="D77" s="45">
        <f>D11-D76</f>
        <v/>
      </c>
      <c r="E77" s="45">
        <f>D77-C77</f>
        <v/>
      </c>
      <c r="F77" s="46">
        <f>IF(C77=0,0,D77/C77)</f>
        <v/>
      </c>
      <c r="G77" s="17" t="inlineStr"/>
    </row>
  </sheetData>
  <mergeCells count="22">
    <mergeCell ref="A59:B59"/>
    <mergeCell ref="A11:B11"/>
    <mergeCell ref="A51:B51"/>
    <mergeCell ref="A4:G4"/>
    <mergeCell ref="A20:G20"/>
    <mergeCell ref="A52:G52"/>
    <mergeCell ref="A68:G68"/>
    <mergeCell ref="A28:G28"/>
    <mergeCell ref="A44:G44"/>
    <mergeCell ref="A75:B75"/>
    <mergeCell ref="A60:G60"/>
    <mergeCell ref="A27:B27"/>
    <mergeCell ref="A36:G36"/>
    <mergeCell ref="A1:G1"/>
    <mergeCell ref="A76:B76"/>
    <mergeCell ref="A35:B35"/>
    <mergeCell ref="A43:B43"/>
    <mergeCell ref="A19:B19"/>
    <mergeCell ref="A12:G12"/>
    <mergeCell ref="A2:G2"/>
    <mergeCell ref="A67:B67"/>
    <mergeCell ref="A77:B7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3" customWidth="1" min="14" max="14"/>
    <col width="13" customWidth="1" min="15" max="15"/>
    <col width="13" customWidth="1" min="16" max="16"/>
  </cols>
  <sheetData>
    <row r="1" ht="30" customHeight="1">
      <c r="A1" s="14" t="inlineStr">
        <is>
          <t>ANNUAL BUDGET OVERVIEW · 2026</t>
        </is>
      </c>
    </row>
    <row r="2" ht="20" customHeight="1">
      <c r="A2" s="2" t="inlineStr">
        <is>
          <t>Yearly summary across all months</t>
        </is>
      </c>
    </row>
    <row r="3" ht="20" customHeight="1">
      <c r="A3" s="15" t="inlineStr">
        <is>
          <t>LINE ITEM</t>
        </is>
      </c>
      <c r="B3" s="15" t="inlineStr">
        <is>
          <t>Jan</t>
        </is>
      </c>
      <c r="C3" s="15" t="inlineStr">
        <is>
          <t>Feb</t>
        </is>
      </c>
      <c r="D3" s="15" t="inlineStr">
        <is>
          <t>Mar</t>
        </is>
      </c>
      <c r="E3" s="15" t="inlineStr">
        <is>
          <t>Apr</t>
        </is>
      </c>
      <c r="F3" s="15" t="inlineStr">
        <is>
          <t>May</t>
        </is>
      </c>
      <c r="G3" s="15" t="inlineStr">
        <is>
          <t>Jun</t>
        </is>
      </c>
      <c r="H3" s="15" t="inlineStr">
        <is>
          <t>Jul</t>
        </is>
      </c>
      <c r="I3" s="15" t="inlineStr">
        <is>
          <t>Aug</t>
        </is>
      </c>
      <c r="J3" s="15" t="inlineStr">
        <is>
          <t>Sep</t>
        </is>
      </c>
      <c r="K3" s="15" t="inlineStr">
        <is>
          <t>Oct</t>
        </is>
      </c>
      <c r="L3" s="15" t="inlineStr">
        <is>
          <t>Nov</t>
        </is>
      </c>
      <c r="M3" s="15" t="inlineStr">
        <is>
          <t>Dec</t>
        </is>
      </c>
      <c r="N3" s="15" t="inlineStr">
        <is>
          <t>ANNUAL TOTAL</t>
        </is>
      </c>
      <c r="O3" s="15" t="inlineStr">
        <is>
          <t>ANNUAL BUDGET</t>
        </is>
      </c>
      <c r="P3" s="15" t="inlineStr">
        <is>
          <t>VARIANCE</t>
        </is>
      </c>
    </row>
    <row r="4" ht="16" customHeight="1">
      <c r="A4" s="47" t="inlineStr">
        <is>
          <t>TOTAL INCOME</t>
        </is>
      </c>
      <c r="B4" s="48">
        <f>'Jan'!C11</f>
        <v/>
      </c>
      <c r="C4" s="48">
        <f>'Feb'!C11</f>
        <v/>
      </c>
      <c r="D4" s="48">
        <f>'Mar'!C11</f>
        <v/>
      </c>
      <c r="E4" s="48">
        <f>'Apr'!C11</f>
        <v/>
      </c>
      <c r="F4" s="48">
        <f>'May'!C11</f>
        <v/>
      </c>
      <c r="G4" s="48">
        <f>'Jun'!C11</f>
        <v/>
      </c>
      <c r="H4" s="48">
        <f>'Jul'!C11</f>
        <v/>
      </c>
      <c r="I4" s="48">
        <f>'Aug'!C11</f>
        <v/>
      </c>
      <c r="J4" s="48">
        <f>'Sep'!C11</f>
        <v/>
      </c>
      <c r="K4" s="48">
        <f>'Oct'!C11</f>
        <v/>
      </c>
      <c r="L4" s="48">
        <f>'Nov'!C11</f>
        <v/>
      </c>
      <c r="M4" s="48">
        <f>'Dec'!C11</f>
        <v/>
      </c>
      <c r="N4" s="48">
        <f>SUM(B4:M4)</f>
        <v/>
      </c>
      <c r="O4" s="49" t="n">
        <v>0</v>
      </c>
      <c r="P4" s="48">
        <f>N4-O4</f>
        <v/>
      </c>
    </row>
    <row r="5" ht="16" customHeight="1">
      <c r="A5" s="50" t="inlineStr">
        <is>
          <t>HOUSING</t>
        </is>
      </c>
      <c r="B5" s="51">
        <f>'Jan'!C19</f>
        <v/>
      </c>
      <c r="C5" s="51">
        <f>'Feb'!C19</f>
        <v/>
      </c>
      <c r="D5" s="51">
        <f>'Mar'!C19</f>
        <v/>
      </c>
      <c r="E5" s="51">
        <f>'Apr'!C19</f>
        <v/>
      </c>
      <c r="F5" s="51">
        <f>'May'!C19</f>
        <v/>
      </c>
      <c r="G5" s="51">
        <f>'Jun'!C19</f>
        <v/>
      </c>
      <c r="H5" s="51">
        <f>'Jul'!C19</f>
        <v/>
      </c>
      <c r="I5" s="51">
        <f>'Aug'!C19</f>
        <v/>
      </c>
      <c r="J5" s="51">
        <f>'Sep'!C19</f>
        <v/>
      </c>
      <c r="K5" s="51">
        <f>'Oct'!C19</f>
        <v/>
      </c>
      <c r="L5" s="51">
        <f>'Nov'!C19</f>
        <v/>
      </c>
      <c r="M5" s="51">
        <f>'Dec'!C19</f>
        <v/>
      </c>
      <c r="N5" s="51">
        <f>SUM(B5:M5)</f>
        <v/>
      </c>
      <c r="O5" s="52" t="n">
        <v>0</v>
      </c>
      <c r="P5" s="51">
        <f>N5-O5</f>
        <v/>
      </c>
    </row>
    <row r="6" ht="16" customHeight="1">
      <c r="A6" s="53" t="inlineStr">
        <is>
          <t>TRANSPORT</t>
        </is>
      </c>
      <c r="B6" s="54">
        <f>'Jan'!C27</f>
        <v/>
      </c>
      <c r="C6" s="54">
        <f>'Feb'!C27</f>
        <v/>
      </c>
      <c r="D6" s="54">
        <f>'Mar'!C27</f>
        <v/>
      </c>
      <c r="E6" s="54">
        <f>'Apr'!C27</f>
        <v/>
      </c>
      <c r="F6" s="54">
        <f>'May'!C27</f>
        <v/>
      </c>
      <c r="G6" s="54">
        <f>'Jun'!C27</f>
        <v/>
      </c>
      <c r="H6" s="54">
        <f>'Jul'!C27</f>
        <v/>
      </c>
      <c r="I6" s="54">
        <f>'Aug'!C27</f>
        <v/>
      </c>
      <c r="J6" s="54">
        <f>'Sep'!C27</f>
        <v/>
      </c>
      <c r="K6" s="54">
        <f>'Oct'!C27</f>
        <v/>
      </c>
      <c r="L6" s="54">
        <f>'Nov'!C27</f>
        <v/>
      </c>
      <c r="M6" s="54">
        <f>'Dec'!C27</f>
        <v/>
      </c>
      <c r="N6" s="54">
        <f>SUM(B6:M6)</f>
        <v/>
      </c>
      <c r="O6" s="55" t="n">
        <v>0</v>
      </c>
      <c r="P6" s="54">
        <f>N6-O6</f>
        <v/>
      </c>
    </row>
    <row r="7" ht="16" customHeight="1">
      <c r="A7" s="50" t="inlineStr">
        <is>
          <t>FOOD &amp; DINING</t>
        </is>
      </c>
      <c r="B7" s="51">
        <f>'Jan'!C35</f>
        <v/>
      </c>
      <c r="C7" s="51">
        <f>'Feb'!C35</f>
        <v/>
      </c>
      <c r="D7" s="51">
        <f>'Mar'!C35</f>
        <v/>
      </c>
      <c r="E7" s="51">
        <f>'Apr'!C35</f>
        <v/>
      </c>
      <c r="F7" s="51">
        <f>'May'!C35</f>
        <v/>
      </c>
      <c r="G7" s="51">
        <f>'Jun'!C35</f>
        <v/>
      </c>
      <c r="H7" s="51">
        <f>'Jul'!C35</f>
        <v/>
      </c>
      <c r="I7" s="51">
        <f>'Aug'!C35</f>
        <v/>
      </c>
      <c r="J7" s="51">
        <f>'Sep'!C35</f>
        <v/>
      </c>
      <c r="K7" s="51">
        <f>'Oct'!C35</f>
        <v/>
      </c>
      <c r="L7" s="51">
        <f>'Nov'!C35</f>
        <v/>
      </c>
      <c r="M7" s="51">
        <f>'Dec'!C35</f>
        <v/>
      </c>
      <c r="N7" s="51">
        <f>SUM(B7:M7)</f>
        <v/>
      </c>
      <c r="O7" s="52" t="n">
        <v>0</v>
      </c>
      <c r="P7" s="51">
        <f>N7-O7</f>
        <v/>
      </c>
    </row>
    <row r="8" ht="16" customHeight="1">
      <c r="A8" s="53" t="inlineStr">
        <is>
          <t>HEALTH &amp; WELLNESS</t>
        </is>
      </c>
      <c r="B8" s="54">
        <f>'Jan'!C43</f>
        <v/>
      </c>
      <c r="C8" s="54">
        <f>'Feb'!C43</f>
        <v/>
      </c>
      <c r="D8" s="54">
        <f>'Mar'!C43</f>
        <v/>
      </c>
      <c r="E8" s="54">
        <f>'Apr'!C43</f>
        <v/>
      </c>
      <c r="F8" s="54">
        <f>'May'!C43</f>
        <v/>
      </c>
      <c r="G8" s="54">
        <f>'Jun'!C43</f>
        <v/>
      </c>
      <c r="H8" s="54">
        <f>'Jul'!C43</f>
        <v/>
      </c>
      <c r="I8" s="54">
        <f>'Aug'!C43</f>
        <v/>
      </c>
      <c r="J8" s="54">
        <f>'Sep'!C43</f>
        <v/>
      </c>
      <c r="K8" s="54">
        <f>'Oct'!C43</f>
        <v/>
      </c>
      <c r="L8" s="54">
        <f>'Nov'!C43</f>
        <v/>
      </c>
      <c r="M8" s="54">
        <f>'Dec'!C43</f>
        <v/>
      </c>
      <c r="N8" s="54">
        <f>SUM(B8:M8)</f>
        <v/>
      </c>
      <c r="O8" s="55" t="n">
        <v>0</v>
      </c>
      <c r="P8" s="54">
        <f>N8-O8</f>
        <v/>
      </c>
    </row>
    <row r="9" ht="16" customHeight="1">
      <c r="A9" s="50" t="inlineStr">
        <is>
          <t>LIFESTYLE</t>
        </is>
      </c>
      <c r="B9" s="51">
        <f>'Jan'!C51</f>
        <v/>
      </c>
      <c r="C9" s="51">
        <f>'Feb'!C51</f>
        <v/>
      </c>
      <c r="D9" s="51">
        <f>'Mar'!C51</f>
        <v/>
      </c>
      <c r="E9" s="51">
        <f>'Apr'!C51</f>
        <v/>
      </c>
      <c r="F9" s="51">
        <f>'May'!C51</f>
        <v/>
      </c>
      <c r="G9" s="51">
        <f>'Jun'!C51</f>
        <v/>
      </c>
      <c r="H9" s="51">
        <f>'Jul'!C51</f>
        <v/>
      </c>
      <c r="I9" s="51">
        <f>'Aug'!C51</f>
        <v/>
      </c>
      <c r="J9" s="51">
        <f>'Sep'!C51</f>
        <v/>
      </c>
      <c r="K9" s="51">
        <f>'Oct'!C51</f>
        <v/>
      </c>
      <c r="L9" s="51">
        <f>'Nov'!C51</f>
        <v/>
      </c>
      <c r="M9" s="51">
        <f>'Dec'!C51</f>
        <v/>
      </c>
      <c r="N9" s="51">
        <f>SUM(B9:M9)</f>
        <v/>
      </c>
      <c r="O9" s="52" t="n">
        <v>0</v>
      </c>
      <c r="P9" s="51">
        <f>N9-O9</f>
        <v/>
      </c>
    </row>
    <row r="10" ht="16" customHeight="1">
      <c r="A10" s="53" t="inlineStr">
        <is>
          <t>CHILDREN &amp; FAMILY</t>
        </is>
      </c>
      <c r="B10" s="54">
        <f>'Jan'!C59</f>
        <v/>
      </c>
      <c r="C10" s="54">
        <f>'Feb'!C59</f>
        <v/>
      </c>
      <c r="D10" s="54">
        <f>'Mar'!C59</f>
        <v/>
      </c>
      <c r="E10" s="54">
        <f>'Apr'!C59</f>
        <v/>
      </c>
      <c r="F10" s="54">
        <f>'May'!C59</f>
        <v/>
      </c>
      <c r="G10" s="54">
        <f>'Jun'!C59</f>
        <v/>
      </c>
      <c r="H10" s="54">
        <f>'Jul'!C59</f>
        <v/>
      </c>
      <c r="I10" s="54">
        <f>'Aug'!C59</f>
        <v/>
      </c>
      <c r="J10" s="54">
        <f>'Sep'!C59</f>
        <v/>
      </c>
      <c r="K10" s="54">
        <f>'Oct'!C59</f>
        <v/>
      </c>
      <c r="L10" s="54">
        <f>'Nov'!C59</f>
        <v/>
      </c>
      <c r="M10" s="54">
        <f>'Dec'!C59</f>
        <v/>
      </c>
      <c r="N10" s="54">
        <f>SUM(B10:M10)</f>
        <v/>
      </c>
      <c r="O10" s="55" t="n">
        <v>0</v>
      </c>
      <c r="P10" s="54">
        <f>N10-O10</f>
        <v/>
      </c>
    </row>
    <row r="11" ht="16" customHeight="1">
      <c r="A11" s="50" t="inlineStr">
        <is>
          <t>SAVINGS &amp; INVESTMENTS</t>
        </is>
      </c>
      <c r="B11" s="51">
        <f>'Jan'!C67</f>
        <v/>
      </c>
      <c r="C11" s="51">
        <f>'Feb'!C67</f>
        <v/>
      </c>
      <c r="D11" s="51">
        <f>'Mar'!C67</f>
        <v/>
      </c>
      <c r="E11" s="51">
        <f>'Apr'!C67</f>
        <v/>
      </c>
      <c r="F11" s="51">
        <f>'May'!C67</f>
        <v/>
      </c>
      <c r="G11" s="51">
        <f>'Jun'!C67</f>
        <v/>
      </c>
      <c r="H11" s="51">
        <f>'Jul'!C67</f>
        <v/>
      </c>
      <c r="I11" s="51">
        <f>'Aug'!C67</f>
        <v/>
      </c>
      <c r="J11" s="51">
        <f>'Sep'!C67</f>
        <v/>
      </c>
      <c r="K11" s="51">
        <f>'Oct'!C67</f>
        <v/>
      </c>
      <c r="L11" s="51">
        <f>'Nov'!C67</f>
        <v/>
      </c>
      <c r="M11" s="51">
        <f>'Dec'!C67</f>
        <v/>
      </c>
      <c r="N11" s="51">
        <f>SUM(B11:M11)</f>
        <v/>
      </c>
      <c r="O11" s="52" t="n">
        <v>0</v>
      </c>
      <c r="P11" s="51">
        <f>N11-O11</f>
        <v/>
      </c>
    </row>
    <row r="12" ht="16" customHeight="1">
      <c r="A12" s="53" t="inlineStr">
        <is>
          <t>DEBT PAYMENTS</t>
        </is>
      </c>
      <c r="B12" s="54">
        <f>'Jan'!C75</f>
        <v/>
      </c>
      <c r="C12" s="54">
        <f>'Feb'!C75</f>
        <v/>
      </c>
      <c r="D12" s="54">
        <f>'Mar'!C75</f>
        <v/>
      </c>
      <c r="E12" s="54">
        <f>'Apr'!C75</f>
        <v/>
      </c>
      <c r="F12" s="54">
        <f>'May'!C75</f>
        <v/>
      </c>
      <c r="G12" s="54">
        <f>'Jun'!C75</f>
        <v/>
      </c>
      <c r="H12" s="54">
        <f>'Jul'!C75</f>
        <v/>
      </c>
      <c r="I12" s="54">
        <f>'Aug'!C75</f>
        <v/>
      </c>
      <c r="J12" s="54">
        <f>'Sep'!C75</f>
        <v/>
      </c>
      <c r="K12" s="54">
        <f>'Oct'!C75</f>
        <v/>
      </c>
      <c r="L12" s="54">
        <f>'Nov'!C75</f>
        <v/>
      </c>
      <c r="M12" s="54">
        <f>'Dec'!C75</f>
        <v/>
      </c>
      <c r="N12" s="54">
        <f>SUM(B12:M12)</f>
        <v/>
      </c>
      <c r="O12" s="55" t="n">
        <v>0</v>
      </c>
      <c r="P12" s="54">
        <f>N12-O12</f>
        <v/>
      </c>
    </row>
    <row r="13" ht="16" customHeight="1">
      <c r="A13" s="56" t="inlineStr">
        <is>
          <t>GRAND TOTAL EXPENSES</t>
        </is>
      </c>
      <c r="B13" s="41">
        <f>'Jan'!C76</f>
        <v/>
      </c>
      <c r="C13" s="41">
        <f>'Feb'!C76</f>
        <v/>
      </c>
      <c r="D13" s="41">
        <f>'Mar'!C76</f>
        <v/>
      </c>
      <c r="E13" s="41">
        <f>'Apr'!C76</f>
        <v/>
      </c>
      <c r="F13" s="41">
        <f>'May'!C76</f>
        <v/>
      </c>
      <c r="G13" s="41">
        <f>'Jun'!C76</f>
        <v/>
      </c>
      <c r="H13" s="41">
        <f>'Jul'!C76</f>
        <v/>
      </c>
      <c r="I13" s="41">
        <f>'Aug'!C76</f>
        <v/>
      </c>
      <c r="J13" s="41">
        <f>'Sep'!C76</f>
        <v/>
      </c>
      <c r="K13" s="41">
        <f>'Oct'!C76</f>
        <v/>
      </c>
      <c r="L13" s="41">
        <f>'Nov'!C76</f>
        <v/>
      </c>
      <c r="M13" s="41">
        <f>'Dec'!C76</f>
        <v/>
      </c>
      <c r="N13" s="41">
        <f>SUM(B13:M13)</f>
        <v/>
      </c>
      <c r="O13" s="57" t="n">
        <v>0</v>
      </c>
      <c r="P13" s="41">
        <f>N13-O13</f>
        <v/>
      </c>
    </row>
    <row r="14" ht="16" customHeight="1">
      <c r="A14" s="16" t="inlineStr">
        <is>
          <t>NET CASH FLOW</t>
        </is>
      </c>
      <c r="B14" s="45">
        <f>'Jan'!D77</f>
        <v/>
      </c>
      <c r="C14" s="45">
        <f>'Feb'!D77</f>
        <v/>
      </c>
      <c r="D14" s="45">
        <f>'Mar'!D77</f>
        <v/>
      </c>
      <c r="E14" s="45">
        <f>'Apr'!D77</f>
        <v/>
      </c>
      <c r="F14" s="45">
        <f>'May'!D77</f>
        <v/>
      </c>
      <c r="G14" s="45">
        <f>'Jun'!D77</f>
        <v/>
      </c>
      <c r="H14" s="45">
        <f>'Jul'!D77</f>
        <v/>
      </c>
      <c r="I14" s="45">
        <f>'Aug'!D77</f>
        <v/>
      </c>
      <c r="J14" s="45">
        <f>'Sep'!D77</f>
        <v/>
      </c>
      <c r="K14" s="45">
        <f>'Oct'!D77</f>
        <v/>
      </c>
      <c r="L14" s="45">
        <f>'Nov'!D77</f>
        <v/>
      </c>
      <c r="M14" s="45">
        <f>'Dec'!D77</f>
        <v/>
      </c>
      <c r="N14" s="45">
        <f>SUM(B14:M14)</f>
        <v/>
      </c>
      <c r="O14" s="58" t="n">
        <v>0</v>
      </c>
      <c r="P14" s="45">
        <f>N14-O14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  <col width="12" customWidth="1" min="8" max="8"/>
  </cols>
  <sheetData>
    <row r="1" ht="30" customHeight="1">
      <c r="A1" s="14" t="inlineStr">
        <is>
          <t>SAVINGS TRACKER · 2026</t>
        </is>
      </c>
    </row>
    <row r="2" ht="20" customHeight="1">
      <c r="A2" s="2" t="inlineStr">
        <is>
          <t>Monitor progress toward your financial goals</t>
        </is>
      </c>
    </row>
    <row r="3" ht="20" customHeight="1">
      <c r="A3" s="15" t="inlineStr">
        <is>
          <t>SAVINGS GOAL</t>
        </is>
      </c>
      <c r="B3" s="15" t="inlineStr">
        <is>
          <t>TARGET</t>
        </is>
      </c>
      <c r="C3" s="15" t="inlineStr">
        <is>
          <t>SAVED SO FAR</t>
        </is>
      </c>
      <c r="D3" s="15" t="inlineStr">
        <is>
          <t>MONTHLY CONTRIB</t>
        </is>
      </c>
      <c r="E3" s="15" t="inlineStr">
        <is>
          <t>TARGET DATE</t>
        </is>
      </c>
      <c r="F3" s="15" t="inlineStr">
        <is>
          <t>% COMPLETE</t>
        </is>
      </c>
      <c r="G3" s="15" t="inlineStr">
        <is>
          <t>PROGRESS</t>
        </is>
      </c>
      <c r="H3" s="15" t="inlineStr">
        <is>
          <t>PRIORITY</t>
        </is>
      </c>
    </row>
    <row r="4" ht="18" customHeight="1">
      <c r="A4" s="59" t="inlineStr">
        <is>
          <t>Emergency Fund</t>
        </is>
      </c>
      <c r="B4" s="52" t="n">
        <v>50000</v>
      </c>
      <c r="C4" s="52" t="n">
        <v>0</v>
      </c>
      <c r="D4" s="52" t="n">
        <v>0</v>
      </c>
      <c r="E4" s="60" t="inlineStr">
        <is>
          <t>2027-12-31</t>
        </is>
      </c>
      <c r="F4" s="61">
        <f>IF(B4=0,0,C4/B4)</f>
        <v/>
      </c>
      <c r="G4" s="62">
        <f>REPT(CHAR(9608),ROUND(MIN(F4,1)*20,0))&amp;REPT(CHAR(9617),20-ROUND(MIN(F4,1)*20,0))</f>
        <v/>
      </c>
      <c r="H4" s="63" t="inlineStr">
        <is>
          <t>High</t>
        </is>
      </c>
    </row>
    <row r="5" ht="18" customHeight="1">
      <c r="A5" s="64" t="inlineStr">
        <is>
          <t>Vacation-Japan</t>
        </is>
      </c>
      <c r="B5" s="65" t="n">
        <v>25000</v>
      </c>
      <c r="C5" s="65" t="n">
        <v>0</v>
      </c>
      <c r="D5" s="65" t="n">
        <v>0</v>
      </c>
      <c r="E5" s="66" t="inlineStr">
        <is>
          <t>2027-12-31</t>
        </is>
      </c>
      <c r="F5" s="67">
        <f>IF(B5=0,0,C5/B5)</f>
        <v/>
      </c>
      <c r="G5" s="68">
        <f>REPT(CHAR(9608),ROUND(MIN(F5,1)*20,0))&amp;REPT(CHAR(9617),20-ROUND(MIN(F5,1)*20,0))</f>
        <v/>
      </c>
      <c r="H5" s="69" t="inlineStr">
        <is>
          <t>High</t>
        </is>
      </c>
    </row>
    <row r="6" ht="18" customHeight="1">
      <c r="A6" s="59" t="inlineStr">
        <is>
          <t>Home Down Payment</t>
        </is>
      </c>
      <c r="B6" s="52" t="n">
        <v>250000</v>
      </c>
      <c r="C6" s="52" t="n">
        <v>0</v>
      </c>
      <c r="D6" s="52" t="n">
        <v>0</v>
      </c>
      <c r="E6" s="60" t="inlineStr">
        <is>
          <t>2027-12-31</t>
        </is>
      </c>
      <c r="F6" s="61">
        <f>IF(B6=0,0,C6/B6)</f>
        <v/>
      </c>
      <c r="G6" s="62">
        <f>REPT(CHAR(9608),ROUND(MIN(F6,1)*20,0))&amp;REPT(CHAR(9617),20-ROUND(MIN(F6,1)*20,0))</f>
        <v/>
      </c>
      <c r="H6" s="63" t="inlineStr">
        <is>
          <t>High</t>
        </is>
      </c>
    </row>
    <row r="7" ht="18" customHeight="1">
      <c r="A7" s="64" t="inlineStr">
        <is>
          <t>New Car</t>
        </is>
      </c>
      <c r="B7" s="65" t="n">
        <v>80000</v>
      </c>
      <c r="C7" s="65" t="n">
        <v>0</v>
      </c>
      <c r="D7" s="65" t="n">
        <v>0</v>
      </c>
      <c r="E7" s="66" t="inlineStr">
        <is>
          <t>2027-12-31</t>
        </is>
      </c>
      <c r="F7" s="67">
        <f>IF(B7=0,0,C7/B7)</f>
        <v/>
      </c>
      <c r="G7" s="68">
        <f>REPT(CHAR(9608),ROUND(MIN(F7,1)*20,0))&amp;REPT(CHAR(9617),20-ROUND(MIN(F7,1)*20,0))</f>
        <v/>
      </c>
      <c r="H7" s="69" t="inlineStr">
        <is>
          <t>High</t>
        </is>
      </c>
    </row>
    <row r="8" ht="18" customHeight="1">
      <c r="A8" s="59" t="inlineStr">
        <is>
          <t>Retirement Boost</t>
        </is>
      </c>
      <c r="B8" s="52" t="n">
        <v>100000</v>
      </c>
      <c r="C8" s="52" t="n">
        <v>0</v>
      </c>
      <c r="D8" s="52" t="n">
        <v>0</v>
      </c>
      <c r="E8" s="60" t="inlineStr">
        <is>
          <t>2027-12-31</t>
        </is>
      </c>
      <c r="F8" s="61">
        <f>IF(B8=0,0,C8/B8)</f>
        <v/>
      </c>
      <c r="G8" s="62">
        <f>REPT(CHAR(9608),ROUND(MIN(F8,1)*20,0))&amp;REPT(CHAR(9617),20-ROUND(MIN(F8,1)*20,0))</f>
        <v/>
      </c>
      <c r="H8" s="63" t="inlineStr">
        <is>
          <t>High</t>
        </is>
      </c>
    </row>
    <row r="9" ht="18" customHeight="1">
      <c r="A9" s="64" t="inlineStr">
        <is>
          <t>Education Fund</t>
        </is>
      </c>
      <c r="B9" s="65" t="n">
        <v>40000</v>
      </c>
      <c r="C9" s="65" t="n">
        <v>0</v>
      </c>
      <c r="D9" s="65" t="n">
        <v>0</v>
      </c>
      <c r="E9" s="66" t="inlineStr">
        <is>
          <t>2027-12-31</t>
        </is>
      </c>
      <c r="F9" s="67">
        <f>IF(B9=0,0,C9/B9)</f>
        <v/>
      </c>
      <c r="G9" s="68">
        <f>REPT(CHAR(9608),ROUND(MIN(F9,1)*20,0))&amp;REPT(CHAR(9617),20-ROUND(MIN(F9,1)*20,0))</f>
        <v/>
      </c>
      <c r="H9" s="69" t="inlineStr">
        <is>
          <t>High</t>
        </is>
      </c>
    </row>
    <row r="10" ht="18" customHeight="1">
      <c r="A10" s="59" t="inlineStr">
        <is>
          <t>Wedding Fund</t>
        </is>
      </c>
      <c r="B10" s="52" t="n">
        <v>60000</v>
      </c>
      <c r="C10" s="52" t="n">
        <v>0</v>
      </c>
      <c r="D10" s="52" t="n">
        <v>0</v>
      </c>
      <c r="E10" s="60" t="inlineStr">
        <is>
          <t>2027-12-31</t>
        </is>
      </c>
      <c r="F10" s="61">
        <f>IF(B10=0,0,C10/B10)</f>
        <v/>
      </c>
      <c r="G10" s="62">
        <f>REPT(CHAR(9608),ROUND(MIN(F10,1)*20,0))&amp;REPT(CHAR(9617),20-ROUND(MIN(F10,1)*20,0))</f>
        <v/>
      </c>
      <c r="H10" s="63" t="inlineStr">
        <is>
          <t>High</t>
        </is>
      </c>
    </row>
    <row r="11" ht="18" customHeight="1">
      <c r="A11" s="64" t="inlineStr">
        <is>
          <t>Home Renovation</t>
        </is>
      </c>
      <c r="B11" s="65" t="n">
        <v>35000</v>
      </c>
      <c r="C11" s="65" t="n">
        <v>0</v>
      </c>
      <c r="D11" s="65" t="n">
        <v>0</v>
      </c>
      <c r="E11" s="66" t="inlineStr">
        <is>
          <t>2027-12-31</t>
        </is>
      </c>
      <c r="F11" s="67">
        <f>IF(B11=0,0,C11/B11)</f>
        <v/>
      </c>
      <c r="G11" s="68">
        <f>REPT(CHAR(9608),ROUND(MIN(F11,1)*20,0))&amp;REPT(CHAR(9617),20-ROUND(MIN(F11,1)*20,0))</f>
        <v/>
      </c>
      <c r="H11" s="69" t="inlineStr">
        <is>
          <t>High</t>
        </is>
      </c>
    </row>
    <row r="12" ht="20" customHeight="1">
      <c r="A12" s="15" t="inlineStr">
        <is>
          <t>TOTAL</t>
        </is>
      </c>
      <c r="B12" s="41">
        <f>SUM(B4:B11)</f>
        <v/>
      </c>
      <c r="C12" s="41">
        <f>SUM(C4:C11)</f>
        <v/>
      </c>
      <c r="D12" s="41">
        <f>SUM(D4:D11)</f>
        <v/>
      </c>
      <c r="E12" s="43" t="inlineStr"/>
      <c r="F12" s="43" t="inlineStr"/>
      <c r="G12" s="43" t="inlineStr"/>
      <c r="H12" s="43" t="inlineStr"/>
    </row>
  </sheetData>
  <mergeCells count="3">
    <mergeCell ref="A2:H2"/>
    <mergeCell ref="A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2026-06-22T21:38:52Z</dcterms:created>
  <dcterms:modified xsi:type="dcterms:W3CDTF">2026-06-22T21:38:53Z</dcterms:modified>
</cp:coreProperties>
</file>