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Jan" sheetId="2" state="visible" r:id="rId2"/>
    <sheet name="Feb" sheetId="3" state="visible" r:id="rId3"/>
    <sheet name="Mar" sheetId="4" state="visible" r:id="rId4"/>
    <sheet name="Apr" sheetId="5" state="visible" r:id="rId5"/>
    <sheet name="May" sheetId="6" state="visible" r:id="rId6"/>
    <sheet name="Jun" sheetId="7" state="visible" r:id="rId7"/>
    <sheet name="Jul" sheetId="8" state="visible" r:id="rId8"/>
    <sheet name="Aug" sheetId="9" state="visible" r:id="rId9"/>
    <sheet name="Sep" sheetId="10" state="visible" r:id="rId10"/>
    <sheet name="Oct" sheetId="11" state="visible" r:id="rId11"/>
    <sheet name="Nov" sheetId="12" state="visible" r:id="rId12"/>
    <sheet name="Dec" sheetId="13" state="visible" r:id="rId13"/>
    <sheet name="Debt Tracker" sheetId="14" state="visible" r:id="rId14"/>
    <sheet name="Bill Calendar" sheetId="15" state="visible" r:id="rId15"/>
    <sheet name="Savings Goals" sheetId="16" state="visible" r:id="rId16"/>
    <sheet name="Spending Tracker" sheetId="17" state="visible" r:id="rId17"/>
    <sheet name="Annual Overview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;&quot;-&quot;"/>
    <numFmt numFmtId="165" formatCode="0.0%"/>
    <numFmt numFmtId="166" formatCode="MM/DD/YYYY"/>
    <numFmt numFmtId="167" formatCode="0 &quot;days&quot;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2A2A2A"/>
      <sz val="9"/>
    </font>
    <font>
      <name val="Calibri"/>
      <color rgb="001A4FA0"/>
      <sz val="9"/>
    </font>
    <font>
      <name val="Calibri"/>
      <b val="1"/>
      <color rgb="002A2A2A"/>
      <sz val="9"/>
    </font>
    <font>
      <name val="Calibri"/>
      <color rgb="00FFFFFF"/>
      <sz val="9"/>
    </font>
    <font>
      <name val="Calibri"/>
      <b val="1"/>
      <color rgb="00FFFFFF"/>
      <sz val="16"/>
    </font>
    <font>
      <name val="Calibri"/>
      <color rgb="001E8449"/>
      <sz val="9"/>
    </font>
    <font>
      <name val="Calibri"/>
      <b val="1"/>
      <color rgb="00FFFFFF"/>
      <sz val="11"/>
    </font>
    <font>
      <name val="Calibri"/>
      <color rgb="00B05E3A"/>
      <sz val="9"/>
    </font>
    <font>
      <name val="Calibri"/>
      <color rgb="003D5C3A"/>
      <sz val="9"/>
    </font>
    <font>
      <name val="Calibri"/>
      <color rgb="002A2A2A"/>
      <sz val="8"/>
    </font>
    <font>
      <name val="Calibri"/>
      <b val="1"/>
      <color rgb="001E8449"/>
      <sz val="9"/>
    </font>
  </fonts>
  <fills count="11">
    <fill>
      <patternFill/>
    </fill>
    <fill>
      <patternFill patternType="gray125"/>
    </fill>
    <fill>
      <patternFill patternType="solid">
        <fgColor rgb="003D5C3A"/>
      </patternFill>
    </fill>
    <fill>
      <patternFill patternType="solid">
        <fgColor rgb="00BFA06A"/>
      </patternFill>
    </fill>
    <fill>
      <patternFill patternType="solid">
        <fgColor rgb="00B05E3A"/>
      </patternFill>
    </fill>
    <fill>
      <patternFill patternType="solid">
        <fgColor rgb="00FAF7F2"/>
      </patternFill>
    </fill>
    <fill>
      <patternFill patternType="solid">
        <fgColor rgb="00EDD5C5"/>
      </patternFill>
    </fill>
    <fill>
      <patternFill patternType="solid">
        <fgColor rgb="00C8DDB8"/>
      </patternFill>
    </fill>
    <fill>
      <patternFill patternType="solid">
        <fgColor rgb="005C8A52"/>
      </patternFill>
    </fill>
    <fill>
      <patternFill patternType="solid">
        <fgColor rgb="00EEF4E8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  <border>
      <left style="thin">
        <color rgb="00DCDCDC"/>
      </left>
      <right style="thin">
        <color rgb="00DCDCDC"/>
      </right>
      <top style="thin">
        <color rgb="00DCDCDC"/>
      </top>
      <bottom style="medium">
        <color rgb="005C8A52"/>
      </bottom>
    </border>
    <border>
      <left style="thin">
        <color rgb="00DCDCDC"/>
      </left>
      <right style="thin">
        <color rgb="00DCDCDC"/>
      </right>
      <top style="thin">
        <color rgb="00DCDCDC"/>
      </top>
      <bottom style="medium">
        <color rgb="00BFA06A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9" fillId="2" borderId="3" applyAlignment="1" pivotButton="0" quotePrefix="0" xfId="0">
      <alignment horizontal="center" vertical="center"/>
    </xf>
    <xf numFmtId="164" fontId="9" fillId="4" borderId="3" applyAlignment="1" pivotButton="0" quotePrefix="0" xfId="0">
      <alignment horizontal="center" vertical="center"/>
    </xf>
    <xf numFmtId="165" fontId="9" fillId="4" borderId="3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0" fillId="5" borderId="1" pivotButton="0" quotePrefix="0" xfId="0"/>
    <xf numFmtId="164" fontId="6" fillId="5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/>
    </xf>
    <xf numFmtId="0" fontId="0" fillId="9" borderId="1" pivotButton="0" quotePrefix="0" xfId="0"/>
    <xf numFmtId="164" fontId="5" fillId="9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0" fontId="0" fillId="6" borderId="1" pivotButton="0" quotePrefix="0" xfId="0"/>
    <xf numFmtId="164" fontId="6" fillId="6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4" fontId="10" fillId="9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166" fontId="6" fillId="5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6" fontId="6" fillId="6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165" fontId="10" fillId="9" borderId="1" applyAlignment="1" pivotButton="0" quotePrefix="0" xfId="0">
      <alignment horizontal="right" vertical="center"/>
    </xf>
    <xf numFmtId="164" fontId="0" fillId="0" borderId="0" pivotButton="0" quotePrefix="0" xfId="0"/>
    <xf numFmtId="164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7" fillId="7" borderId="2" applyAlignment="1" pivotButton="0" quotePrefix="0" xfId="0">
      <alignment horizontal="left" vertical="center" wrapText="1"/>
    </xf>
    <xf numFmtId="164" fontId="7" fillId="7" borderId="2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164" fontId="6" fillId="9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164" fontId="8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 wrapText="1"/>
    </xf>
    <xf numFmtId="49" fontId="6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49" fontId="6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49" fontId="10" fillId="9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0" fontId="13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49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right" vertical="center"/>
    </xf>
    <xf numFmtId="0" fontId="0" fillId="7" borderId="1" pivotButton="0" quotePrefix="0" xfId="0"/>
    <xf numFmtId="165" fontId="7" fillId="7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167" fontId="15" fillId="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4" fontId="15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64" fontId="7" fillId="9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4" fontId="15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164" fontId="15" fillId="2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  <xf numFmtId="49" fontId="1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Expense Distribution — January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'Dashboard'!$R$38:$R$45</f>
            </numRef>
          </cat>
          <val>
            <numRef>
              <f>'Dashboard'!$S$38:$S$45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Savings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'Dashboard'!S50</f>
            </strRef>
          </tx>
          <spPr>
            <a:solidFill>
              <a:srgbClr val="3D5C3A"/>
            </a:solidFill>
            <a:ln>
              <a:prstDash val="solid"/>
            </a:ln>
          </spPr>
          <cat>
            <numRef>
              <f>'Dashboard'!$R$51:$R$62</f>
            </numRef>
          </cat>
          <val>
            <numRef>
              <f>'Dashboard'!$S$51:$S$62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Annual Income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'Dashboard'!V50</f>
            </strRef>
          </tx>
          <spPr>
            <a:solidFill>
              <a:srgbClr val="3D5C3A"/>
            </a:solidFill>
            <a:ln>
              <a:prstDash val="solid"/>
            </a:ln>
          </spPr>
          <cat>
            <numRef>
              <f>'Dashboard'!$U$51:$U$62</f>
            </numRef>
          </cat>
          <val>
            <numRef>
              <f>'Dashboard'!$V$51:$V$62</f>
            </numRef>
          </val>
        </ser>
        <ser>
          <idx val="1"/>
          <order val="1"/>
          <tx>
            <strRef>
              <f>'Dashboard'!W50</f>
            </strRef>
          </tx>
          <spPr>
            <a:solidFill>
              <a:srgbClr val="B05E3A"/>
            </a:solidFill>
            <a:ln>
              <a:prstDash val="solid"/>
            </a:ln>
          </spPr>
          <cat>
            <numRef>
              <f>'Dashboard'!$U$51:$U$62</f>
            </numRef>
          </cat>
          <val>
            <numRef>
              <f>'Dashboard'!$W$51:$W$62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January · Budget vs Actual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'Jan'!B67</f>
            </strRef>
          </tx>
          <spPr>
            <a:solidFill>
              <a:srgbClr val="3D5C3A"/>
            </a:solidFill>
            <a:ln>
              <a:prstDash val="solid"/>
            </a:ln>
          </spPr>
          <cat>
            <numRef>
              <f>'Jan'!$A$68:$A$75</f>
            </numRef>
          </cat>
          <val>
            <numRef>
              <f>'Jan'!$B$68:$B$75</f>
            </numRef>
          </val>
        </ser>
        <ser>
          <idx val="1"/>
          <order val="1"/>
          <tx>
            <strRef>
              <f>'Jan'!C67</f>
            </strRef>
          </tx>
          <spPr>
            <a:solidFill>
              <a:srgbClr val="B05E3A"/>
            </a:solidFill>
            <a:ln>
              <a:prstDash val="solid"/>
            </a:ln>
          </spPr>
          <cat>
            <numRef>
              <f>'Jan'!$A$68:$A$75</f>
            </numRef>
          </cat>
          <val>
            <numRef>
              <f>'Jan'!$C$68:$C$75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February · Budget vs Actual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'Feb'!B67</f>
            </strRef>
          </tx>
          <spPr>
            <a:solidFill>
              <a:srgbClr val="3D5C3A"/>
            </a:solidFill>
            <a:ln>
              <a:prstDash val="solid"/>
            </a:ln>
          </spPr>
          <cat>
            <numRef>
              <f>'Feb'!$A$68:$A$75</f>
            </numRef>
          </cat>
          <val>
            <numRef>
              <f>'Feb'!$B$68:$B$75</f>
            </numRef>
          </val>
        </ser>
        <ser>
          <idx val="1"/>
          <order val="1"/>
          <tx>
            <strRef>
              <f>'Feb'!C67</f>
            </strRef>
          </tx>
          <spPr>
            <a:solidFill>
              <a:srgbClr val="B05E3A"/>
            </a:solidFill>
            <a:ln>
              <a:prstDash val="solid"/>
            </a:ln>
          </spPr>
          <cat>
            <numRef>
              <f>'Feb'!$A$68:$A$75</f>
            </numRef>
          </cat>
          <val>
            <numRef>
              <f>'Feb'!$C$68:$C$75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March · Budget vs Actual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'Mar'!B67</f>
            </strRef>
          </tx>
          <spPr>
            <a:solidFill>
              <a:srgbClr val="3D5C3A"/>
            </a:solidFill>
            <a:ln>
              <a:prstDash val="solid"/>
            </a:ln>
          </spPr>
          <cat>
            <numRef>
              <f>'Mar'!$A$68:$A$75</f>
            </numRef>
          </cat>
          <val>
            <numRef>
              <f>'Mar'!$B$68:$B$75</f>
            </numRef>
          </val>
        </ser>
        <ser>
          <idx val="1"/>
          <order val="1"/>
          <tx>
            <strRef>
              <f>'Mar'!C67</f>
            </strRef>
          </tx>
          <spPr>
            <a:solidFill>
              <a:srgbClr val="B05E3A"/>
            </a:solidFill>
            <a:ln>
              <a:prstDash val="solid"/>
            </a:ln>
          </spPr>
          <cat>
            <numRef>
              <f>'Mar'!$A$68:$A$75</f>
            </numRef>
          </cat>
          <val>
            <numRef>
              <f>'Mar'!$C$68:$C$75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April · Budget vs Actual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'Apr'!B67</f>
            </strRef>
          </tx>
          <spPr>
            <a:solidFill>
              <a:srgbClr val="3D5C3A"/>
            </a:solidFill>
            <a:ln>
              <a:prstDash val="solid"/>
            </a:ln>
          </spPr>
          <cat>
            <numRef>
              <f>'Apr'!$A$68:$A$75</f>
            </numRef>
          </cat>
          <val>
            <numRef>
              <f>'Apr'!$B$68:$B$75</f>
            </numRef>
          </val>
        </ser>
        <ser>
          <idx val="1"/>
          <order val="1"/>
          <tx>
            <strRef>
              <f>'Apr'!C67</f>
            </strRef>
          </tx>
          <spPr>
            <a:solidFill>
              <a:srgbClr val="B05E3A"/>
            </a:solidFill>
            <a:ln>
              <a:prstDash val="solid"/>
            </a:ln>
          </spPr>
          <cat>
            <numRef>
              <f>'Apr'!$A$68:$A$75</f>
            </numRef>
          </cat>
          <val>
            <numRef>
              <f>'Apr'!$C$68:$C$75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May · Budget vs Actual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'May'!B67</f>
            </strRef>
          </tx>
          <spPr>
            <a:solidFill>
              <a:srgbClr val="3D5C3A"/>
            </a:solidFill>
            <a:ln>
              <a:prstDash val="solid"/>
            </a:ln>
          </spPr>
          <cat>
            <numRef>
              <f>'May'!$A$68:$A$75</f>
            </numRef>
          </cat>
          <val>
            <numRef>
              <f>'May'!$B$68:$B$75</f>
            </numRef>
          </val>
        </ser>
        <ser>
          <idx val="1"/>
          <order val="1"/>
          <tx>
            <strRef>
              <f>'May'!C67</f>
            </strRef>
          </tx>
          <spPr>
            <a:solidFill>
              <a:srgbClr val="B05E3A"/>
            </a:solidFill>
            <a:ln>
              <a:prstDash val="solid"/>
            </a:ln>
          </spPr>
          <cat>
            <numRef>
              <f>'May'!$A$68:$A$75</f>
            </numRef>
          </cat>
          <val>
            <numRef>
              <f>'May'!$C$68:$C$75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June · Budget vs Actual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'Jun'!B67</f>
            </strRef>
          </tx>
          <spPr>
            <a:solidFill>
              <a:srgbClr val="3D5C3A"/>
            </a:solidFill>
            <a:ln>
              <a:prstDash val="solid"/>
            </a:ln>
          </spPr>
          <cat>
            <numRef>
              <f>'Jun'!$A$68:$A$75</f>
            </numRef>
          </cat>
          <val>
            <numRef>
              <f>'Jun'!$B$68:$B$75</f>
            </numRef>
          </val>
        </ser>
        <ser>
          <idx val="1"/>
          <order val="1"/>
          <tx>
            <strRef>
              <f>'Jun'!C67</f>
            </strRef>
          </tx>
          <spPr>
            <a:solidFill>
              <a:srgbClr val="B05E3A"/>
            </a:solidFill>
            <a:ln>
              <a:prstDash val="solid"/>
            </a:ln>
          </spPr>
          <cat>
            <numRef>
              <f>'Jun'!$A$68:$A$75</f>
            </numRef>
          </cat>
          <val>
            <numRef>
              <f>'Jun'!$C$68:$C$75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July · Budget vs Actual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'Jul'!B67</f>
            </strRef>
          </tx>
          <spPr>
            <a:solidFill>
              <a:srgbClr val="3D5C3A"/>
            </a:solidFill>
            <a:ln>
              <a:prstDash val="solid"/>
            </a:ln>
          </spPr>
          <cat>
            <numRef>
              <f>'Jul'!$A$68:$A$75</f>
            </numRef>
          </cat>
          <val>
            <numRef>
              <f>'Jul'!$B$68:$B$75</f>
            </numRef>
          </val>
        </ser>
        <ser>
          <idx val="1"/>
          <order val="1"/>
          <tx>
            <strRef>
              <f>'Jul'!C67</f>
            </strRef>
          </tx>
          <spPr>
            <a:solidFill>
              <a:srgbClr val="B05E3A"/>
            </a:solidFill>
            <a:ln>
              <a:prstDash val="solid"/>
            </a:ln>
          </spPr>
          <cat>
            <numRef>
              <f>'Jul'!$A$68:$A$75</f>
            </numRef>
          </cat>
          <val>
            <numRef>
              <f>'Jul'!$C$68:$C$75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August · Budget vs Actual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'Aug'!B67</f>
            </strRef>
          </tx>
          <spPr>
            <a:solidFill>
              <a:srgbClr val="3D5C3A"/>
            </a:solidFill>
            <a:ln>
              <a:prstDash val="solid"/>
            </a:ln>
          </spPr>
          <cat>
            <numRef>
              <f>'Aug'!$A$68:$A$75</f>
            </numRef>
          </cat>
          <val>
            <numRef>
              <f>'Aug'!$B$68:$B$75</f>
            </numRef>
          </val>
        </ser>
        <ser>
          <idx val="1"/>
          <order val="1"/>
          <tx>
            <strRef>
              <f>'Aug'!C67</f>
            </strRef>
          </tx>
          <spPr>
            <a:solidFill>
              <a:srgbClr val="B05E3A"/>
            </a:solidFill>
            <a:ln>
              <a:prstDash val="solid"/>
            </a:ln>
          </spPr>
          <cat>
            <numRef>
              <f>'Aug'!$A$68:$A$75</f>
            </numRef>
          </cat>
          <val>
            <numRef>
              <f>'Aug'!$C$68:$C$75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September · Budget vs Actual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'Sep'!B67</f>
            </strRef>
          </tx>
          <spPr>
            <a:solidFill>
              <a:srgbClr val="3D5C3A"/>
            </a:solidFill>
            <a:ln>
              <a:prstDash val="solid"/>
            </a:ln>
          </spPr>
          <cat>
            <numRef>
              <f>'Sep'!$A$68:$A$75</f>
            </numRef>
          </cat>
          <val>
            <numRef>
              <f>'Sep'!$B$68:$B$75</f>
            </numRef>
          </val>
        </ser>
        <ser>
          <idx val="1"/>
          <order val="1"/>
          <tx>
            <strRef>
              <f>'Sep'!C67</f>
            </strRef>
          </tx>
          <spPr>
            <a:solidFill>
              <a:srgbClr val="B05E3A"/>
            </a:solidFill>
            <a:ln>
              <a:prstDash val="solid"/>
            </a:ln>
          </spPr>
          <cat>
            <numRef>
              <f>'Sep'!$A$68:$A$75</f>
            </numRef>
          </cat>
          <val>
            <numRef>
              <f>'Sep'!$C$68:$C$75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October · Budget vs Actual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'Oct'!B67</f>
            </strRef>
          </tx>
          <spPr>
            <a:solidFill>
              <a:srgbClr val="3D5C3A"/>
            </a:solidFill>
            <a:ln>
              <a:prstDash val="solid"/>
            </a:ln>
          </spPr>
          <cat>
            <numRef>
              <f>'Oct'!$A$68:$A$75</f>
            </numRef>
          </cat>
          <val>
            <numRef>
              <f>'Oct'!$B$68:$B$75</f>
            </numRef>
          </val>
        </ser>
        <ser>
          <idx val="1"/>
          <order val="1"/>
          <tx>
            <strRef>
              <f>'Oct'!C67</f>
            </strRef>
          </tx>
          <spPr>
            <a:solidFill>
              <a:srgbClr val="B05E3A"/>
            </a:solidFill>
            <a:ln>
              <a:prstDash val="solid"/>
            </a:ln>
          </spPr>
          <cat>
            <numRef>
              <f>'Oct'!$A$68:$A$75</f>
            </numRef>
          </cat>
          <val>
            <numRef>
              <f>'Oct'!$C$68:$C$75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November · Budget vs Actual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'Nov'!B67</f>
            </strRef>
          </tx>
          <spPr>
            <a:solidFill>
              <a:srgbClr val="3D5C3A"/>
            </a:solidFill>
            <a:ln>
              <a:prstDash val="solid"/>
            </a:ln>
          </spPr>
          <cat>
            <numRef>
              <f>'Nov'!$A$68:$A$75</f>
            </numRef>
          </cat>
          <val>
            <numRef>
              <f>'Nov'!$B$68:$B$75</f>
            </numRef>
          </val>
        </ser>
        <ser>
          <idx val="1"/>
          <order val="1"/>
          <tx>
            <strRef>
              <f>'Nov'!C67</f>
            </strRef>
          </tx>
          <spPr>
            <a:solidFill>
              <a:srgbClr val="B05E3A"/>
            </a:solidFill>
            <a:ln>
              <a:prstDash val="solid"/>
            </a:ln>
          </spPr>
          <cat>
            <numRef>
              <f>'Nov'!$A$68:$A$75</f>
            </numRef>
          </cat>
          <val>
            <numRef>
              <f>'Nov'!$C$68:$C$75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December · Budget vs Actual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'Dec'!B67</f>
            </strRef>
          </tx>
          <spPr>
            <a:solidFill>
              <a:srgbClr val="3D5C3A"/>
            </a:solidFill>
            <a:ln>
              <a:prstDash val="solid"/>
            </a:ln>
          </spPr>
          <cat>
            <numRef>
              <f>'Dec'!$A$68:$A$75</f>
            </numRef>
          </cat>
          <val>
            <numRef>
              <f>'Dec'!$B$68:$B$75</f>
            </numRef>
          </val>
        </ser>
        <ser>
          <idx val="1"/>
          <order val="1"/>
          <tx>
            <strRef>
              <f>'Dec'!C67</f>
            </strRef>
          </tx>
          <spPr>
            <a:solidFill>
              <a:srgbClr val="B05E3A"/>
            </a:solidFill>
            <a:ln>
              <a:prstDash val="solid"/>
            </a:ln>
          </spPr>
          <cat>
            <numRef>
              <f>'Dec'!$A$68:$A$75</f>
            </numRef>
          </cat>
          <val>
            <numRef>
              <f>'Dec'!$C$68:$C$75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Savings Goal Progress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'Savings Goals'!F3</f>
            </strRef>
          </tx>
          <spPr>
            <a:solidFill>
              <a:srgbClr val="3D5C3A"/>
            </a:solidFill>
            <a:ln>
              <a:prstDash val="solid"/>
            </a:ln>
          </spPr>
          <cat>
            <numRef>
              <f>'Savings Goals'!$A$4:$A$9</f>
            </numRef>
          </cat>
          <val>
            <numRef>
              <f>'Savings Goals'!$F$4:$F$9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Annual Budget vs Actual — All Categories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 Overview'!N3</f>
            </strRef>
          </tx>
          <spPr>
            <a:solidFill>
              <a:srgbClr val="3D5C3A"/>
            </a:solidFill>
            <a:ln>
              <a:prstDash val="solid"/>
            </a:ln>
          </spPr>
          <cat>
            <numRef>
              <f>'Annual Overview'!$A$4:$A$13</f>
            </numRef>
          </cat>
          <val>
            <numRef>
              <f>'Annual Overview'!$N$4:$N$13</f>
            </numRef>
          </val>
        </ser>
        <ser>
          <idx val="1"/>
          <order val="1"/>
          <tx>
            <strRef>
              <f>'Annual Overview'!O3</f>
            </strRef>
          </tx>
          <spPr>
            <a:solidFill>
              <a:srgbClr val="B05E3A"/>
            </a:solidFill>
            <a:ln>
              <a:prstDash val="solid"/>
            </a:ln>
          </spPr>
          <cat>
            <numRef>
              <f>'Annual Overview'!$A$4:$A$13</f>
            </numRef>
          </cat>
          <val>
            <numRef>
              <f>'Annual Overview'!$O$4:$O$13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Net Cash Flow — Monthly Trend</a:t>
            </a:r>
          </a:p>
        </rich>
      </tx>
    </title>
    <plotArea>
      <lineChart>
        <grouping val="standard"/>
        <ser>
          <idx val="0"/>
          <order val="0"/>
          <spPr>
            <a:solidFill>
              <a:srgbClr val="3D5C3A"/>
            </a:solidFill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'Annual Overview'!$B$3:$M$3</f>
            </numRef>
          </cat>
          <val>
            <numRef>
              <f>'Annual Overview'!$B$14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'Annual Overview'!$B$3:$M$3</f>
            </numRef>
          </cat>
          <val>
            <numRef>
              <f>'Annual Overview'!$C$14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'Annual Overview'!$B$3:$M$3</f>
            </numRef>
          </cat>
          <val>
            <numRef>
              <f>'Annual Overview'!$D$14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'Annual Overview'!$B$3:$M$3</f>
            </numRef>
          </cat>
          <val>
            <numRef>
              <f>'Annual Overview'!$E$14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'Annual Overview'!$B$3:$M$3</f>
            </numRef>
          </cat>
          <val>
            <numRef>
              <f>'Annual Overview'!$F$14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'Annual Overview'!$B$3:$M$3</f>
            </numRef>
          </cat>
          <val>
            <numRef>
              <f>'Annual Overview'!$G$14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'Annual Overview'!$B$3:$M$3</f>
            </numRef>
          </cat>
          <val>
            <numRef>
              <f>'Annual Overview'!$H$14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'Annual Overview'!$B$3:$M$3</f>
            </numRef>
          </cat>
          <val>
            <numRef>
              <f>'Annual Overview'!$I$14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'Annual Overview'!$B$3:$M$3</f>
            </numRef>
          </cat>
          <val>
            <numRef>
              <f>'Annual Overview'!$J$14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'Annual Overview'!$B$3:$M$3</f>
            </numRef>
          </cat>
          <val>
            <numRef>
              <f>'Annual Overview'!$K$14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'Annual Overview'!$B$3:$M$3</f>
            </numRef>
          </cat>
          <val>
            <numRef>
              <f>'Annual Overview'!$L$14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'Annual Overview'!$B$3:$M$3</f>
            </numRef>
          </cat>
          <val>
            <numRef>
              <f>'Annual Overview'!$M$14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7.xml" Id="rId1" /><Relationship Type="http://schemas.openxmlformats.org/officeDocument/2006/relationships/chart" Target="/xl/charts/chart18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6</row>
      <rowOff>0</rowOff>
    </from>
    <ext cx="50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15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34</row>
      <rowOff>0</rowOff>
    </from>
    <ext cx="864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67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67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67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67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67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67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67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67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67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67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67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67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23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sheet1.xml><?xml version="1.0" encoding="utf-8"?>
<worksheet xmlns="http://schemas.openxmlformats.org/spreadsheetml/2006/main">
  <sheetPr>
    <tabColor rgb="003D5C3A"/>
    <outlinePr summaryBelow="1" summaryRight="1"/>
    <pageSetUpPr/>
  </sheetPr>
  <dimension ref="A1:W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3" customWidth="1" min="5" max="5"/>
    <col width="24" customWidth="1" min="6" max="6"/>
    <col width="13" customWidth="1" min="7" max="7"/>
    <col width="13" customWidth="1" min="8" max="8"/>
    <col width="13" customWidth="1" min="9" max="9"/>
    <col width="3" customWidth="1" min="10" max="10"/>
    <col width="20" customWidth="1" min="11" max="11"/>
    <col width="13" customWidth="1" min="12" max="12"/>
    <col width="13" customWidth="1" min="13" max="13"/>
    <col width="13" customWidth="1" min="14" max="14"/>
    <col width="13" customWidth="1" min="15" max="15"/>
    <col width="3" customWidth="1" min="16" max="16"/>
  </cols>
  <sheetData>
    <row r="1" ht="48" customHeight="1">
      <c r="A1" s="1" t="inlineStr">
        <is>
          <t>PERSONAL FINANCE COMMAND CENTER · 2026</t>
        </is>
      </c>
    </row>
    <row r="2" ht="20" customHeight="1">
      <c r="A2" s="2" t="inlineStr">
        <is>
          <t>Live Summary Dashboard — All figures link to monthly sheets</t>
        </is>
      </c>
    </row>
    <row r="3" ht="20" customHeight="1">
      <c r="A3" s="3" t="inlineStr">
        <is>
          <t>ANNUAL INCOME</t>
        </is>
      </c>
      <c r="E3" s="4" t="inlineStr">
        <is>
          <t>ANNUAL SAVINGS</t>
        </is>
      </c>
      <c r="I3" s="3" t="inlineStr">
        <is>
          <t>LEFT TO SPEND</t>
        </is>
      </c>
      <c r="M3" s="4" t="inlineStr">
        <is>
          <t>SAVINGS RATE</t>
        </is>
      </c>
    </row>
    <row r="4" ht="28" customHeight="1">
      <c r="A4" s="5">
        <f>IFERROR(D5/12*12,0)</f>
        <v/>
      </c>
      <c r="E4" s="6">
        <f>IFERROR(Jan!D57+Feb!D57+Mar!D57+Apr!D57+May!D57+Jun!D57+Jul!D57+Aug!D57+Sep!D57+Oct!D57+Nov!D57+Dec!D57,0)</f>
        <v/>
      </c>
      <c r="I4" s="5">
        <f>IFERROR(D5/12-Jan!D65,0)</f>
        <v/>
      </c>
      <c r="M4" s="7">
        <f>IFERROR((IFERROR(Jan!D57+Feb!D57+Mar!D57+Apr!D57+May!D57+Jun!D57+Jul!D57+Aug!D57+Sep!D57+Oct!D57+Nov!D57+Dec!D57,0))/IFERROR(D5,1),0)</f>
        <v/>
      </c>
    </row>
    <row r="5" ht="10" customHeight="1"/>
    <row r="6" ht="8" customHeight="1"/>
    <row r="7" ht="22" customHeight="1">
      <c r="A7" s="8" t="inlineStr">
        <is>
          <t>BUDGET SUMMARY</t>
        </is>
      </c>
      <c r="G7" s="9" t="inlineStr">
        <is>
          <t>SAVINGS SNAPSHOT</t>
        </is>
      </c>
    </row>
    <row r="8" ht="20" customHeight="1">
      <c r="A8" s="10" t="inlineStr">
        <is>
          <t>METRIC</t>
        </is>
      </c>
      <c r="B8" s="10" t="inlineStr"/>
      <c r="C8" s="10" t="inlineStr">
        <is>
          <t>VALUE</t>
        </is>
      </c>
      <c r="D8" s="10" t="inlineStr"/>
      <c r="E8" s="10" t="inlineStr"/>
      <c r="G8" s="11" t="inlineStr">
        <is>
          <t>GOAL</t>
        </is>
      </c>
      <c r="H8" s="11" t="inlineStr"/>
      <c r="I8" s="11" t="inlineStr">
        <is>
          <t>AMOUNT</t>
        </is>
      </c>
      <c r="J8" s="11" t="inlineStr"/>
      <c r="K8" s="11" t="inlineStr"/>
    </row>
    <row r="9" ht="18" customHeight="1">
      <c r="A9" s="12" t="inlineStr">
        <is>
          <t>Annual Income</t>
        </is>
      </c>
      <c r="B9" s="13" t="n"/>
      <c r="C9" s="13" t="n"/>
      <c r="D9" s="14" t="n">
        <v>0</v>
      </c>
      <c r="E9" s="13" t="n"/>
      <c r="G9" s="12" t="inlineStr">
        <is>
          <t>Emergency Fund Goal</t>
        </is>
      </c>
      <c r="H9" s="13" t="n"/>
      <c r="I9" s="13" t="n"/>
      <c r="J9" s="14" t="n">
        <v>0</v>
      </c>
      <c r="K9" s="13" t="n"/>
    </row>
    <row r="10" ht="18" customHeight="1">
      <c r="A10" s="15" t="inlineStr">
        <is>
          <t>Monthly Income</t>
        </is>
      </c>
      <c r="B10" s="16" t="n"/>
      <c r="C10" s="16" t="n"/>
      <c r="D10" s="17">
        <f>IFERROR(D9/12,0)</f>
        <v/>
      </c>
      <c r="E10" s="16" t="n"/>
      <c r="G10" s="18" t="inlineStr">
        <is>
          <t>Emergency Fund Current</t>
        </is>
      </c>
      <c r="H10" s="19" t="n"/>
      <c r="I10" s="19" t="n"/>
      <c r="J10" s="20" t="n">
        <v>0</v>
      </c>
      <c r="K10" s="19" t="n"/>
    </row>
    <row r="11" ht="18" customHeight="1">
      <c r="A11" s="12" t="inlineStr">
        <is>
          <t>This Month Expenses</t>
        </is>
      </c>
      <c r="B11" s="13" t="n"/>
      <c r="C11" s="13" t="n"/>
      <c r="D11" s="21">
        <f>IFERROR(Jan!D65,0)</f>
        <v/>
      </c>
      <c r="E11" s="13" t="n"/>
      <c r="G11" s="12" t="inlineStr">
        <is>
          <t>% Funded</t>
        </is>
      </c>
      <c r="H11" s="13" t="n"/>
      <c r="I11" s="13" t="n"/>
      <c r="J11" s="22">
        <f>IFERROR(H11/H10,0)</f>
        <v/>
      </c>
      <c r="K11" s="13" t="n"/>
    </row>
    <row r="12" ht="18" customHeight="1">
      <c r="A12" s="15" t="inlineStr">
        <is>
          <t>Left to Spend</t>
        </is>
      </c>
      <c r="B12" s="16" t="n"/>
      <c r="C12" s="16" t="n"/>
      <c r="D12" s="17">
        <f>IFERROR(D10-D11,0)</f>
        <v/>
      </c>
      <c r="E12" s="16" t="n"/>
      <c r="G12" s="18" t="inlineStr">
        <is>
          <t>Monthly Target</t>
        </is>
      </c>
      <c r="H12" s="19" t="n"/>
      <c r="I12" s="19" t="n"/>
      <c r="J12" s="20" t="n">
        <v>0</v>
      </c>
      <c r="K12" s="19" t="n"/>
    </row>
    <row r="13" ht="18" customHeight="1">
      <c r="A13" s="12" t="inlineStr">
        <is>
          <t>Annual Savings Rate</t>
        </is>
      </c>
      <c r="B13" s="13" t="n"/>
      <c r="C13" s="13" t="n"/>
      <c r="D13" s="23">
        <f>IFERROR(D12/D9,0)</f>
        <v/>
      </c>
      <c r="E13" s="13" t="n"/>
      <c r="G13" s="12" t="inlineStr">
        <is>
          <t>YTD Saved</t>
        </is>
      </c>
      <c r="H13" s="13" t="n"/>
      <c r="I13" s="13" t="n"/>
      <c r="J13" s="21">
        <f>IFERROR(Jan!D57+Feb!D57+Mar!D57+Apr!D57+May!D57+Jun!D57+Jul!D57+Aug!D57+Sep!D57+Oct!D57+Nov!D57+Dec!D57,0)</f>
        <v/>
      </c>
      <c r="K13" s="13" t="n"/>
    </row>
    <row r="14" ht="18" customHeight="1">
      <c r="A14" s="15" t="inlineStr">
        <is>
          <t>YTD Total Savings</t>
        </is>
      </c>
      <c r="B14" s="16" t="n"/>
      <c r="C14" s="16" t="n"/>
      <c r="D14" s="24">
        <f>IFERROR(Jan!D57+Feb!D57+Mar!D57+Apr!D57+May!D57+Jun!D57+Jul!D57+Aug!D57+Sep!D57+Oct!D57+Nov!D57+Dec!D57,0)</f>
        <v/>
      </c>
      <c r="E14" s="16" t="n"/>
    </row>
    <row r="15" ht="8" customHeight="1"/>
    <row r="16" ht="22" customHeight="1">
      <c r="A16" s="25" t="inlineStr">
        <is>
          <t>TOP EXPENSE CATEGORIES — JANUARY</t>
        </is>
      </c>
      <c r="G16" s="9" t="inlineStr">
        <is>
          <t>BILLS THIS MONTH</t>
        </is>
      </c>
    </row>
    <row r="17" ht="20" customHeight="1">
      <c r="A17" s="26" t="inlineStr">
        <is>
          <t>CATEGORY</t>
        </is>
      </c>
      <c r="B17" s="26" t="inlineStr">
        <is>
          <t>BUDGETED</t>
        </is>
      </c>
      <c r="C17" s="26" t="inlineStr">
        <is>
          <t>ACTUAL</t>
        </is>
      </c>
      <c r="D17" s="26" t="inlineStr">
        <is>
          <t>DIFF</t>
        </is>
      </c>
      <c r="E17" s="26" t="inlineStr"/>
      <c r="G17" s="11" t="inlineStr">
        <is>
          <t>BILL NAME</t>
        </is>
      </c>
      <c r="H17" s="11" t="inlineStr">
        <is>
          <t>AMOUNT</t>
        </is>
      </c>
      <c r="I17" s="11" t="inlineStr">
        <is>
          <t>DUE DATE</t>
        </is>
      </c>
      <c r="J17" s="11" t="inlineStr"/>
      <c r="K17" s="11" t="inlineStr"/>
    </row>
    <row r="18" ht="18" customHeight="1">
      <c r="A18" s="12" t="inlineStr">
        <is>
          <t>HOUSING</t>
        </is>
      </c>
      <c r="B18" s="21">
        <f>IFERROR(Jan!C15,0)</f>
        <v/>
      </c>
      <c r="C18" s="21">
        <f>IFERROR(Jan!D15,0)</f>
        <v/>
      </c>
      <c r="D18" s="27">
        <f>IFERROR(B18-C18,0)</f>
        <v/>
      </c>
      <c r="E18" s="28" t="inlineStr"/>
      <c r="G18" s="28" t="inlineStr">
        <is>
          <t>Rent/Mortgage</t>
        </is>
      </c>
      <c r="H18" s="14" t="n">
        <v>1200</v>
      </c>
      <c r="I18" s="29" t="inlineStr">
        <is>
          <t>01/01/2026</t>
        </is>
      </c>
      <c r="J18" s="28" t="inlineStr"/>
      <c r="K18" s="28" t="inlineStr"/>
    </row>
    <row r="19" ht="18" customHeight="1">
      <c r="A19" s="15" t="inlineStr">
        <is>
          <t>TRANSPORT</t>
        </is>
      </c>
      <c r="B19" s="24">
        <f>IFERROR(Jan!C22,0)</f>
        <v/>
      </c>
      <c r="C19" s="24">
        <f>IFERROR(Jan!D22,0)</f>
        <v/>
      </c>
      <c r="D19" s="17">
        <f>IFERROR(B19-C19,0)</f>
        <v/>
      </c>
      <c r="E19" s="30" t="inlineStr"/>
      <c r="G19" s="31" t="inlineStr">
        <is>
          <t>Electricity</t>
        </is>
      </c>
      <c r="H19" s="20" t="n">
        <v>80</v>
      </c>
      <c r="I19" s="32" t="inlineStr">
        <is>
          <t>01/15/2026</t>
        </is>
      </c>
      <c r="J19" s="31" t="inlineStr"/>
      <c r="K19" s="31" t="inlineStr"/>
    </row>
    <row r="20" ht="18" customHeight="1">
      <c r="A20" s="12" t="inlineStr">
        <is>
          <t>FOOD &amp; DINING</t>
        </is>
      </c>
      <c r="B20" s="21">
        <f>IFERROR(Jan!C29,0)</f>
        <v/>
      </c>
      <c r="C20" s="21">
        <f>IFERROR(Jan!D29,0)</f>
        <v/>
      </c>
      <c r="D20" s="27">
        <f>IFERROR(B20-C20,0)</f>
        <v/>
      </c>
      <c r="E20" s="28" t="inlineStr"/>
      <c r="G20" s="28" t="inlineStr">
        <is>
          <t>Internet</t>
        </is>
      </c>
      <c r="H20" s="14" t="n">
        <v>60</v>
      </c>
      <c r="I20" s="29" t="inlineStr">
        <is>
          <t>01/22/2026</t>
        </is>
      </c>
      <c r="J20" s="28" t="inlineStr"/>
      <c r="K20" s="28" t="inlineStr"/>
    </row>
    <row r="21" ht="18" customHeight="1">
      <c r="A21" s="15" t="inlineStr">
        <is>
          <t>HEALTH &amp; WELLNESS</t>
        </is>
      </c>
      <c r="B21" s="24">
        <f>IFERROR(Jan!C36,0)</f>
        <v/>
      </c>
      <c r="C21" s="24">
        <f>IFERROR(Jan!D36,0)</f>
        <v/>
      </c>
      <c r="D21" s="17">
        <f>IFERROR(B21-C21,0)</f>
        <v/>
      </c>
      <c r="E21" s="30" t="inlineStr"/>
      <c r="G21" s="31" t="inlineStr">
        <is>
          <t>Streaming</t>
        </is>
      </c>
      <c r="H21" s="20" t="n">
        <v>18</v>
      </c>
      <c r="I21" s="32" t="inlineStr">
        <is>
          <t>01/08/2026</t>
        </is>
      </c>
      <c r="J21" s="31" t="inlineStr"/>
      <c r="K21" s="31" t="inlineStr"/>
    </row>
    <row r="22" ht="18" customHeight="1">
      <c r="A22" s="12" t="inlineStr">
        <is>
          <t>LIFESTYLE</t>
        </is>
      </c>
      <c r="B22" s="21">
        <f>IFERROR(Jan!C43,0)</f>
        <v/>
      </c>
      <c r="C22" s="21">
        <f>IFERROR(Jan!D43,0)</f>
        <v/>
      </c>
      <c r="D22" s="27">
        <f>IFERROR(B22-C22,0)</f>
        <v/>
      </c>
      <c r="E22" s="28" t="inlineStr"/>
      <c r="G22" s="28" t="inlineStr">
        <is>
          <t>Phone</t>
        </is>
      </c>
      <c r="H22" s="14" t="n">
        <v>70</v>
      </c>
      <c r="I22" s="29" t="inlineStr">
        <is>
          <t>01/12/2026</t>
        </is>
      </c>
      <c r="J22" s="28" t="inlineStr"/>
      <c r="K22" s="28" t="inlineStr"/>
    </row>
    <row r="23" ht="18" customHeight="1">
      <c r="A23" s="15" t="inlineStr">
        <is>
          <t>PERSONAL</t>
        </is>
      </c>
      <c r="B23" s="24">
        <f>IFERROR(Jan!C50,0)</f>
        <v/>
      </c>
      <c r="C23" s="24">
        <f>IFERROR(Jan!D50,0)</f>
        <v/>
      </c>
      <c r="D23" s="17">
        <f>IFERROR(B23-C23,0)</f>
        <v/>
      </c>
      <c r="E23" s="30" t="inlineStr"/>
      <c r="G23" s="31" t="inlineStr">
        <is>
          <t>Car Insurance</t>
        </is>
      </c>
      <c r="H23" s="20" t="n">
        <v>120</v>
      </c>
      <c r="I23" s="32" t="inlineStr">
        <is>
          <t>01/20/2026</t>
        </is>
      </c>
      <c r="J23" s="31" t="inlineStr"/>
      <c r="K23" s="31" t="inlineStr"/>
    </row>
    <row r="24" ht="8" customHeight="1"/>
    <row r="25" ht="24" customHeight="1">
      <c r="A25" s="33" t="inlineStr">
        <is>
          <t>JANUARY 2026 — BILL CALENDAR</t>
        </is>
      </c>
      <c r="J25" s="34" t="inlineStr">
        <is>
          <t>KEY STATS</t>
        </is>
      </c>
    </row>
    <row r="26" ht="18" customHeight="1">
      <c r="A26" s="10" t="inlineStr">
        <is>
          <t>MON</t>
        </is>
      </c>
      <c r="B26" s="10" t="inlineStr">
        <is>
          <t>TUE</t>
        </is>
      </c>
      <c r="C26" s="10" t="inlineStr">
        <is>
          <t>WED</t>
        </is>
      </c>
      <c r="D26" s="10" t="inlineStr">
        <is>
          <t>THU</t>
        </is>
      </c>
      <c r="E26" s="10" t="inlineStr">
        <is>
          <t>FRI</t>
        </is>
      </c>
      <c r="F26" s="10" t="inlineStr">
        <is>
          <t>SAT</t>
        </is>
      </c>
      <c r="G26" s="10" t="inlineStr">
        <is>
          <t>SUN</t>
        </is>
      </c>
      <c r="J26" s="12" t="inlineStr">
        <is>
          <t>Monthly Income</t>
        </is>
      </c>
      <c r="K26" s="13" t="n"/>
      <c r="L26" s="13" t="n"/>
      <c r="M26" s="21">
        <f>IFERROR(D10,0)</f>
        <v/>
      </c>
      <c r="N26" s="13" t="n"/>
    </row>
    <row r="27" ht="18" customHeight="1">
      <c r="A27" s="28" t="inlineStr"/>
      <c r="B27" s="28" t="inlineStr"/>
      <c r="C27" s="28" t="inlineStr"/>
      <c r="D27" s="35" t="n">
        <v>1</v>
      </c>
      <c r="E27" s="36" t="n">
        <v>2</v>
      </c>
      <c r="F27" s="36" t="n">
        <v>3</v>
      </c>
      <c r="G27" s="36" t="n">
        <v>4</v>
      </c>
      <c r="J27" s="15" t="inlineStr">
        <is>
          <t>Monthly Expenses</t>
        </is>
      </c>
      <c r="K27" s="16" t="n"/>
      <c r="L27" s="16" t="n"/>
      <c r="M27" s="24">
        <f>IFERROR(D11,0)</f>
        <v/>
      </c>
      <c r="N27" s="16" t="n"/>
    </row>
    <row r="28" ht="18" customHeight="1">
      <c r="A28" s="36" t="n">
        <v>5</v>
      </c>
      <c r="B28" s="36" t="n">
        <v>6</v>
      </c>
      <c r="C28" s="36" t="n">
        <v>7</v>
      </c>
      <c r="D28" s="35" t="n">
        <v>8</v>
      </c>
      <c r="E28" s="36" t="n">
        <v>9</v>
      </c>
      <c r="F28" s="36" t="n">
        <v>10</v>
      </c>
      <c r="G28" s="36" t="n">
        <v>11</v>
      </c>
      <c r="J28" s="12" t="inlineStr">
        <is>
          <t>Monthly Savings</t>
        </is>
      </c>
      <c r="K28" s="13" t="n"/>
      <c r="L28" s="13" t="n"/>
      <c r="M28" s="21">
        <f>IFERROR(D12,0)</f>
        <v/>
      </c>
      <c r="N28" s="13" t="n"/>
    </row>
    <row r="29" ht="18" customHeight="1">
      <c r="A29" s="35" t="n">
        <v>12</v>
      </c>
      <c r="B29" s="36" t="n">
        <v>13</v>
      </c>
      <c r="C29" s="36" t="n">
        <v>14</v>
      </c>
      <c r="D29" s="35" t="n">
        <v>15</v>
      </c>
      <c r="E29" s="36" t="n">
        <v>16</v>
      </c>
      <c r="F29" s="36" t="n">
        <v>17</v>
      </c>
      <c r="G29" s="36" t="n">
        <v>18</v>
      </c>
      <c r="J29" s="15" t="inlineStr">
        <is>
          <t>Savings Rate</t>
        </is>
      </c>
      <c r="K29" s="16" t="n"/>
      <c r="L29" s="16" t="n"/>
      <c r="M29" s="37">
        <f>IFERROR(D13,0)</f>
        <v/>
      </c>
      <c r="N29" s="16" t="n"/>
    </row>
    <row r="30" ht="18" customHeight="1">
      <c r="A30" s="36" t="n">
        <v>19</v>
      </c>
      <c r="B30" s="35" t="n">
        <v>20</v>
      </c>
      <c r="C30" s="36" t="n">
        <v>21</v>
      </c>
      <c r="D30" s="35" t="n">
        <v>22</v>
      </c>
      <c r="E30" s="36" t="n">
        <v>23</v>
      </c>
      <c r="F30" s="36" t="n">
        <v>24</v>
      </c>
      <c r="G30" s="36" t="n">
        <v>25</v>
      </c>
      <c r="J30" s="12" t="inlineStr">
        <is>
          <t>YTD Savings</t>
        </is>
      </c>
      <c r="K30" s="13" t="n"/>
      <c r="L30" s="13" t="n"/>
      <c r="M30" s="21">
        <f>IFERROR(Jan!D57+Feb!D57+Mar!D57+Apr!D57+May!D57+Jun!D57+Jul!D57+Aug!D57+Sep!D57+Oct!D57+Nov!D57+Dec!D57,0)</f>
        <v/>
      </c>
      <c r="N30" s="13" t="n"/>
    </row>
    <row r="31" ht="18" customHeight="1">
      <c r="A31" s="36" t="n">
        <v>26</v>
      </c>
      <c r="B31" s="36" t="n">
        <v>27</v>
      </c>
      <c r="C31" s="36" t="n">
        <v>28</v>
      </c>
      <c r="D31" s="36" t="n">
        <v>29</v>
      </c>
      <c r="E31" s="36" t="n">
        <v>30</v>
      </c>
      <c r="F31" s="36" t="n">
        <v>31</v>
      </c>
      <c r="G31" s="28" t="inlineStr"/>
      <c r="J31" s="15" t="inlineStr">
        <is>
          <t>Emergency %</t>
        </is>
      </c>
      <c r="K31" s="16" t="n"/>
      <c r="L31" s="16" t="n"/>
      <c r="M31" s="37">
        <f>IFERROR(H11/H10,0)</f>
        <v/>
      </c>
      <c r="N31" s="16" t="n"/>
    </row>
    <row r="33" ht="8" customHeight="1"/>
    <row r="34" ht="8" customHeight="1"/>
    <row r="38">
      <c r="R38" t="inlineStr">
        <is>
          <t>HOUSING</t>
        </is>
      </c>
      <c r="S38" s="38">
        <f>IFERROR(Jan!D15,0)</f>
        <v/>
      </c>
    </row>
    <row r="39">
      <c r="R39" t="inlineStr">
        <is>
          <t>TRANSPORT</t>
        </is>
      </c>
      <c r="S39" s="38">
        <f>IFERROR(Jan!D22,0)</f>
        <v/>
      </c>
    </row>
    <row r="40">
      <c r="R40" t="inlineStr">
        <is>
          <t>FOOD &amp; DINING</t>
        </is>
      </c>
      <c r="S40" s="38">
        <f>IFERROR(Jan!D29,0)</f>
        <v/>
      </c>
    </row>
    <row r="41">
      <c r="R41" t="inlineStr">
        <is>
          <t>HEALTH &amp; WELLNESS</t>
        </is>
      </c>
      <c r="S41" s="38">
        <f>IFERROR(Jan!D36,0)</f>
        <v/>
      </c>
    </row>
    <row r="42">
      <c r="R42" t="inlineStr">
        <is>
          <t>LIFESTYLE</t>
        </is>
      </c>
      <c r="S42" s="38">
        <f>IFERROR(Jan!D43,0)</f>
        <v/>
      </c>
    </row>
    <row r="43">
      <c r="R43" t="inlineStr">
        <is>
          <t>PERSONAL</t>
        </is>
      </c>
      <c r="S43" s="38">
        <f>IFERROR(Jan!D50,0)</f>
        <v/>
      </c>
    </row>
    <row r="44">
      <c r="R44" t="inlineStr">
        <is>
          <t>SAVINGS &amp; INVESTMENTS</t>
        </is>
      </c>
      <c r="S44" s="38">
        <f>IFERROR(Jan!D57,0)</f>
        <v/>
      </c>
    </row>
    <row r="45">
      <c r="R45" t="inlineStr">
        <is>
          <t>DEBT PAYMENTS</t>
        </is>
      </c>
      <c r="S45" s="38">
        <f>IFERROR(Jan!D64,0)</f>
        <v/>
      </c>
    </row>
    <row r="50">
      <c r="R50" t="inlineStr">
        <is>
          <t>Month</t>
        </is>
      </c>
      <c r="S50" t="inlineStr">
        <is>
          <t>Savings</t>
        </is>
      </c>
      <c r="U50" t="inlineStr">
        <is>
          <t>Month</t>
        </is>
      </c>
      <c r="V50" t="inlineStr">
        <is>
          <t>Income</t>
        </is>
      </c>
      <c r="W50" t="inlineStr">
        <is>
          <t>Expenses</t>
        </is>
      </c>
    </row>
    <row r="51">
      <c r="R51" t="inlineStr">
        <is>
          <t>Jan</t>
        </is>
      </c>
      <c r="S51" s="38">
        <f>IFERROR(Jan!D57,0)</f>
        <v/>
      </c>
      <c r="U51" t="inlineStr">
        <is>
          <t>Jan</t>
        </is>
      </c>
      <c r="V51" s="38">
        <f>IFERROR(Jan!D8,0)</f>
        <v/>
      </c>
      <c r="W51" s="38">
        <f>IFERROR(Jan!D65,0)</f>
        <v/>
      </c>
    </row>
    <row r="52">
      <c r="R52" t="inlineStr">
        <is>
          <t>Feb</t>
        </is>
      </c>
      <c r="S52" s="38">
        <f>IFERROR(Feb!D57,0)</f>
        <v/>
      </c>
      <c r="U52" t="inlineStr">
        <is>
          <t>Feb</t>
        </is>
      </c>
      <c r="V52" s="38">
        <f>IFERROR(Feb!D8,0)</f>
        <v/>
      </c>
      <c r="W52" s="38">
        <f>IFERROR(Feb!D65,0)</f>
        <v/>
      </c>
    </row>
    <row r="53">
      <c r="R53" t="inlineStr">
        <is>
          <t>Mar</t>
        </is>
      </c>
      <c r="S53" s="38">
        <f>IFERROR(Mar!D57,0)</f>
        <v/>
      </c>
      <c r="U53" t="inlineStr">
        <is>
          <t>Mar</t>
        </is>
      </c>
      <c r="V53" s="38">
        <f>IFERROR(Mar!D8,0)</f>
        <v/>
      </c>
      <c r="W53" s="38">
        <f>IFERROR(Mar!D65,0)</f>
        <v/>
      </c>
    </row>
    <row r="54">
      <c r="R54" t="inlineStr">
        <is>
          <t>Apr</t>
        </is>
      </c>
      <c r="S54" s="38">
        <f>IFERROR(Apr!D57,0)</f>
        <v/>
      </c>
      <c r="U54" t="inlineStr">
        <is>
          <t>Apr</t>
        </is>
      </c>
      <c r="V54" s="38">
        <f>IFERROR(Apr!D8,0)</f>
        <v/>
      </c>
      <c r="W54" s="38">
        <f>IFERROR(Apr!D65,0)</f>
        <v/>
      </c>
    </row>
    <row r="55">
      <c r="R55" t="inlineStr">
        <is>
          <t>May</t>
        </is>
      </c>
      <c r="S55" s="38">
        <f>IFERROR(May!D57,0)</f>
        <v/>
      </c>
      <c r="U55" t="inlineStr">
        <is>
          <t>May</t>
        </is>
      </c>
      <c r="V55" s="38">
        <f>IFERROR(May!D8,0)</f>
        <v/>
      </c>
      <c r="W55" s="38">
        <f>IFERROR(May!D65,0)</f>
        <v/>
      </c>
    </row>
    <row r="56">
      <c r="R56" t="inlineStr">
        <is>
          <t>Jun</t>
        </is>
      </c>
      <c r="S56" s="38">
        <f>IFERROR(Jun!D57,0)</f>
        <v/>
      </c>
      <c r="U56" t="inlineStr">
        <is>
          <t>Jun</t>
        </is>
      </c>
      <c r="V56" s="38">
        <f>IFERROR(Jun!D8,0)</f>
        <v/>
      </c>
      <c r="W56" s="38">
        <f>IFERROR(Jun!D65,0)</f>
        <v/>
      </c>
    </row>
    <row r="57">
      <c r="R57" t="inlineStr">
        <is>
          <t>Jul</t>
        </is>
      </c>
      <c r="S57" s="38">
        <f>IFERROR(Jul!D57,0)</f>
        <v/>
      </c>
      <c r="U57" t="inlineStr">
        <is>
          <t>Jul</t>
        </is>
      </c>
      <c r="V57" s="38">
        <f>IFERROR(Jul!D8,0)</f>
        <v/>
      </c>
      <c r="W57" s="38">
        <f>IFERROR(Jul!D65,0)</f>
        <v/>
      </c>
    </row>
    <row r="58">
      <c r="R58" t="inlineStr">
        <is>
          <t>Aug</t>
        </is>
      </c>
      <c r="S58" s="38">
        <f>IFERROR(Aug!D57,0)</f>
        <v/>
      </c>
      <c r="U58" t="inlineStr">
        <is>
          <t>Aug</t>
        </is>
      </c>
      <c r="V58" s="38">
        <f>IFERROR(Aug!D8,0)</f>
        <v/>
      </c>
      <c r="W58" s="38">
        <f>IFERROR(Aug!D65,0)</f>
        <v/>
      </c>
    </row>
    <row r="59">
      <c r="R59" t="inlineStr">
        <is>
          <t>Sep</t>
        </is>
      </c>
      <c r="S59" s="38">
        <f>IFERROR(Sep!D57,0)</f>
        <v/>
      </c>
      <c r="U59" t="inlineStr">
        <is>
          <t>Sep</t>
        </is>
      </c>
      <c r="V59" s="38">
        <f>IFERROR(Sep!D8,0)</f>
        <v/>
      </c>
      <c r="W59" s="38">
        <f>IFERROR(Sep!D65,0)</f>
        <v/>
      </c>
    </row>
    <row r="60">
      <c r="R60" t="inlineStr">
        <is>
          <t>Oct</t>
        </is>
      </c>
      <c r="S60" s="38">
        <f>IFERROR(Oct!D57,0)</f>
        <v/>
      </c>
      <c r="U60" t="inlineStr">
        <is>
          <t>Oct</t>
        </is>
      </c>
      <c r="V60" s="38">
        <f>IFERROR(Oct!D8,0)</f>
        <v/>
      </c>
      <c r="W60" s="38">
        <f>IFERROR(Oct!D65,0)</f>
        <v/>
      </c>
    </row>
    <row r="61">
      <c r="R61" t="inlineStr">
        <is>
          <t>Nov</t>
        </is>
      </c>
      <c r="S61" s="38">
        <f>IFERROR(Nov!D57,0)</f>
        <v/>
      </c>
      <c r="U61" t="inlineStr">
        <is>
          <t>Nov</t>
        </is>
      </c>
      <c r="V61" s="38">
        <f>IFERROR(Nov!D8,0)</f>
        <v/>
      </c>
      <c r="W61" s="38">
        <f>IFERROR(Nov!D65,0)</f>
        <v/>
      </c>
    </row>
    <row r="62">
      <c r="R62" t="inlineStr">
        <is>
          <t>Dec</t>
        </is>
      </c>
      <c r="S62" s="38">
        <f>IFERROR(Dec!D57,0)</f>
        <v/>
      </c>
      <c r="U62" t="inlineStr">
        <is>
          <t>Dec</t>
        </is>
      </c>
      <c r="V62" s="38">
        <f>IFERROR(Dec!D8,0)</f>
        <v/>
      </c>
      <c r="W62" s="38">
        <f>IFERROR(Dec!D65,0)</f>
        <v/>
      </c>
    </row>
  </sheetData>
  <mergeCells count="50">
    <mergeCell ref="G10:I10"/>
    <mergeCell ref="D10:E10"/>
    <mergeCell ref="M3:P3"/>
    <mergeCell ref="G13:I13"/>
    <mergeCell ref="J10:K10"/>
    <mergeCell ref="J27:L27"/>
    <mergeCell ref="E4:H5"/>
    <mergeCell ref="J26:L26"/>
    <mergeCell ref="A12:C12"/>
    <mergeCell ref="J13:K13"/>
    <mergeCell ref="J9:K9"/>
    <mergeCell ref="G7:K7"/>
    <mergeCell ref="E3:H3"/>
    <mergeCell ref="A16:E16"/>
    <mergeCell ref="A25:H25"/>
    <mergeCell ref="A7:E7"/>
    <mergeCell ref="D11:E11"/>
    <mergeCell ref="D13:E13"/>
    <mergeCell ref="A14:C14"/>
    <mergeCell ref="J31:L31"/>
    <mergeCell ref="M31:N31"/>
    <mergeCell ref="A10:C10"/>
    <mergeCell ref="M30:N30"/>
    <mergeCell ref="A13:C13"/>
    <mergeCell ref="J11:K11"/>
    <mergeCell ref="A1:P1"/>
    <mergeCell ref="J25:N25"/>
    <mergeCell ref="A4:D5"/>
    <mergeCell ref="M28:N28"/>
    <mergeCell ref="A9:C9"/>
    <mergeCell ref="I4:L5"/>
    <mergeCell ref="G9:I9"/>
    <mergeCell ref="M27:N27"/>
    <mergeCell ref="G12:I12"/>
    <mergeCell ref="D9:E9"/>
    <mergeCell ref="M26:N26"/>
    <mergeCell ref="D12:E12"/>
    <mergeCell ref="G11:I11"/>
    <mergeCell ref="J29:L29"/>
    <mergeCell ref="A11:C11"/>
    <mergeCell ref="J12:K12"/>
    <mergeCell ref="J28:L28"/>
    <mergeCell ref="M4:P5"/>
    <mergeCell ref="I3:L3"/>
    <mergeCell ref="M29:N29"/>
    <mergeCell ref="A3:D3"/>
    <mergeCell ref="G16:K16"/>
    <mergeCell ref="D14:E14"/>
    <mergeCell ref="J30:L30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C8A52"/>
    <outlinePr summaryBelow="1" summaryRight="1"/>
    <pageSetUpPr/>
  </sheetPr>
  <dimension ref="A1:G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20" customWidth="1" min="7" max="7"/>
  </cols>
  <sheetData>
    <row r="1" ht="48" customHeight="1">
      <c r="A1" s="1" t="inlineStr">
        <is>
          <t>JANUARY · MONTHLY BUDGET</t>
        </is>
      </c>
    </row>
    <row r="2" ht="20" customHeight="1">
      <c r="A2" s="2" t="inlineStr">
        <is>
          <t>Track your income and expenses for January</t>
        </is>
      </c>
    </row>
    <row r="3" ht="20" customHeight="1">
      <c r="A3" s="26" t="inlineStr">
        <is>
          <t>CATEGORY</t>
        </is>
      </c>
      <c r="B3" s="26" t="inlineStr">
        <is>
          <t>SUBCATEGORY</t>
        </is>
      </c>
      <c r="C3" s="26" t="inlineStr">
        <is>
          <t>BUDGETED</t>
        </is>
      </c>
      <c r="D3" s="26" t="inlineStr">
        <is>
          <t>ACTUAL</t>
        </is>
      </c>
      <c r="E3" s="26" t="inlineStr">
        <is>
          <t>DIFFERENCE</t>
        </is>
      </c>
      <c r="F3" s="26" t="inlineStr">
        <is>
          <t>% USED</t>
        </is>
      </c>
      <c r="G3" s="26" t="inlineStr">
        <is>
          <t>NOTES</t>
        </is>
      </c>
    </row>
    <row r="4" ht="22" customHeight="1">
      <c r="A4" s="9" t="inlineStr">
        <is>
          <t>INCOME</t>
        </is>
      </c>
    </row>
    <row r="5" ht="18" customHeight="1">
      <c r="A5" s="28" t="inlineStr">
        <is>
          <t>INCOME</t>
        </is>
      </c>
      <c r="B5" s="28" t="inlineStr">
        <is>
          <t>Primary Income</t>
        </is>
      </c>
      <c r="C5" s="14" t="n">
        <v>0</v>
      </c>
      <c r="D5" s="14" t="n">
        <v>0</v>
      </c>
      <c r="E5" s="27">
        <f>IFERROR(C5-D5,0)</f>
        <v/>
      </c>
      <c r="F5" s="23">
        <f>IFERROR(D5/C5,0)</f>
        <v/>
      </c>
      <c r="G5" s="28" t="inlineStr"/>
    </row>
    <row r="6" ht="18" customHeight="1">
      <c r="A6" s="31" t="inlineStr">
        <is>
          <t>INCOME</t>
        </is>
      </c>
      <c r="B6" s="31" t="inlineStr">
        <is>
          <t>Side Income</t>
        </is>
      </c>
      <c r="C6" s="20" t="n">
        <v>0</v>
      </c>
      <c r="D6" s="20" t="n">
        <v>0</v>
      </c>
      <c r="E6" s="39">
        <f>IFERROR(C6-D6,0)</f>
        <v/>
      </c>
      <c r="F6" s="40">
        <f>IFERROR(D6/C6,0)</f>
        <v/>
      </c>
      <c r="G6" s="31" t="inlineStr"/>
    </row>
    <row r="7" ht="18" customHeight="1">
      <c r="A7" s="28" t="inlineStr">
        <is>
          <t>INCOME</t>
        </is>
      </c>
      <c r="B7" s="28" t="inlineStr">
        <is>
          <t>Other Income</t>
        </is>
      </c>
      <c r="C7" s="14" t="n">
        <v>0</v>
      </c>
      <c r="D7" s="14" t="n">
        <v>0</v>
      </c>
      <c r="E7" s="27">
        <f>IFERROR(C7-D7,0)</f>
        <v/>
      </c>
      <c r="F7" s="23">
        <f>IFERROR(D7/C7,0)</f>
        <v/>
      </c>
      <c r="G7" s="28" t="inlineStr"/>
    </row>
    <row r="8" ht="20" customHeight="1">
      <c r="A8" s="41" t="inlineStr">
        <is>
          <t>TOTAL INCOME</t>
        </is>
      </c>
      <c r="C8" s="42">
        <f>SUM(C5:C7)</f>
        <v/>
      </c>
      <c r="D8" s="42">
        <f>SUM(D5:D7)</f>
        <v/>
      </c>
      <c r="E8" s="43">
        <f>IFERROR(C8-D8,0)</f>
        <v/>
      </c>
      <c r="F8" s="44">
        <f>IFERROR(D8/C8,0)</f>
        <v/>
      </c>
      <c r="G8" s="45" t="inlineStr"/>
    </row>
    <row r="9" ht="22" customHeight="1">
      <c r="A9" s="25" t="inlineStr">
        <is>
          <t>HOUSING</t>
        </is>
      </c>
    </row>
    <row r="10" ht="18" customHeight="1">
      <c r="A10" s="28" t="inlineStr">
        <is>
          <t>HOUSING</t>
        </is>
      </c>
      <c r="B10" s="28" t="inlineStr">
        <is>
          <t>Rent/Mortgage</t>
        </is>
      </c>
      <c r="C10" s="14" t="n">
        <v>0</v>
      </c>
      <c r="D10" s="14" t="n">
        <v>0</v>
      </c>
      <c r="E10" s="27">
        <f>IFERROR(C10-D10,0)</f>
        <v/>
      </c>
      <c r="F10" s="23">
        <f>IFERROR(D10/C10,0)</f>
        <v/>
      </c>
      <c r="G10" s="28" t="inlineStr"/>
    </row>
    <row r="11" ht="18" customHeight="1">
      <c r="A11" s="30" t="inlineStr">
        <is>
          <t>HOUSING</t>
        </is>
      </c>
      <c r="B11" s="30" t="inlineStr">
        <is>
          <t>Utilities</t>
        </is>
      </c>
      <c r="C11" s="46" t="n">
        <v>0</v>
      </c>
      <c r="D11" s="46" t="n">
        <v>0</v>
      </c>
      <c r="E11" s="17">
        <f>IFERROR(C11-D11,0)</f>
        <v/>
      </c>
      <c r="F11" s="47">
        <f>IFERROR(D11/C11,0)</f>
        <v/>
      </c>
      <c r="G11" s="30" t="inlineStr"/>
    </row>
    <row r="12" ht="18" customHeight="1">
      <c r="A12" s="28" t="inlineStr">
        <is>
          <t>HOUSING</t>
        </is>
      </c>
      <c r="B12" s="28" t="inlineStr">
        <is>
          <t>Electricity</t>
        </is>
      </c>
      <c r="C12" s="14" t="n">
        <v>0</v>
      </c>
      <c r="D12" s="14" t="n">
        <v>0</v>
      </c>
      <c r="E12" s="27">
        <f>IFERROR(C12-D12,0)</f>
        <v/>
      </c>
      <c r="F12" s="23">
        <f>IFERROR(D12/C12,0)</f>
        <v/>
      </c>
      <c r="G12" s="28" t="inlineStr"/>
    </row>
    <row r="13" ht="18" customHeight="1">
      <c r="A13" s="30" t="inlineStr">
        <is>
          <t>HOUSING</t>
        </is>
      </c>
      <c r="B13" s="30" t="inlineStr">
        <is>
          <t>Internet</t>
        </is>
      </c>
      <c r="C13" s="46" t="n">
        <v>0</v>
      </c>
      <c r="D13" s="46" t="n">
        <v>0</v>
      </c>
      <c r="E13" s="17">
        <f>IFERROR(C13-D13,0)</f>
        <v/>
      </c>
      <c r="F13" s="47">
        <f>IFERROR(D13/C13,0)</f>
        <v/>
      </c>
      <c r="G13" s="30" t="inlineStr"/>
    </row>
    <row r="14" ht="18" customHeight="1">
      <c r="A14" s="28" t="inlineStr">
        <is>
          <t>HOUSING</t>
        </is>
      </c>
      <c r="B14" s="28" t="inlineStr">
        <is>
          <t>Home Insurance</t>
        </is>
      </c>
      <c r="C14" s="14" t="n">
        <v>0</v>
      </c>
      <c r="D14" s="14" t="n">
        <v>0</v>
      </c>
      <c r="E14" s="27">
        <f>IFERROR(C14-D14,0)</f>
        <v/>
      </c>
      <c r="F14" s="23">
        <f>IFERROR(D14/C14,0)</f>
        <v/>
      </c>
      <c r="G14" s="28" t="inlineStr"/>
    </row>
    <row r="15" ht="20" customHeight="1">
      <c r="A15" s="41" t="inlineStr">
        <is>
          <t>HOUSING TOTAL</t>
        </is>
      </c>
      <c r="C15" s="42">
        <f>SUM(C10:C14)</f>
        <v/>
      </c>
      <c r="D15" s="42">
        <f>SUM(D10:D14)</f>
        <v/>
      </c>
      <c r="E15" s="43">
        <f>IFERROR(C15-D15,0)</f>
        <v/>
      </c>
      <c r="F15" s="44">
        <f>IFERROR(D15/C15,0)</f>
        <v/>
      </c>
      <c r="G15" s="45" t="inlineStr"/>
    </row>
    <row r="16" ht="22" customHeight="1">
      <c r="A16" s="25" t="inlineStr">
        <is>
          <t>TRANSPORT</t>
        </is>
      </c>
    </row>
    <row r="17" ht="18" customHeight="1">
      <c r="A17" s="28" t="inlineStr">
        <is>
          <t>TRANSPORT</t>
        </is>
      </c>
      <c r="B17" s="28" t="inlineStr">
        <is>
          <t>Car Payment</t>
        </is>
      </c>
      <c r="C17" s="14" t="n">
        <v>0</v>
      </c>
      <c r="D17" s="14" t="n">
        <v>0</v>
      </c>
      <c r="E17" s="27">
        <f>IFERROR(C17-D17,0)</f>
        <v/>
      </c>
      <c r="F17" s="23">
        <f>IFERROR(D17/C17,0)</f>
        <v/>
      </c>
      <c r="G17" s="28" t="inlineStr"/>
    </row>
    <row r="18" ht="18" customHeight="1">
      <c r="A18" s="30" t="inlineStr">
        <is>
          <t>TRANSPORT</t>
        </is>
      </c>
      <c r="B18" s="30" t="inlineStr">
        <is>
          <t>Fuel</t>
        </is>
      </c>
      <c r="C18" s="46" t="n">
        <v>0</v>
      </c>
      <c r="D18" s="46" t="n">
        <v>0</v>
      </c>
      <c r="E18" s="17">
        <f>IFERROR(C18-D18,0)</f>
        <v/>
      </c>
      <c r="F18" s="47">
        <f>IFERROR(D18/C18,0)</f>
        <v/>
      </c>
      <c r="G18" s="30" t="inlineStr"/>
    </row>
    <row r="19" ht="18" customHeight="1">
      <c r="A19" s="28" t="inlineStr">
        <is>
          <t>TRANSPORT</t>
        </is>
      </c>
      <c r="B19" s="28" t="inlineStr">
        <is>
          <t>Car Insurance</t>
        </is>
      </c>
      <c r="C19" s="14" t="n">
        <v>0</v>
      </c>
      <c r="D19" s="14" t="n">
        <v>0</v>
      </c>
      <c r="E19" s="27">
        <f>IFERROR(C19-D19,0)</f>
        <v/>
      </c>
      <c r="F19" s="23">
        <f>IFERROR(D19/C19,0)</f>
        <v/>
      </c>
      <c r="G19" s="28" t="inlineStr"/>
    </row>
    <row r="20" ht="18" customHeight="1">
      <c r="A20" s="30" t="inlineStr">
        <is>
          <t>TRANSPORT</t>
        </is>
      </c>
      <c r="B20" s="30" t="inlineStr">
        <is>
          <t>Parking</t>
        </is>
      </c>
      <c r="C20" s="46" t="n">
        <v>0</v>
      </c>
      <c r="D20" s="46" t="n">
        <v>0</v>
      </c>
      <c r="E20" s="17">
        <f>IFERROR(C20-D20,0)</f>
        <v/>
      </c>
      <c r="F20" s="47">
        <f>IFERROR(D20/C20,0)</f>
        <v/>
      </c>
      <c r="G20" s="30" t="inlineStr"/>
    </row>
    <row r="21" ht="18" customHeight="1">
      <c r="A21" s="28" t="inlineStr">
        <is>
          <t>TRANSPORT</t>
        </is>
      </c>
      <c r="B21" s="28" t="inlineStr">
        <is>
          <t>Public Transport</t>
        </is>
      </c>
      <c r="C21" s="14" t="n">
        <v>0</v>
      </c>
      <c r="D21" s="14" t="n">
        <v>0</v>
      </c>
      <c r="E21" s="27">
        <f>IFERROR(C21-D21,0)</f>
        <v/>
      </c>
      <c r="F21" s="23">
        <f>IFERROR(D21/C21,0)</f>
        <v/>
      </c>
      <c r="G21" s="28" t="inlineStr"/>
    </row>
    <row r="22" ht="20" customHeight="1">
      <c r="A22" s="41" t="inlineStr">
        <is>
          <t>TRANSPORT TOTAL</t>
        </is>
      </c>
      <c r="C22" s="42">
        <f>SUM(C17:C21)</f>
        <v/>
      </c>
      <c r="D22" s="42">
        <f>SUM(D17:D21)</f>
        <v/>
      </c>
      <c r="E22" s="43">
        <f>IFERROR(C22-D22,0)</f>
        <v/>
      </c>
      <c r="F22" s="44">
        <f>IFERROR(D22/C22,0)</f>
        <v/>
      </c>
      <c r="G22" s="45" t="inlineStr"/>
    </row>
    <row r="23" ht="22" customHeight="1">
      <c r="A23" s="25" t="inlineStr">
        <is>
          <t>FOOD &amp; DINING</t>
        </is>
      </c>
    </row>
    <row r="24" ht="18" customHeight="1">
      <c r="A24" s="28" t="inlineStr">
        <is>
          <t>FOOD &amp; DINING</t>
        </is>
      </c>
      <c r="B24" s="28" t="inlineStr">
        <is>
          <t>Groceries</t>
        </is>
      </c>
      <c r="C24" s="14" t="n">
        <v>0</v>
      </c>
      <c r="D24" s="14" t="n">
        <v>0</v>
      </c>
      <c r="E24" s="27">
        <f>IFERROR(C24-D24,0)</f>
        <v/>
      </c>
      <c r="F24" s="23">
        <f>IFERROR(D24/C24,0)</f>
        <v/>
      </c>
      <c r="G24" s="28" t="inlineStr"/>
    </row>
    <row r="25" ht="18" customHeight="1">
      <c r="A25" s="30" t="inlineStr">
        <is>
          <t>FOOD &amp; DINING</t>
        </is>
      </c>
      <c r="B25" s="30" t="inlineStr">
        <is>
          <t>Restaurants</t>
        </is>
      </c>
      <c r="C25" s="46" t="n">
        <v>0</v>
      </c>
      <c r="D25" s="46" t="n">
        <v>0</v>
      </c>
      <c r="E25" s="17">
        <f>IFERROR(C25-D25,0)</f>
        <v/>
      </c>
      <c r="F25" s="47">
        <f>IFERROR(D25/C25,0)</f>
        <v/>
      </c>
      <c r="G25" s="30" t="inlineStr"/>
    </row>
    <row r="26" ht="18" customHeight="1">
      <c r="A26" s="28" t="inlineStr">
        <is>
          <t>FOOD &amp; DINING</t>
        </is>
      </c>
      <c r="B26" s="28" t="inlineStr">
        <is>
          <t>Coffee</t>
        </is>
      </c>
      <c r="C26" s="14" t="n">
        <v>0</v>
      </c>
      <c r="D26" s="14" t="n">
        <v>0</v>
      </c>
      <c r="E26" s="27">
        <f>IFERROR(C26-D26,0)</f>
        <v/>
      </c>
      <c r="F26" s="23">
        <f>IFERROR(D26/C26,0)</f>
        <v/>
      </c>
      <c r="G26" s="28" t="inlineStr"/>
    </row>
    <row r="27" ht="18" customHeight="1">
      <c r="A27" s="30" t="inlineStr">
        <is>
          <t>FOOD &amp; DINING</t>
        </is>
      </c>
      <c r="B27" s="30" t="inlineStr">
        <is>
          <t>Food Delivery</t>
        </is>
      </c>
      <c r="C27" s="46" t="n">
        <v>0</v>
      </c>
      <c r="D27" s="46" t="n">
        <v>0</v>
      </c>
      <c r="E27" s="17">
        <f>IFERROR(C27-D27,0)</f>
        <v/>
      </c>
      <c r="F27" s="47">
        <f>IFERROR(D27/C27,0)</f>
        <v/>
      </c>
      <c r="G27" s="30" t="inlineStr"/>
    </row>
    <row r="28" ht="18" customHeight="1">
      <c r="A28" s="28" t="inlineStr">
        <is>
          <t>FOOD &amp; DINING</t>
        </is>
      </c>
      <c r="B28" s="28" t="inlineStr">
        <is>
          <t>Work Lunch</t>
        </is>
      </c>
      <c r="C28" s="14" t="n">
        <v>0</v>
      </c>
      <c r="D28" s="14" t="n">
        <v>0</v>
      </c>
      <c r="E28" s="27">
        <f>IFERROR(C28-D28,0)</f>
        <v/>
      </c>
      <c r="F28" s="23">
        <f>IFERROR(D28/C28,0)</f>
        <v/>
      </c>
      <c r="G28" s="28" t="inlineStr"/>
    </row>
    <row r="29" ht="20" customHeight="1">
      <c r="A29" s="41" t="inlineStr">
        <is>
          <t>FOOD &amp; DINING TOTAL</t>
        </is>
      </c>
      <c r="C29" s="42">
        <f>SUM(C24:C28)</f>
        <v/>
      </c>
      <c r="D29" s="42">
        <f>SUM(D24:D28)</f>
        <v/>
      </c>
      <c r="E29" s="43">
        <f>IFERROR(C29-D29,0)</f>
        <v/>
      </c>
      <c r="F29" s="44">
        <f>IFERROR(D29/C29,0)</f>
        <v/>
      </c>
      <c r="G29" s="45" t="inlineStr"/>
    </row>
    <row r="30" ht="22" customHeight="1">
      <c r="A30" s="25" t="inlineStr">
        <is>
          <t>HEALTH &amp; WELLNESS</t>
        </is>
      </c>
    </row>
    <row r="31" ht="18" customHeight="1">
      <c r="A31" s="28" t="inlineStr">
        <is>
          <t>HEALTH &amp; WELLNESS</t>
        </is>
      </c>
      <c r="B31" s="28" t="inlineStr">
        <is>
          <t>Health Insurance</t>
        </is>
      </c>
      <c r="C31" s="14" t="n">
        <v>0</v>
      </c>
      <c r="D31" s="14" t="n">
        <v>0</v>
      </c>
      <c r="E31" s="27">
        <f>IFERROR(C31-D31,0)</f>
        <v/>
      </c>
      <c r="F31" s="23">
        <f>IFERROR(D31/C31,0)</f>
        <v/>
      </c>
      <c r="G31" s="28" t="inlineStr"/>
    </row>
    <row r="32" ht="18" customHeight="1">
      <c r="A32" s="30" t="inlineStr">
        <is>
          <t>HEALTH &amp; WELLNESS</t>
        </is>
      </c>
      <c r="B32" s="30" t="inlineStr">
        <is>
          <t>Gym</t>
        </is>
      </c>
      <c r="C32" s="46" t="n">
        <v>0</v>
      </c>
      <c r="D32" s="46" t="n">
        <v>0</v>
      </c>
      <c r="E32" s="17">
        <f>IFERROR(C32-D32,0)</f>
        <v/>
      </c>
      <c r="F32" s="47">
        <f>IFERROR(D32/C32,0)</f>
        <v/>
      </c>
      <c r="G32" s="30" t="inlineStr"/>
    </row>
    <row r="33" ht="18" customHeight="1">
      <c r="A33" s="28" t="inlineStr">
        <is>
          <t>HEALTH &amp; WELLNESS</t>
        </is>
      </c>
      <c r="B33" s="28" t="inlineStr">
        <is>
          <t>Pharmacy</t>
        </is>
      </c>
      <c r="C33" s="14" t="n">
        <v>0</v>
      </c>
      <c r="D33" s="14" t="n">
        <v>0</v>
      </c>
      <c r="E33" s="27">
        <f>IFERROR(C33-D33,0)</f>
        <v/>
      </c>
      <c r="F33" s="23">
        <f>IFERROR(D33/C33,0)</f>
        <v/>
      </c>
      <c r="G33" s="28" t="inlineStr"/>
    </row>
    <row r="34" ht="18" customHeight="1">
      <c r="A34" s="30" t="inlineStr">
        <is>
          <t>HEALTH &amp; WELLNESS</t>
        </is>
      </c>
      <c r="B34" s="30" t="inlineStr">
        <is>
          <t>Doctor</t>
        </is>
      </c>
      <c r="C34" s="46" t="n">
        <v>0</v>
      </c>
      <c r="D34" s="46" t="n">
        <v>0</v>
      </c>
      <c r="E34" s="17">
        <f>IFERROR(C34-D34,0)</f>
        <v/>
      </c>
      <c r="F34" s="47">
        <f>IFERROR(D34/C34,0)</f>
        <v/>
      </c>
      <c r="G34" s="30" t="inlineStr"/>
    </row>
    <row r="35" ht="18" customHeight="1">
      <c r="A35" s="28" t="inlineStr">
        <is>
          <t>HEALTH &amp; WELLNESS</t>
        </is>
      </c>
      <c r="B35" s="28" t="inlineStr">
        <is>
          <t>Dental</t>
        </is>
      </c>
      <c r="C35" s="14" t="n">
        <v>0</v>
      </c>
      <c r="D35" s="14" t="n">
        <v>0</v>
      </c>
      <c r="E35" s="27">
        <f>IFERROR(C35-D35,0)</f>
        <v/>
      </c>
      <c r="F35" s="23">
        <f>IFERROR(D35/C35,0)</f>
        <v/>
      </c>
      <c r="G35" s="28" t="inlineStr"/>
    </row>
    <row r="36" ht="20" customHeight="1">
      <c r="A36" s="41" t="inlineStr">
        <is>
          <t>HEALTH &amp; WELLNESS TOTAL</t>
        </is>
      </c>
      <c r="C36" s="42">
        <f>SUM(C31:C35)</f>
        <v/>
      </c>
      <c r="D36" s="42">
        <f>SUM(D31:D35)</f>
        <v/>
      </c>
      <c r="E36" s="43">
        <f>IFERROR(C36-D36,0)</f>
        <v/>
      </c>
      <c r="F36" s="44">
        <f>IFERROR(D36/C36,0)</f>
        <v/>
      </c>
      <c r="G36" s="45" t="inlineStr"/>
    </row>
    <row r="37" ht="22" customHeight="1">
      <c r="A37" s="25" t="inlineStr">
        <is>
          <t>LIFESTYLE</t>
        </is>
      </c>
    </row>
    <row r="38" ht="18" customHeight="1">
      <c r="A38" s="28" t="inlineStr">
        <is>
          <t>LIFESTYLE</t>
        </is>
      </c>
      <c r="B38" s="28" t="inlineStr">
        <is>
          <t>Streaming Services</t>
        </is>
      </c>
      <c r="C38" s="14" t="n">
        <v>0</v>
      </c>
      <c r="D38" s="14" t="n">
        <v>0</v>
      </c>
      <c r="E38" s="27">
        <f>IFERROR(C38-D38,0)</f>
        <v/>
      </c>
      <c r="F38" s="23">
        <f>IFERROR(D38/C38,0)</f>
        <v/>
      </c>
      <c r="G38" s="28" t="inlineStr"/>
    </row>
    <row r="39" ht="18" customHeight="1">
      <c r="A39" s="30" t="inlineStr">
        <is>
          <t>LIFESTYLE</t>
        </is>
      </c>
      <c r="B39" s="30" t="inlineStr">
        <is>
          <t>Entertainment</t>
        </is>
      </c>
      <c r="C39" s="46" t="n">
        <v>0</v>
      </c>
      <c r="D39" s="46" t="n">
        <v>0</v>
      </c>
      <c r="E39" s="17">
        <f>IFERROR(C39-D39,0)</f>
        <v/>
      </c>
      <c r="F39" s="47">
        <f>IFERROR(D39/C39,0)</f>
        <v/>
      </c>
      <c r="G39" s="30" t="inlineStr"/>
    </row>
    <row r="40" ht="18" customHeight="1">
      <c r="A40" s="28" t="inlineStr">
        <is>
          <t>LIFESTYLE</t>
        </is>
      </c>
      <c r="B40" s="28" t="inlineStr">
        <is>
          <t>Hobbies</t>
        </is>
      </c>
      <c r="C40" s="14" t="n">
        <v>0</v>
      </c>
      <c r="D40" s="14" t="n">
        <v>0</v>
      </c>
      <c r="E40" s="27">
        <f>IFERROR(C40-D40,0)</f>
        <v/>
      </c>
      <c r="F40" s="23">
        <f>IFERROR(D40/C40,0)</f>
        <v/>
      </c>
      <c r="G40" s="28" t="inlineStr"/>
    </row>
    <row r="41" ht="18" customHeight="1">
      <c r="A41" s="30" t="inlineStr">
        <is>
          <t>LIFESTYLE</t>
        </is>
      </c>
      <c r="B41" s="30" t="inlineStr">
        <is>
          <t>Personal Care</t>
        </is>
      </c>
      <c r="C41" s="46" t="n">
        <v>0</v>
      </c>
      <c r="D41" s="46" t="n">
        <v>0</v>
      </c>
      <c r="E41" s="17">
        <f>IFERROR(C41-D41,0)</f>
        <v/>
      </c>
      <c r="F41" s="47">
        <f>IFERROR(D41/C41,0)</f>
        <v/>
      </c>
      <c r="G41" s="30" t="inlineStr"/>
    </row>
    <row r="42" ht="18" customHeight="1">
      <c r="A42" s="28" t="inlineStr">
        <is>
          <t>LIFESTYLE</t>
        </is>
      </c>
      <c r="B42" s="28" t="inlineStr">
        <is>
          <t>Books</t>
        </is>
      </c>
      <c r="C42" s="14" t="n">
        <v>0</v>
      </c>
      <c r="D42" s="14" t="n">
        <v>0</v>
      </c>
      <c r="E42" s="27">
        <f>IFERROR(C42-D42,0)</f>
        <v/>
      </c>
      <c r="F42" s="23">
        <f>IFERROR(D42/C42,0)</f>
        <v/>
      </c>
      <c r="G42" s="28" t="inlineStr"/>
    </row>
    <row r="43" ht="20" customHeight="1">
      <c r="A43" s="41" t="inlineStr">
        <is>
          <t>LIFESTYLE TOTAL</t>
        </is>
      </c>
      <c r="C43" s="42">
        <f>SUM(C38:C42)</f>
        <v/>
      </c>
      <c r="D43" s="42">
        <f>SUM(D38:D42)</f>
        <v/>
      </c>
      <c r="E43" s="43">
        <f>IFERROR(C43-D43,0)</f>
        <v/>
      </c>
      <c r="F43" s="44">
        <f>IFERROR(D43/C43,0)</f>
        <v/>
      </c>
      <c r="G43" s="45" t="inlineStr"/>
    </row>
    <row r="44" ht="22" customHeight="1">
      <c r="A44" s="25" t="inlineStr">
        <is>
          <t>PERSONAL</t>
        </is>
      </c>
    </row>
    <row r="45" ht="18" customHeight="1">
      <c r="A45" s="28" t="inlineStr">
        <is>
          <t>PERSONAL</t>
        </is>
      </c>
      <c r="B45" s="28" t="inlineStr">
        <is>
          <t>Clothing</t>
        </is>
      </c>
      <c r="C45" s="14" t="n">
        <v>0</v>
      </c>
      <c r="D45" s="14" t="n">
        <v>0</v>
      </c>
      <c r="E45" s="27">
        <f>IFERROR(C45-D45,0)</f>
        <v/>
      </c>
      <c r="F45" s="23">
        <f>IFERROR(D45/C45,0)</f>
        <v/>
      </c>
      <c r="G45" s="28" t="inlineStr"/>
    </row>
    <row r="46" ht="18" customHeight="1">
      <c r="A46" s="30" t="inlineStr">
        <is>
          <t>PERSONAL</t>
        </is>
      </c>
      <c r="B46" s="30" t="inlineStr">
        <is>
          <t>Gifts</t>
        </is>
      </c>
      <c r="C46" s="46" t="n">
        <v>0</v>
      </c>
      <c r="D46" s="46" t="n">
        <v>0</v>
      </c>
      <c r="E46" s="17">
        <f>IFERROR(C46-D46,0)</f>
        <v/>
      </c>
      <c r="F46" s="47">
        <f>IFERROR(D46/C46,0)</f>
        <v/>
      </c>
      <c r="G46" s="30" t="inlineStr"/>
    </row>
    <row r="47" ht="18" customHeight="1">
      <c r="A47" s="28" t="inlineStr">
        <is>
          <t>PERSONAL</t>
        </is>
      </c>
      <c r="B47" s="28" t="inlineStr">
        <is>
          <t>Education</t>
        </is>
      </c>
      <c r="C47" s="14" t="n">
        <v>0</v>
      </c>
      <c r="D47" s="14" t="n">
        <v>0</v>
      </c>
      <c r="E47" s="27">
        <f>IFERROR(C47-D47,0)</f>
        <v/>
      </c>
      <c r="F47" s="23">
        <f>IFERROR(D47/C47,0)</f>
        <v/>
      </c>
      <c r="G47" s="28" t="inlineStr"/>
    </row>
    <row r="48" ht="18" customHeight="1">
      <c r="A48" s="30" t="inlineStr">
        <is>
          <t>PERSONAL</t>
        </is>
      </c>
      <c r="B48" s="30" t="inlineStr">
        <is>
          <t>Pet Care</t>
        </is>
      </c>
      <c r="C48" s="46" t="n">
        <v>0</v>
      </c>
      <c r="D48" s="46" t="n">
        <v>0</v>
      </c>
      <c r="E48" s="17">
        <f>IFERROR(C48-D48,0)</f>
        <v/>
      </c>
      <c r="F48" s="47">
        <f>IFERROR(D48/C48,0)</f>
        <v/>
      </c>
      <c r="G48" s="30" t="inlineStr"/>
    </row>
    <row r="49" ht="18" customHeight="1">
      <c r="A49" s="28" t="inlineStr">
        <is>
          <t>PERSONAL</t>
        </is>
      </c>
      <c r="B49" s="28" t="inlineStr">
        <is>
          <t>Miscellaneous</t>
        </is>
      </c>
      <c r="C49" s="14" t="n">
        <v>0</v>
      </c>
      <c r="D49" s="14" t="n">
        <v>0</v>
      </c>
      <c r="E49" s="27">
        <f>IFERROR(C49-D49,0)</f>
        <v/>
      </c>
      <c r="F49" s="23">
        <f>IFERROR(D49/C49,0)</f>
        <v/>
      </c>
      <c r="G49" s="28" t="inlineStr"/>
    </row>
    <row r="50" ht="20" customHeight="1">
      <c r="A50" s="41" t="inlineStr">
        <is>
          <t>PERSONAL TOTAL</t>
        </is>
      </c>
      <c r="C50" s="42">
        <f>SUM(C45:C49)</f>
        <v/>
      </c>
      <c r="D50" s="42">
        <f>SUM(D45:D49)</f>
        <v/>
      </c>
      <c r="E50" s="43">
        <f>IFERROR(C50-D50,0)</f>
        <v/>
      </c>
      <c r="F50" s="44">
        <f>IFERROR(D50/C50,0)</f>
        <v/>
      </c>
      <c r="G50" s="45" t="inlineStr"/>
    </row>
    <row r="51" ht="22" customHeight="1">
      <c r="A51" s="25" t="inlineStr">
        <is>
          <t>SAVINGS &amp; INVESTMENTS</t>
        </is>
      </c>
    </row>
    <row r="52" ht="18" customHeight="1">
      <c r="A52" s="28" t="inlineStr">
        <is>
          <t>SAVINGS &amp; INVESTMENTS</t>
        </is>
      </c>
      <c r="B52" s="28" t="inlineStr">
        <is>
          <t>Emergency Fund</t>
        </is>
      </c>
      <c r="C52" s="14" t="n">
        <v>0</v>
      </c>
      <c r="D52" s="14" t="n">
        <v>0</v>
      </c>
      <c r="E52" s="27">
        <f>IFERROR(C52-D52,0)</f>
        <v/>
      </c>
      <c r="F52" s="23">
        <f>IFERROR(D52/C52,0)</f>
        <v/>
      </c>
      <c r="G52" s="28" t="inlineStr"/>
    </row>
    <row r="53" ht="18" customHeight="1">
      <c r="A53" s="30" t="inlineStr">
        <is>
          <t>SAVINGS &amp; INVESTMENTS</t>
        </is>
      </c>
      <c r="B53" s="30" t="inlineStr">
        <is>
          <t>Pension/IRA</t>
        </is>
      </c>
      <c r="C53" s="46" t="n">
        <v>0</v>
      </c>
      <c r="D53" s="46" t="n">
        <v>0</v>
      </c>
      <c r="E53" s="17">
        <f>IFERROR(C53-D53,0)</f>
        <v/>
      </c>
      <c r="F53" s="47">
        <f>IFERROR(D53/C53,0)</f>
        <v/>
      </c>
      <c r="G53" s="30" t="inlineStr"/>
    </row>
    <row r="54" ht="18" customHeight="1">
      <c r="A54" s="28" t="inlineStr">
        <is>
          <t>SAVINGS &amp; INVESTMENTS</t>
        </is>
      </c>
      <c r="B54" s="28" t="inlineStr">
        <is>
          <t>Stocks</t>
        </is>
      </c>
      <c r="C54" s="14" t="n">
        <v>0</v>
      </c>
      <c r="D54" s="14" t="n">
        <v>0</v>
      </c>
      <c r="E54" s="27">
        <f>IFERROR(C54-D54,0)</f>
        <v/>
      </c>
      <c r="F54" s="23">
        <f>IFERROR(D54/C54,0)</f>
        <v/>
      </c>
      <c r="G54" s="28" t="inlineStr"/>
    </row>
    <row r="55" ht="18" customHeight="1">
      <c r="A55" s="30" t="inlineStr">
        <is>
          <t>SAVINGS &amp; INVESTMENTS</t>
        </is>
      </c>
      <c r="B55" s="30" t="inlineStr">
        <is>
          <t>Vacation Fund</t>
        </is>
      </c>
      <c r="C55" s="46" t="n">
        <v>0</v>
      </c>
      <c r="D55" s="46" t="n">
        <v>0</v>
      </c>
      <c r="E55" s="17">
        <f>IFERROR(C55-D55,0)</f>
        <v/>
      </c>
      <c r="F55" s="47">
        <f>IFERROR(D55/C55,0)</f>
        <v/>
      </c>
      <c r="G55" s="30" t="inlineStr"/>
    </row>
    <row r="56" ht="18" customHeight="1">
      <c r="A56" s="28" t="inlineStr">
        <is>
          <t>SAVINGS &amp; INVESTMENTS</t>
        </is>
      </c>
      <c r="B56" s="28" t="inlineStr">
        <is>
          <t>Other Savings</t>
        </is>
      </c>
      <c r="C56" s="14" t="n">
        <v>0</v>
      </c>
      <c r="D56" s="14" t="n">
        <v>0</v>
      </c>
      <c r="E56" s="27">
        <f>IFERROR(C56-D56,0)</f>
        <v/>
      </c>
      <c r="F56" s="23">
        <f>IFERROR(D56/C56,0)</f>
        <v/>
      </c>
      <c r="G56" s="28" t="inlineStr"/>
    </row>
    <row r="57" ht="20" customHeight="1">
      <c r="A57" s="41" t="inlineStr">
        <is>
          <t>SAVINGS &amp; INVESTMENTS TOTAL</t>
        </is>
      </c>
      <c r="C57" s="42">
        <f>SUM(C52:C56)</f>
        <v/>
      </c>
      <c r="D57" s="42">
        <f>SUM(D52:D56)</f>
        <v/>
      </c>
      <c r="E57" s="43">
        <f>IFERROR(C57-D57,0)</f>
        <v/>
      </c>
      <c r="F57" s="44">
        <f>IFERROR(D57/C57,0)</f>
        <v/>
      </c>
      <c r="G57" s="45" t="inlineStr"/>
    </row>
    <row r="58" ht="22" customHeight="1">
      <c r="A58" s="25" t="inlineStr">
        <is>
          <t>DEBT PAYMENTS</t>
        </is>
      </c>
    </row>
    <row r="59" ht="18" customHeight="1">
      <c r="A59" s="28" t="inlineStr">
        <is>
          <t>DEBT PAYMENTS</t>
        </is>
      </c>
      <c r="B59" s="28" t="inlineStr">
        <is>
          <t>Credit Card 1</t>
        </is>
      </c>
      <c r="C59" s="14" t="n">
        <v>0</v>
      </c>
      <c r="D59" s="14" t="n">
        <v>0</v>
      </c>
      <c r="E59" s="27">
        <f>IFERROR(C59-D59,0)</f>
        <v/>
      </c>
      <c r="F59" s="23">
        <f>IFERROR(D59/C59,0)</f>
        <v/>
      </c>
      <c r="G59" s="28" t="inlineStr"/>
    </row>
    <row r="60" ht="18" customHeight="1">
      <c r="A60" s="30" t="inlineStr">
        <is>
          <t>DEBT PAYMENTS</t>
        </is>
      </c>
      <c r="B60" s="30" t="inlineStr">
        <is>
          <t>Credit Card 2</t>
        </is>
      </c>
      <c r="C60" s="46" t="n">
        <v>0</v>
      </c>
      <c r="D60" s="46" t="n">
        <v>0</v>
      </c>
      <c r="E60" s="17">
        <f>IFERROR(C60-D60,0)</f>
        <v/>
      </c>
      <c r="F60" s="47">
        <f>IFERROR(D60/C60,0)</f>
        <v/>
      </c>
      <c r="G60" s="30" t="inlineStr"/>
    </row>
    <row r="61" ht="18" customHeight="1">
      <c r="A61" s="28" t="inlineStr">
        <is>
          <t>DEBT PAYMENTS</t>
        </is>
      </c>
      <c r="B61" s="28" t="inlineStr">
        <is>
          <t>Student Loan</t>
        </is>
      </c>
      <c r="C61" s="14" t="n">
        <v>0</v>
      </c>
      <c r="D61" s="14" t="n">
        <v>0</v>
      </c>
      <c r="E61" s="27">
        <f>IFERROR(C61-D61,0)</f>
        <v/>
      </c>
      <c r="F61" s="23">
        <f>IFERROR(D61/C61,0)</f>
        <v/>
      </c>
      <c r="G61" s="28" t="inlineStr"/>
    </row>
    <row r="62" ht="18" customHeight="1">
      <c r="A62" s="30" t="inlineStr">
        <is>
          <t>DEBT PAYMENTS</t>
        </is>
      </c>
      <c r="B62" s="30" t="inlineStr">
        <is>
          <t>Car Loan</t>
        </is>
      </c>
      <c r="C62" s="46" t="n">
        <v>0</v>
      </c>
      <c r="D62" s="46" t="n">
        <v>0</v>
      </c>
      <c r="E62" s="17">
        <f>IFERROR(C62-D62,0)</f>
        <v/>
      </c>
      <c r="F62" s="47">
        <f>IFERROR(D62/C62,0)</f>
        <v/>
      </c>
      <c r="G62" s="30" t="inlineStr"/>
    </row>
    <row r="63" ht="18" customHeight="1">
      <c r="A63" s="28" t="inlineStr">
        <is>
          <t>DEBT PAYMENTS</t>
        </is>
      </c>
      <c r="B63" s="28" t="inlineStr">
        <is>
          <t>Other</t>
        </is>
      </c>
      <c r="C63" s="14" t="n">
        <v>0</v>
      </c>
      <c r="D63" s="14" t="n">
        <v>0</v>
      </c>
      <c r="E63" s="27">
        <f>IFERROR(C63-D63,0)</f>
        <v/>
      </c>
      <c r="F63" s="23">
        <f>IFERROR(D63/C63,0)</f>
        <v/>
      </c>
      <c r="G63" s="28" t="inlineStr"/>
    </row>
    <row r="64" ht="20" customHeight="1">
      <c r="A64" s="41" t="inlineStr">
        <is>
          <t>DEBT PAYMENTS TOTAL</t>
        </is>
      </c>
      <c r="C64" s="42">
        <f>SUM(C59:C63)</f>
        <v/>
      </c>
      <c r="D64" s="42">
        <f>SUM(D59:D63)</f>
        <v/>
      </c>
      <c r="E64" s="43">
        <f>IFERROR(C64-D64,0)</f>
        <v/>
      </c>
      <c r="F64" s="44">
        <f>IFERROR(D64/C64,0)</f>
        <v/>
      </c>
      <c r="G64" s="45" t="inlineStr"/>
    </row>
    <row r="65" ht="24" customHeight="1">
      <c r="A65" s="9" t="inlineStr">
        <is>
          <t>GRAND TOTAL EXPENSES</t>
        </is>
      </c>
      <c r="C65" s="48">
        <f>C15+C22+C29+C36+C43+C50+C57+C64</f>
        <v/>
      </c>
      <c r="D65" s="48">
        <f>D15+D22+D29+D36+D43+D50+D57+D64</f>
        <v/>
      </c>
      <c r="E65" s="49">
        <f>IFERROR(C65-D65,0)</f>
        <v/>
      </c>
      <c r="F65" s="50" t="inlineStr"/>
      <c r="G65" s="50" t="inlineStr"/>
    </row>
    <row r="66" ht="24" customHeight="1">
      <c r="A66" s="8" t="inlineStr">
        <is>
          <t>NET CASH FLOW</t>
        </is>
      </c>
      <c r="C66" s="51">
        <f>IFERROR(C8-C65,0)</f>
        <v/>
      </c>
      <c r="D66" s="51">
        <f>IFERROR(D8-D65,0)</f>
        <v/>
      </c>
      <c r="E66" s="52" t="inlineStr"/>
      <c r="F66" s="52" t="inlineStr"/>
      <c r="G66" s="52" t="inlineStr"/>
    </row>
    <row r="67" ht="22" customHeight="1">
      <c r="A67" s="53" t="inlineStr">
        <is>
          <t>BUDGET VS ACTUAL — CATEGORY OVERVIEW</t>
        </is>
      </c>
    </row>
    <row r="68" ht="18" customHeight="1">
      <c r="A68" s="12" t="inlineStr">
        <is>
          <t>HOUSING</t>
        </is>
      </c>
      <c r="B68" s="27">
        <f>C15</f>
        <v/>
      </c>
      <c r="C68" s="27">
        <f>D15</f>
        <v/>
      </c>
    </row>
    <row r="69" ht="18" customHeight="1">
      <c r="A69" s="15" t="inlineStr">
        <is>
          <t>TRANSPORT</t>
        </is>
      </c>
      <c r="B69" s="17">
        <f>C22</f>
        <v/>
      </c>
      <c r="C69" s="17">
        <f>D22</f>
        <v/>
      </c>
    </row>
    <row r="70" ht="18" customHeight="1">
      <c r="A70" s="12" t="inlineStr">
        <is>
          <t>FOOD &amp; DINING</t>
        </is>
      </c>
      <c r="B70" s="27">
        <f>C29</f>
        <v/>
      </c>
      <c r="C70" s="27">
        <f>D29</f>
        <v/>
      </c>
    </row>
    <row r="71" ht="18" customHeight="1">
      <c r="A71" s="15" t="inlineStr">
        <is>
          <t>HEALTH &amp; WELLNESS</t>
        </is>
      </c>
      <c r="B71" s="17">
        <f>C36</f>
        <v/>
      </c>
      <c r="C71" s="17">
        <f>D36</f>
        <v/>
      </c>
    </row>
    <row r="72" ht="18" customHeight="1">
      <c r="A72" s="12" t="inlineStr">
        <is>
          <t>LIFESTYLE</t>
        </is>
      </c>
      <c r="B72" s="27">
        <f>C43</f>
        <v/>
      </c>
      <c r="C72" s="27">
        <f>D43</f>
        <v/>
      </c>
    </row>
    <row r="73" ht="18" customHeight="1">
      <c r="A73" s="15" t="inlineStr">
        <is>
          <t>PERSONAL</t>
        </is>
      </c>
      <c r="B73" s="17">
        <f>C50</f>
        <v/>
      </c>
      <c r="C73" s="17">
        <f>D50</f>
        <v/>
      </c>
    </row>
    <row r="74" ht="18" customHeight="1">
      <c r="A74" s="12" t="inlineStr">
        <is>
          <t>SAVINGS &amp; INVESTMENTS</t>
        </is>
      </c>
      <c r="B74" s="27">
        <f>C57</f>
        <v/>
      </c>
      <c r="C74" s="27">
        <f>D57</f>
        <v/>
      </c>
    </row>
    <row r="75" ht="18" customHeight="1">
      <c r="A75" s="15" t="inlineStr">
        <is>
          <t>DEBT PAYMENTS</t>
        </is>
      </c>
      <c r="B75" s="17">
        <f>C64</f>
        <v/>
      </c>
      <c r="C75" s="17">
        <f>D64</f>
        <v/>
      </c>
    </row>
  </sheetData>
  <mergeCells count="23">
    <mergeCell ref="A15:B15"/>
    <mergeCell ref="A64:B64"/>
    <mergeCell ref="A4:G4"/>
    <mergeCell ref="A36:B36"/>
    <mergeCell ref="A44:G44"/>
    <mergeCell ref="A58:G58"/>
    <mergeCell ref="A67:D67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5C8A52"/>
    <outlinePr summaryBelow="1" summaryRight="1"/>
    <pageSetUpPr/>
  </sheetPr>
  <dimension ref="A1:G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20" customWidth="1" min="7" max="7"/>
  </cols>
  <sheetData>
    <row r="1" ht="48" customHeight="1">
      <c r="A1" s="1" t="inlineStr">
        <is>
          <t>FEBRUARY · MONTHLY BUDGET</t>
        </is>
      </c>
    </row>
    <row r="2" ht="20" customHeight="1">
      <c r="A2" s="2" t="inlineStr">
        <is>
          <t>Track your income and expenses for February</t>
        </is>
      </c>
    </row>
    <row r="3" ht="20" customHeight="1">
      <c r="A3" s="26" t="inlineStr">
        <is>
          <t>CATEGORY</t>
        </is>
      </c>
      <c r="B3" s="26" t="inlineStr">
        <is>
          <t>SUBCATEGORY</t>
        </is>
      </c>
      <c r="C3" s="26" t="inlineStr">
        <is>
          <t>BUDGETED</t>
        </is>
      </c>
      <c r="D3" s="26" t="inlineStr">
        <is>
          <t>ACTUAL</t>
        </is>
      </c>
      <c r="E3" s="26" t="inlineStr">
        <is>
          <t>DIFFERENCE</t>
        </is>
      </c>
      <c r="F3" s="26" t="inlineStr">
        <is>
          <t>% USED</t>
        </is>
      </c>
      <c r="G3" s="26" t="inlineStr">
        <is>
          <t>NOTES</t>
        </is>
      </c>
    </row>
    <row r="4" ht="22" customHeight="1">
      <c r="A4" s="9" t="inlineStr">
        <is>
          <t>INCOME</t>
        </is>
      </c>
    </row>
    <row r="5" ht="18" customHeight="1">
      <c r="A5" s="28" t="inlineStr">
        <is>
          <t>INCOME</t>
        </is>
      </c>
      <c r="B5" s="28" t="inlineStr">
        <is>
          <t>Primary Income</t>
        </is>
      </c>
      <c r="C5" s="14" t="n">
        <v>0</v>
      </c>
      <c r="D5" s="14" t="n">
        <v>0</v>
      </c>
      <c r="E5" s="27">
        <f>IFERROR(C5-D5,0)</f>
        <v/>
      </c>
      <c r="F5" s="23">
        <f>IFERROR(D5/C5,0)</f>
        <v/>
      </c>
      <c r="G5" s="28" t="inlineStr"/>
    </row>
    <row r="6" ht="18" customHeight="1">
      <c r="A6" s="31" t="inlineStr">
        <is>
          <t>INCOME</t>
        </is>
      </c>
      <c r="B6" s="31" t="inlineStr">
        <is>
          <t>Side Income</t>
        </is>
      </c>
      <c r="C6" s="20" t="n">
        <v>0</v>
      </c>
      <c r="D6" s="20" t="n">
        <v>0</v>
      </c>
      <c r="E6" s="39">
        <f>IFERROR(C6-D6,0)</f>
        <v/>
      </c>
      <c r="F6" s="40">
        <f>IFERROR(D6/C6,0)</f>
        <v/>
      </c>
      <c r="G6" s="31" t="inlineStr"/>
    </row>
    <row r="7" ht="18" customHeight="1">
      <c r="A7" s="28" t="inlineStr">
        <is>
          <t>INCOME</t>
        </is>
      </c>
      <c r="B7" s="28" t="inlineStr">
        <is>
          <t>Other Income</t>
        </is>
      </c>
      <c r="C7" s="14" t="n">
        <v>0</v>
      </c>
      <c r="D7" s="14" t="n">
        <v>0</v>
      </c>
      <c r="E7" s="27">
        <f>IFERROR(C7-D7,0)</f>
        <v/>
      </c>
      <c r="F7" s="23">
        <f>IFERROR(D7/C7,0)</f>
        <v/>
      </c>
      <c r="G7" s="28" t="inlineStr"/>
    </row>
    <row r="8" ht="20" customHeight="1">
      <c r="A8" s="41" t="inlineStr">
        <is>
          <t>TOTAL INCOME</t>
        </is>
      </c>
      <c r="C8" s="42">
        <f>SUM(C5:C7)</f>
        <v/>
      </c>
      <c r="D8" s="42">
        <f>SUM(D5:D7)</f>
        <v/>
      </c>
      <c r="E8" s="43">
        <f>IFERROR(C8-D8,0)</f>
        <v/>
      </c>
      <c r="F8" s="44">
        <f>IFERROR(D8/C8,0)</f>
        <v/>
      </c>
      <c r="G8" s="45" t="inlineStr"/>
    </row>
    <row r="9" ht="22" customHeight="1">
      <c r="A9" s="25" t="inlineStr">
        <is>
          <t>HOUSING</t>
        </is>
      </c>
    </row>
    <row r="10" ht="18" customHeight="1">
      <c r="A10" s="28" t="inlineStr">
        <is>
          <t>HOUSING</t>
        </is>
      </c>
      <c r="B10" s="28" t="inlineStr">
        <is>
          <t>Rent/Mortgage</t>
        </is>
      </c>
      <c r="C10" s="14" t="n">
        <v>0</v>
      </c>
      <c r="D10" s="14" t="n">
        <v>0</v>
      </c>
      <c r="E10" s="27">
        <f>IFERROR(C10-D10,0)</f>
        <v/>
      </c>
      <c r="F10" s="23">
        <f>IFERROR(D10/C10,0)</f>
        <v/>
      </c>
      <c r="G10" s="28" t="inlineStr"/>
    </row>
    <row r="11" ht="18" customHeight="1">
      <c r="A11" s="30" t="inlineStr">
        <is>
          <t>HOUSING</t>
        </is>
      </c>
      <c r="B11" s="30" t="inlineStr">
        <is>
          <t>Utilities</t>
        </is>
      </c>
      <c r="C11" s="46" t="n">
        <v>0</v>
      </c>
      <c r="D11" s="46" t="n">
        <v>0</v>
      </c>
      <c r="E11" s="17">
        <f>IFERROR(C11-D11,0)</f>
        <v/>
      </c>
      <c r="F11" s="47">
        <f>IFERROR(D11/C11,0)</f>
        <v/>
      </c>
      <c r="G11" s="30" t="inlineStr"/>
    </row>
    <row r="12" ht="18" customHeight="1">
      <c r="A12" s="28" t="inlineStr">
        <is>
          <t>HOUSING</t>
        </is>
      </c>
      <c r="B12" s="28" t="inlineStr">
        <is>
          <t>Electricity</t>
        </is>
      </c>
      <c r="C12" s="14" t="n">
        <v>0</v>
      </c>
      <c r="D12" s="14" t="n">
        <v>0</v>
      </c>
      <c r="E12" s="27">
        <f>IFERROR(C12-D12,0)</f>
        <v/>
      </c>
      <c r="F12" s="23">
        <f>IFERROR(D12/C12,0)</f>
        <v/>
      </c>
      <c r="G12" s="28" t="inlineStr"/>
    </row>
    <row r="13" ht="18" customHeight="1">
      <c r="A13" s="30" t="inlineStr">
        <is>
          <t>HOUSING</t>
        </is>
      </c>
      <c r="B13" s="30" t="inlineStr">
        <is>
          <t>Internet</t>
        </is>
      </c>
      <c r="C13" s="46" t="n">
        <v>0</v>
      </c>
      <c r="D13" s="46" t="n">
        <v>0</v>
      </c>
      <c r="E13" s="17">
        <f>IFERROR(C13-D13,0)</f>
        <v/>
      </c>
      <c r="F13" s="47">
        <f>IFERROR(D13/C13,0)</f>
        <v/>
      </c>
      <c r="G13" s="30" t="inlineStr"/>
    </row>
    <row r="14" ht="18" customHeight="1">
      <c r="A14" s="28" t="inlineStr">
        <is>
          <t>HOUSING</t>
        </is>
      </c>
      <c r="B14" s="28" t="inlineStr">
        <is>
          <t>Home Insurance</t>
        </is>
      </c>
      <c r="C14" s="14" t="n">
        <v>0</v>
      </c>
      <c r="D14" s="14" t="n">
        <v>0</v>
      </c>
      <c r="E14" s="27">
        <f>IFERROR(C14-D14,0)</f>
        <v/>
      </c>
      <c r="F14" s="23">
        <f>IFERROR(D14/C14,0)</f>
        <v/>
      </c>
      <c r="G14" s="28" t="inlineStr"/>
    </row>
    <row r="15" ht="20" customHeight="1">
      <c r="A15" s="41" t="inlineStr">
        <is>
          <t>HOUSING TOTAL</t>
        </is>
      </c>
      <c r="C15" s="42">
        <f>SUM(C10:C14)</f>
        <v/>
      </c>
      <c r="D15" s="42">
        <f>SUM(D10:D14)</f>
        <v/>
      </c>
      <c r="E15" s="43">
        <f>IFERROR(C15-D15,0)</f>
        <v/>
      </c>
      <c r="F15" s="44">
        <f>IFERROR(D15/C15,0)</f>
        <v/>
      </c>
      <c r="G15" s="45" t="inlineStr"/>
    </row>
    <row r="16" ht="22" customHeight="1">
      <c r="A16" s="25" t="inlineStr">
        <is>
          <t>TRANSPORT</t>
        </is>
      </c>
    </row>
    <row r="17" ht="18" customHeight="1">
      <c r="A17" s="28" t="inlineStr">
        <is>
          <t>TRANSPORT</t>
        </is>
      </c>
      <c r="B17" s="28" t="inlineStr">
        <is>
          <t>Car Payment</t>
        </is>
      </c>
      <c r="C17" s="14" t="n">
        <v>0</v>
      </c>
      <c r="D17" s="14" t="n">
        <v>0</v>
      </c>
      <c r="E17" s="27">
        <f>IFERROR(C17-D17,0)</f>
        <v/>
      </c>
      <c r="F17" s="23">
        <f>IFERROR(D17/C17,0)</f>
        <v/>
      </c>
      <c r="G17" s="28" t="inlineStr"/>
    </row>
    <row r="18" ht="18" customHeight="1">
      <c r="A18" s="30" t="inlineStr">
        <is>
          <t>TRANSPORT</t>
        </is>
      </c>
      <c r="B18" s="30" t="inlineStr">
        <is>
          <t>Fuel</t>
        </is>
      </c>
      <c r="C18" s="46" t="n">
        <v>0</v>
      </c>
      <c r="D18" s="46" t="n">
        <v>0</v>
      </c>
      <c r="E18" s="17">
        <f>IFERROR(C18-D18,0)</f>
        <v/>
      </c>
      <c r="F18" s="47">
        <f>IFERROR(D18/C18,0)</f>
        <v/>
      </c>
      <c r="G18" s="30" t="inlineStr"/>
    </row>
    <row r="19" ht="18" customHeight="1">
      <c r="A19" s="28" t="inlineStr">
        <is>
          <t>TRANSPORT</t>
        </is>
      </c>
      <c r="B19" s="28" t="inlineStr">
        <is>
          <t>Car Insurance</t>
        </is>
      </c>
      <c r="C19" s="14" t="n">
        <v>0</v>
      </c>
      <c r="D19" s="14" t="n">
        <v>0</v>
      </c>
      <c r="E19" s="27">
        <f>IFERROR(C19-D19,0)</f>
        <v/>
      </c>
      <c r="F19" s="23">
        <f>IFERROR(D19/C19,0)</f>
        <v/>
      </c>
      <c r="G19" s="28" t="inlineStr"/>
    </row>
    <row r="20" ht="18" customHeight="1">
      <c r="A20" s="30" t="inlineStr">
        <is>
          <t>TRANSPORT</t>
        </is>
      </c>
      <c r="B20" s="30" t="inlineStr">
        <is>
          <t>Parking</t>
        </is>
      </c>
      <c r="C20" s="46" t="n">
        <v>0</v>
      </c>
      <c r="D20" s="46" t="n">
        <v>0</v>
      </c>
      <c r="E20" s="17">
        <f>IFERROR(C20-D20,0)</f>
        <v/>
      </c>
      <c r="F20" s="47">
        <f>IFERROR(D20/C20,0)</f>
        <v/>
      </c>
      <c r="G20" s="30" t="inlineStr"/>
    </row>
    <row r="21" ht="18" customHeight="1">
      <c r="A21" s="28" t="inlineStr">
        <is>
          <t>TRANSPORT</t>
        </is>
      </c>
      <c r="B21" s="28" t="inlineStr">
        <is>
          <t>Public Transport</t>
        </is>
      </c>
      <c r="C21" s="14" t="n">
        <v>0</v>
      </c>
      <c r="D21" s="14" t="n">
        <v>0</v>
      </c>
      <c r="E21" s="27">
        <f>IFERROR(C21-D21,0)</f>
        <v/>
      </c>
      <c r="F21" s="23">
        <f>IFERROR(D21/C21,0)</f>
        <v/>
      </c>
      <c r="G21" s="28" t="inlineStr"/>
    </row>
    <row r="22" ht="20" customHeight="1">
      <c r="A22" s="41" t="inlineStr">
        <is>
          <t>TRANSPORT TOTAL</t>
        </is>
      </c>
      <c r="C22" s="42">
        <f>SUM(C17:C21)</f>
        <v/>
      </c>
      <c r="D22" s="42">
        <f>SUM(D17:D21)</f>
        <v/>
      </c>
      <c r="E22" s="43">
        <f>IFERROR(C22-D22,0)</f>
        <v/>
      </c>
      <c r="F22" s="44">
        <f>IFERROR(D22/C22,0)</f>
        <v/>
      </c>
      <c r="G22" s="45" t="inlineStr"/>
    </row>
    <row r="23" ht="22" customHeight="1">
      <c r="A23" s="25" t="inlineStr">
        <is>
          <t>FOOD &amp; DINING</t>
        </is>
      </c>
    </row>
    <row r="24" ht="18" customHeight="1">
      <c r="A24" s="28" t="inlineStr">
        <is>
          <t>FOOD &amp; DINING</t>
        </is>
      </c>
      <c r="B24" s="28" t="inlineStr">
        <is>
          <t>Groceries</t>
        </is>
      </c>
      <c r="C24" s="14" t="n">
        <v>0</v>
      </c>
      <c r="D24" s="14" t="n">
        <v>0</v>
      </c>
      <c r="E24" s="27">
        <f>IFERROR(C24-D24,0)</f>
        <v/>
      </c>
      <c r="F24" s="23">
        <f>IFERROR(D24/C24,0)</f>
        <v/>
      </c>
      <c r="G24" s="28" t="inlineStr"/>
    </row>
    <row r="25" ht="18" customHeight="1">
      <c r="A25" s="30" t="inlineStr">
        <is>
          <t>FOOD &amp; DINING</t>
        </is>
      </c>
      <c r="B25" s="30" t="inlineStr">
        <is>
          <t>Restaurants</t>
        </is>
      </c>
      <c r="C25" s="46" t="n">
        <v>0</v>
      </c>
      <c r="D25" s="46" t="n">
        <v>0</v>
      </c>
      <c r="E25" s="17">
        <f>IFERROR(C25-D25,0)</f>
        <v/>
      </c>
      <c r="F25" s="47">
        <f>IFERROR(D25/C25,0)</f>
        <v/>
      </c>
      <c r="G25" s="30" t="inlineStr"/>
    </row>
    <row r="26" ht="18" customHeight="1">
      <c r="A26" s="28" t="inlineStr">
        <is>
          <t>FOOD &amp; DINING</t>
        </is>
      </c>
      <c r="B26" s="28" t="inlineStr">
        <is>
          <t>Coffee</t>
        </is>
      </c>
      <c r="C26" s="14" t="n">
        <v>0</v>
      </c>
      <c r="D26" s="14" t="n">
        <v>0</v>
      </c>
      <c r="E26" s="27">
        <f>IFERROR(C26-D26,0)</f>
        <v/>
      </c>
      <c r="F26" s="23">
        <f>IFERROR(D26/C26,0)</f>
        <v/>
      </c>
      <c r="G26" s="28" t="inlineStr"/>
    </row>
    <row r="27" ht="18" customHeight="1">
      <c r="A27" s="30" t="inlineStr">
        <is>
          <t>FOOD &amp; DINING</t>
        </is>
      </c>
      <c r="B27" s="30" t="inlineStr">
        <is>
          <t>Food Delivery</t>
        </is>
      </c>
      <c r="C27" s="46" t="n">
        <v>0</v>
      </c>
      <c r="D27" s="46" t="n">
        <v>0</v>
      </c>
      <c r="E27" s="17">
        <f>IFERROR(C27-D27,0)</f>
        <v/>
      </c>
      <c r="F27" s="47">
        <f>IFERROR(D27/C27,0)</f>
        <v/>
      </c>
      <c r="G27" s="30" t="inlineStr"/>
    </row>
    <row r="28" ht="18" customHeight="1">
      <c r="A28" s="28" t="inlineStr">
        <is>
          <t>FOOD &amp; DINING</t>
        </is>
      </c>
      <c r="B28" s="28" t="inlineStr">
        <is>
          <t>Work Lunch</t>
        </is>
      </c>
      <c r="C28" s="14" t="n">
        <v>0</v>
      </c>
      <c r="D28" s="14" t="n">
        <v>0</v>
      </c>
      <c r="E28" s="27">
        <f>IFERROR(C28-D28,0)</f>
        <v/>
      </c>
      <c r="F28" s="23">
        <f>IFERROR(D28/C28,0)</f>
        <v/>
      </c>
      <c r="G28" s="28" t="inlineStr"/>
    </row>
    <row r="29" ht="20" customHeight="1">
      <c r="A29" s="41" t="inlineStr">
        <is>
          <t>FOOD &amp; DINING TOTAL</t>
        </is>
      </c>
      <c r="C29" s="42">
        <f>SUM(C24:C28)</f>
        <v/>
      </c>
      <c r="D29" s="42">
        <f>SUM(D24:D28)</f>
        <v/>
      </c>
      <c r="E29" s="43">
        <f>IFERROR(C29-D29,0)</f>
        <v/>
      </c>
      <c r="F29" s="44">
        <f>IFERROR(D29/C29,0)</f>
        <v/>
      </c>
      <c r="G29" s="45" t="inlineStr"/>
    </row>
    <row r="30" ht="22" customHeight="1">
      <c r="A30" s="25" t="inlineStr">
        <is>
          <t>HEALTH &amp; WELLNESS</t>
        </is>
      </c>
    </row>
    <row r="31" ht="18" customHeight="1">
      <c r="A31" s="28" t="inlineStr">
        <is>
          <t>HEALTH &amp; WELLNESS</t>
        </is>
      </c>
      <c r="B31" s="28" t="inlineStr">
        <is>
          <t>Health Insurance</t>
        </is>
      </c>
      <c r="C31" s="14" t="n">
        <v>0</v>
      </c>
      <c r="D31" s="14" t="n">
        <v>0</v>
      </c>
      <c r="E31" s="27">
        <f>IFERROR(C31-D31,0)</f>
        <v/>
      </c>
      <c r="F31" s="23">
        <f>IFERROR(D31/C31,0)</f>
        <v/>
      </c>
      <c r="G31" s="28" t="inlineStr"/>
    </row>
    <row r="32" ht="18" customHeight="1">
      <c r="A32" s="30" t="inlineStr">
        <is>
          <t>HEALTH &amp; WELLNESS</t>
        </is>
      </c>
      <c r="B32" s="30" t="inlineStr">
        <is>
          <t>Gym</t>
        </is>
      </c>
      <c r="C32" s="46" t="n">
        <v>0</v>
      </c>
      <c r="D32" s="46" t="n">
        <v>0</v>
      </c>
      <c r="E32" s="17">
        <f>IFERROR(C32-D32,0)</f>
        <v/>
      </c>
      <c r="F32" s="47">
        <f>IFERROR(D32/C32,0)</f>
        <v/>
      </c>
      <c r="G32" s="30" t="inlineStr"/>
    </row>
    <row r="33" ht="18" customHeight="1">
      <c r="A33" s="28" t="inlineStr">
        <is>
          <t>HEALTH &amp; WELLNESS</t>
        </is>
      </c>
      <c r="B33" s="28" t="inlineStr">
        <is>
          <t>Pharmacy</t>
        </is>
      </c>
      <c r="C33" s="14" t="n">
        <v>0</v>
      </c>
      <c r="D33" s="14" t="n">
        <v>0</v>
      </c>
      <c r="E33" s="27">
        <f>IFERROR(C33-D33,0)</f>
        <v/>
      </c>
      <c r="F33" s="23">
        <f>IFERROR(D33/C33,0)</f>
        <v/>
      </c>
      <c r="G33" s="28" t="inlineStr"/>
    </row>
    <row r="34" ht="18" customHeight="1">
      <c r="A34" s="30" t="inlineStr">
        <is>
          <t>HEALTH &amp; WELLNESS</t>
        </is>
      </c>
      <c r="B34" s="30" t="inlineStr">
        <is>
          <t>Doctor</t>
        </is>
      </c>
      <c r="C34" s="46" t="n">
        <v>0</v>
      </c>
      <c r="D34" s="46" t="n">
        <v>0</v>
      </c>
      <c r="E34" s="17">
        <f>IFERROR(C34-D34,0)</f>
        <v/>
      </c>
      <c r="F34" s="47">
        <f>IFERROR(D34/C34,0)</f>
        <v/>
      </c>
      <c r="G34" s="30" t="inlineStr"/>
    </row>
    <row r="35" ht="18" customHeight="1">
      <c r="A35" s="28" t="inlineStr">
        <is>
          <t>HEALTH &amp; WELLNESS</t>
        </is>
      </c>
      <c r="B35" s="28" t="inlineStr">
        <is>
          <t>Dental</t>
        </is>
      </c>
      <c r="C35" s="14" t="n">
        <v>0</v>
      </c>
      <c r="D35" s="14" t="n">
        <v>0</v>
      </c>
      <c r="E35" s="27">
        <f>IFERROR(C35-D35,0)</f>
        <v/>
      </c>
      <c r="F35" s="23">
        <f>IFERROR(D35/C35,0)</f>
        <v/>
      </c>
      <c r="G35" s="28" t="inlineStr"/>
    </row>
    <row r="36" ht="20" customHeight="1">
      <c r="A36" s="41" t="inlineStr">
        <is>
          <t>HEALTH &amp; WELLNESS TOTAL</t>
        </is>
      </c>
      <c r="C36" s="42">
        <f>SUM(C31:C35)</f>
        <v/>
      </c>
      <c r="D36" s="42">
        <f>SUM(D31:D35)</f>
        <v/>
      </c>
      <c r="E36" s="43">
        <f>IFERROR(C36-D36,0)</f>
        <v/>
      </c>
      <c r="F36" s="44">
        <f>IFERROR(D36/C36,0)</f>
        <v/>
      </c>
      <c r="G36" s="45" t="inlineStr"/>
    </row>
    <row r="37" ht="22" customHeight="1">
      <c r="A37" s="25" t="inlineStr">
        <is>
          <t>LIFESTYLE</t>
        </is>
      </c>
    </row>
    <row r="38" ht="18" customHeight="1">
      <c r="A38" s="28" t="inlineStr">
        <is>
          <t>LIFESTYLE</t>
        </is>
      </c>
      <c r="B38" s="28" t="inlineStr">
        <is>
          <t>Streaming Services</t>
        </is>
      </c>
      <c r="C38" s="14" t="n">
        <v>0</v>
      </c>
      <c r="D38" s="14" t="n">
        <v>0</v>
      </c>
      <c r="E38" s="27">
        <f>IFERROR(C38-D38,0)</f>
        <v/>
      </c>
      <c r="F38" s="23">
        <f>IFERROR(D38/C38,0)</f>
        <v/>
      </c>
      <c r="G38" s="28" t="inlineStr"/>
    </row>
    <row r="39" ht="18" customHeight="1">
      <c r="A39" s="30" t="inlineStr">
        <is>
          <t>LIFESTYLE</t>
        </is>
      </c>
      <c r="B39" s="30" t="inlineStr">
        <is>
          <t>Entertainment</t>
        </is>
      </c>
      <c r="C39" s="46" t="n">
        <v>0</v>
      </c>
      <c r="D39" s="46" t="n">
        <v>0</v>
      </c>
      <c r="E39" s="17">
        <f>IFERROR(C39-D39,0)</f>
        <v/>
      </c>
      <c r="F39" s="47">
        <f>IFERROR(D39/C39,0)</f>
        <v/>
      </c>
      <c r="G39" s="30" t="inlineStr"/>
    </row>
    <row r="40" ht="18" customHeight="1">
      <c r="A40" s="28" t="inlineStr">
        <is>
          <t>LIFESTYLE</t>
        </is>
      </c>
      <c r="B40" s="28" t="inlineStr">
        <is>
          <t>Hobbies</t>
        </is>
      </c>
      <c r="C40" s="14" t="n">
        <v>0</v>
      </c>
      <c r="D40" s="14" t="n">
        <v>0</v>
      </c>
      <c r="E40" s="27">
        <f>IFERROR(C40-D40,0)</f>
        <v/>
      </c>
      <c r="F40" s="23">
        <f>IFERROR(D40/C40,0)</f>
        <v/>
      </c>
      <c r="G40" s="28" t="inlineStr"/>
    </row>
    <row r="41" ht="18" customHeight="1">
      <c r="A41" s="30" t="inlineStr">
        <is>
          <t>LIFESTYLE</t>
        </is>
      </c>
      <c r="B41" s="30" t="inlineStr">
        <is>
          <t>Personal Care</t>
        </is>
      </c>
      <c r="C41" s="46" t="n">
        <v>0</v>
      </c>
      <c r="D41" s="46" t="n">
        <v>0</v>
      </c>
      <c r="E41" s="17">
        <f>IFERROR(C41-D41,0)</f>
        <v/>
      </c>
      <c r="F41" s="47">
        <f>IFERROR(D41/C41,0)</f>
        <v/>
      </c>
      <c r="G41" s="30" t="inlineStr"/>
    </row>
    <row r="42" ht="18" customHeight="1">
      <c r="A42" s="28" t="inlineStr">
        <is>
          <t>LIFESTYLE</t>
        </is>
      </c>
      <c r="B42" s="28" t="inlineStr">
        <is>
          <t>Books</t>
        </is>
      </c>
      <c r="C42" s="14" t="n">
        <v>0</v>
      </c>
      <c r="D42" s="14" t="n">
        <v>0</v>
      </c>
      <c r="E42" s="27">
        <f>IFERROR(C42-D42,0)</f>
        <v/>
      </c>
      <c r="F42" s="23">
        <f>IFERROR(D42/C42,0)</f>
        <v/>
      </c>
      <c r="G42" s="28" t="inlineStr"/>
    </row>
    <row r="43" ht="20" customHeight="1">
      <c r="A43" s="41" t="inlineStr">
        <is>
          <t>LIFESTYLE TOTAL</t>
        </is>
      </c>
      <c r="C43" s="42">
        <f>SUM(C38:C42)</f>
        <v/>
      </c>
      <c r="D43" s="42">
        <f>SUM(D38:D42)</f>
        <v/>
      </c>
      <c r="E43" s="43">
        <f>IFERROR(C43-D43,0)</f>
        <v/>
      </c>
      <c r="F43" s="44">
        <f>IFERROR(D43/C43,0)</f>
        <v/>
      </c>
      <c r="G43" s="45" t="inlineStr"/>
    </row>
    <row r="44" ht="22" customHeight="1">
      <c r="A44" s="25" t="inlineStr">
        <is>
          <t>PERSONAL</t>
        </is>
      </c>
    </row>
    <row r="45" ht="18" customHeight="1">
      <c r="A45" s="28" t="inlineStr">
        <is>
          <t>PERSONAL</t>
        </is>
      </c>
      <c r="B45" s="28" t="inlineStr">
        <is>
          <t>Clothing</t>
        </is>
      </c>
      <c r="C45" s="14" t="n">
        <v>0</v>
      </c>
      <c r="D45" s="14" t="n">
        <v>0</v>
      </c>
      <c r="E45" s="27">
        <f>IFERROR(C45-D45,0)</f>
        <v/>
      </c>
      <c r="F45" s="23">
        <f>IFERROR(D45/C45,0)</f>
        <v/>
      </c>
      <c r="G45" s="28" t="inlineStr"/>
    </row>
    <row r="46" ht="18" customHeight="1">
      <c r="A46" s="30" t="inlineStr">
        <is>
          <t>PERSONAL</t>
        </is>
      </c>
      <c r="B46" s="30" t="inlineStr">
        <is>
          <t>Gifts</t>
        </is>
      </c>
      <c r="C46" s="46" t="n">
        <v>0</v>
      </c>
      <c r="D46" s="46" t="n">
        <v>0</v>
      </c>
      <c r="E46" s="17">
        <f>IFERROR(C46-D46,0)</f>
        <v/>
      </c>
      <c r="F46" s="47">
        <f>IFERROR(D46/C46,0)</f>
        <v/>
      </c>
      <c r="G46" s="30" t="inlineStr"/>
    </row>
    <row r="47" ht="18" customHeight="1">
      <c r="A47" s="28" t="inlineStr">
        <is>
          <t>PERSONAL</t>
        </is>
      </c>
      <c r="B47" s="28" t="inlineStr">
        <is>
          <t>Education</t>
        </is>
      </c>
      <c r="C47" s="14" t="n">
        <v>0</v>
      </c>
      <c r="D47" s="14" t="n">
        <v>0</v>
      </c>
      <c r="E47" s="27">
        <f>IFERROR(C47-D47,0)</f>
        <v/>
      </c>
      <c r="F47" s="23">
        <f>IFERROR(D47/C47,0)</f>
        <v/>
      </c>
      <c r="G47" s="28" t="inlineStr"/>
    </row>
    <row r="48" ht="18" customHeight="1">
      <c r="A48" s="30" t="inlineStr">
        <is>
          <t>PERSONAL</t>
        </is>
      </c>
      <c r="B48" s="30" t="inlineStr">
        <is>
          <t>Pet Care</t>
        </is>
      </c>
      <c r="C48" s="46" t="n">
        <v>0</v>
      </c>
      <c r="D48" s="46" t="n">
        <v>0</v>
      </c>
      <c r="E48" s="17">
        <f>IFERROR(C48-D48,0)</f>
        <v/>
      </c>
      <c r="F48" s="47">
        <f>IFERROR(D48/C48,0)</f>
        <v/>
      </c>
      <c r="G48" s="30" t="inlineStr"/>
    </row>
    <row r="49" ht="18" customHeight="1">
      <c r="A49" s="28" t="inlineStr">
        <is>
          <t>PERSONAL</t>
        </is>
      </c>
      <c r="B49" s="28" t="inlineStr">
        <is>
          <t>Miscellaneous</t>
        </is>
      </c>
      <c r="C49" s="14" t="n">
        <v>0</v>
      </c>
      <c r="D49" s="14" t="n">
        <v>0</v>
      </c>
      <c r="E49" s="27">
        <f>IFERROR(C49-D49,0)</f>
        <v/>
      </c>
      <c r="F49" s="23">
        <f>IFERROR(D49/C49,0)</f>
        <v/>
      </c>
      <c r="G49" s="28" t="inlineStr"/>
    </row>
    <row r="50" ht="20" customHeight="1">
      <c r="A50" s="41" t="inlineStr">
        <is>
          <t>PERSONAL TOTAL</t>
        </is>
      </c>
      <c r="C50" s="42">
        <f>SUM(C45:C49)</f>
        <v/>
      </c>
      <c r="D50" s="42">
        <f>SUM(D45:D49)</f>
        <v/>
      </c>
      <c r="E50" s="43">
        <f>IFERROR(C50-D50,0)</f>
        <v/>
      </c>
      <c r="F50" s="44">
        <f>IFERROR(D50/C50,0)</f>
        <v/>
      </c>
      <c r="G50" s="45" t="inlineStr"/>
    </row>
    <row r="51" ht="22" customHeight="1">
      <c r="A51" s="25" t="inlineStr">
        <is>
          <t>SAVINGS &amp; INVESTMENTS</t>
        </is>
      </c>
    </row>
    <row r="52" ht="18" customHeight="1">
      <c r="A52" s="28" t="inlineStr">
        <is>
          <t>SAVINGS &amp; INVESTMENTS</t>
        </is>
      </c>
      <c r="B52" s="28" t="inlineStr">
        <is>
          <t>Emergency Fund</t>
        </is>
      </c>
      <c r="C52" s="14" t="n">
        <v>0</v>
      </c>
      <c r="D52" s="14" t="n">
        <v>0</v>
      </c>
      <c r="E52" s="27">
        <f>IFERROR(C52-D52,0)</f>
        <v/>
      </c>
      <c r="F52" s="23">
        <f>IFERROR(D52/C52,0)</f>
        <v/>
      </c>
      <c r="G52" s="28" t="inlineStr"/>
    </row>
    <row r="53" ht="18" customHeight="1">
      <c r="A53" s="30" t="inlineStr">
        <is>
          <t>SAVINGS &amp; INVESTMENTS</t>
        </is>
      </c>
      <c r="B53" s="30" t="inlineStr">
        <is>
          <t>Pension/IRA</t>
        </is>
      </c>
      <c r="C53" s="46" t="n">
        <v>0</v>
      </c>
      <c r="D53" s="46" t="n">
        <v>0</v>
      </c>
      <c r="E53" s="17">
        <f>IFERROR(C53-D53,0)</f>
        <v/>
      </c>
      <c r="F53" s="47">
        <f>IFERROR(D53/C53,0)</f>
        <v/>
      </c>
      <c r="G53" s="30" t="inlineStr"/>
    </row>
    <row r="54" ht="18" customHeight="1">
      <c r="A54" s="28" t="inlineStr">
        <is>
          <t>SAVINGS &amp; INVESTMENTS</t>
        </is>
      </c>
      <c r="B54" s="28" t="inlineStr">
        <is>
          <t>Stocks</t>
        </is>
      </c>
      <c r="C54" s="14" t="n">
        <v>0</v>
      </c>
      <c r="D54" s="14" t="n">
        <v>0</v>
      </c>
      <c r="E54" s="27">
        <f>IFERROR(C54-D54,0)</f>
        <v/>
      </c>
      <c r="F54" s="23">
        <f>IFERROR(D54/C54,0)</f>
        <v/>
      </c>
      <c r="G54" s="28" t="inlineStr"/>
    </row>
    <row r="55" ht="18" customHeight="1">
      <c r="A55" s="30" t="inlineStr">
        <is>
          <t>SAVINGS &amp; INVESTMENTS</t>
        </is>
      </c>
      <c r="B55" s="30" t="inlineStr">
        <is>
          <t>Vacation Fund</t>
        </is>
      </c>
      <c r="C55" s="46" t="n">
        <v>0</v>
      </c>
      <c r="D55" s="46" t="n">
        <v>0</v>
      </c>
      <c r="E55" s="17">
        <f>IFERROR(C55-D55,0)</f>
        <v/>
      </c>
      <c r="F55" s="47">
        <f>IFERROR(D55/C55,0)</f>
        <v/>
      </c>
      <c r="G55" s="30" t="inlineStr"/>
    </row>
    <row r="56" ht="18" customHeight="1">
      <c r="A56" s="28" t="inlineStr">
        <is>
          <t>SAVINGS &amp; INVESTMENTS</t>
        </is>
      </c>
      <c r="B56" s="28" t="inlineStr">
        <is>
          <t>Other Savings</t>
        </is>
      </c>
      <c r="C56" s="14" t="n">
        <v>0</v>
      </c>
      <c r="D56" s="14" t="n">
        <v>0</v>
      </c>
      <c r="E56" s="27">
        <f>IFERROR(C56-D56,0)</f>
        <v/>
      </c>
      <c r="F56" s="23">
        <f>IFERROR(D56/C56,0)</f>
        <v/>
      </c>
      <c r="G56" s="28" t="inlineStr"/>
    </row>
    <row r="57" ht="20" customHeight="1">
      <c r="A57" s="41" t="inlineStr">
        <is>
          <t>SAVINGS &amp; INVESTMENTS TOTAL</t>
        </is>
      </c>
      <c r="C57" s="42">
        <f>SUM(C52:C56)</f>
        <v/>
      </c>
      <c r="D57" s="42">
        <f>SUM(D52:D56)</f>
        <v/>
      </c>
      <c r="E57" s="43">
        <f>IFERROR(C57-D57,0)</f>
        <v/>
      </c>
      <c r="F57" s="44">
        <f>IFERROR(D57/C57,0)</f>
        <v/>
      </c>
      <c r="G57" s="45" t="inlineStr"/>
    </row>
    <row r="58" ht="22" customHeight="1">
      <c r="A58" s="25" t="inlineStr">
        <is>
          <t>DEBT PAYMENTS</t>
        </is>
      </c>
    </row>
    <row r="59" ht="18" customHeight="1">
      <c r="A59" s="28" t="inlineStr">
        <is>
          <t>DEBT PAYMENTS</t>
        </is>
      </c>
      <c r="B59" s="28" t="inlineStr">
        <is>
          <t>Credit Card 1</t>
        </is>
      </c>
      <c r="C59" s="14" t="n">
        <v>0</v>
      </c>
      <c r="D59" s="14" t="n">
        <v>0</v>
      </c>
      <c r="E59" s="27">
        <f>IFERROR(C59-D59,0)</f>
        <v/>
      </c>
      <c r="F59" s="23">
        <f>IFERROR(D59/C59,0)</f>
        <v/>
      </c>
      <c r="G59" s="28" t="inlineStr"/>
    </row>
    <row r="60" ht="18" customHeight="1">
      <c r="A60" s="30" t="inlineStr">
        <is>
          <t>DEBT PAYMENTS</t>
        </is>
      </c>
      <c r="B60" s="30" t="inlineStr">
        <is>
          <t>Credit Card 2</t>
        </is>
      </c>
      <c r="C60" s="46" t="n">
        <v>0</v>
      </c>
      <c r="D60" s="46" t="n">
        <v>0</v>
      </c>
      <c r="E60" s="17">
        <f>IFERROR(C60-D60,0)</f>
        <v/>
      </c>
      <c r="F60" s="47">
        <f>IFERROR(D60/C60,0)</f>
        <v/>
      </c>
      <c r="G60" s="30" t="inlineStr"/>
    </row>
    <row r="61" ht="18" customHeight="1">
      <c r="A61" s="28" t="inlineStr">
        <is>
          <t>DEBT PAYMENTS</t>
        </is>
      </c>
      <c r="B61" s="28" t="inlineStr">
        <is>
          <t>Student Loan</t>
        </is>
      </c>
      <c r="C61" s="14" t="n">
        <v>0</v>
      </c>
      <c r="D61" s="14" t="n">
        <v>0</v>
      </c>
      <c r="E61" s="27">
        <f>IFERROR(C61-D61,0)</f>
        <v/>
      </c>
      <c r="F61" s="23">
        <f>IFERROR(D61/C61,0)</f>
        <v/>
      </c>
      <c r="G61" s="28" t="inlineStr"/>
    </row>
    <row r="62" ht="18" customHeight="1">
      <c r="A62" s="30" t="inlineStr">
        <is>
          <t>DEBT PAYMENTS</t>
        </is>
      </c>
      <c r="B62" s="30" t="inlineStr">
        <is>
          <t>Car Loan</t>
        </is>
      </c>
      <c r="C62" s="46" t="n">
        <v>0</v>
      </c>
      <c r="D62" s="46" t="n">
        <v>0</v>
      </c>
      <c r="E62" s="17">
        <f>IFERROR(C62-D62,0)</f>
        <v/>
      </c>
      <c r="F62" s="47">
        <f>IFERROR(D62/C62,0)</f>
        <v/>
      </c>
      <c r="G62" s="30" t="inlineStr"/>
    </row>
    <row r="63" ht="18" customHeight="1">
      <c r="A63" s="28" t="inlineStr">
        <is>
          <t>DEBT PAYMENTS</t>
        </is>
      </c>
      <c r="B63" s="28" t="inlineStr">
        <is>
          <t>Other</t>
        </is>
      </c>
      <c r="C63" s="14" t="n">
        <v>0</v>
      </c>
      <c r="D63" s="14" t="n">
        <v>0</v>
      </c>
      <c r="E63" s="27">
        <f>IFERROR(C63-D63,0)</f>
        <v/>
      </c>
      <c r="F63" s="23">
        <f>IFERROR(D63/C63,0)</f>
        <v/>
      </c>
      <c r="G63" s="28" t="inlineStr"/>
    </row>
    <row r="64" ht="20" customHeight="1">
      <c r="A64" s="41" t="inlineStr">
        <is>
          <t>DEBT PAYMENTS TOTAL</t>
        </is>
      </c>
      <c r="C64" s="42">
        <f>SUM(C59:C63)</f>
        <v/>
      </c>
      <c r="D64" s="42">
        <f>SUM(D59:D63)</f>
        <v/>
      </c>
      <c r="E64" s="43">
        <f>IFERROR(C64-D64,0)</f>
        <v/>
      </c>
      <c r="F64" s="44">
        <f>IFERROR(D64/C64,0)</f>
        <v/>
      </c>
      <c r="G64" s="45" t="inlineStr"/>
    </row>
    <row r="65" ht="24" customHeight="1">
      <c r="A65" s="9" t="inlineStr">
        <is>
          <t>GRAND TOTAL EXPENSES</t>
        </is>
      </c>
      <c r="C65" s="48">
        <f>C15+C22+C29+C36+C43+C50+C57+C64</f>
        <v/>
      </c>
      <c r="D65" s="48">
        <f>D15+D22+D29+D36+D43+D50+D57+D64</f>
        <v/>
      </c>
      <c r="E65" s="49">
        <f>IFERROR(C65-D65,0)</f>
        <v/>
      </c>
      <c r="F65" s="50" t="inlineStr"/>
      <c r="G65" s="50" t="inlineStr"/>
    </row>
    <row r="66" ht="24" customHeight="1">
      <c r="A66" s="8" t="inlineStr">
        <is>
          <t>NET CASH FLOW</t>
        </is>
      </c>
      <c r="C66" s="51">
        <f>IFERROR(C8-C65,0)</f>
        <v/>
      </c>
      <c r="D66" s="51">
        <f>IFERROR(D8-D65,0)</f>
        <v/>
      </c>
      <c r="E66" s="52" t="inlineStr"/>
      <c r="F66" s="52" t="inlineStr"/>
      <c r="G66" s="52" t="inlineStr"/>
    </row>
    <row r="67" ht="22" customHeight="1">
      <c r="A67" s="53" t="inlineStr">
        <is>
          <t>BUDGET VS ACTUAL — CATEGORY OVERVIEW</t>
        </is>
      </c>
    </row>
    <row r="68" ht="18" customHeight="1">
      <c r="A68" s="12" t="inlineStr">
        <is>
          <t>HOUSING</t>
        </is>
      </c>
      <c r="B68" s="27">
        <f>C15</f>
        <v/>
      </c>
      <c r="C68" s="27">
        <f>D15</f>
        <v/>
      </c>
    </row>
    <row r="69" ht="18" customHeight="1">
      <c r="A69" s="15" t="inlineStr">
        <is>
          <t>TRANSPORT</t>
        </is>
      </c>
      <c r="B69" s="17">
        <f>C22</f>
        <v/>
      </c>
      <c r="C69" s="17">
        <f>D22</f>
        <v/>
      </c>
    </row>
    <row r="70" ht="18" customHeight="1">
      <c r="A70" s="12" t="inlineStr">
        <is>
          <t>FOOD &amp; DINING</t>
        </is>
      </c>
      <c r="B70" s="27">
        <f>C29</f>
        <v/>
      </c>
      <c r="C70" s="27">
        <f>D29</f>
        <v/>
      </c>
    </row>
    <row r="71" ht="18" customHeight="1">
      <c r="A71" s="15" t="inlineStr">
        <is>
          <t>HEALTH &amp; WELLNESS</t>
        </is>
      </c>
      <c r="B71" s="17">
        <f>C36</f>
        <v/>
      </c>
      <c r="C71" s="17">
        <f>D36</f>
        <v/>
      </c>
    </row>
    <row r="72" ht="18" customHeight="1">
      <c r="A72" s="12" t="inlineStr">
        <is>
          <t>LIFESTYLE</t>
        </is>
      </c>
      <c r="B72" s="27">
        <f>C43</f>
        <v/>
      </c>
      <c r="C72" s="27">
        <f>D43</f>
        <v/>
      </c>
    </row>
    <row r="73" ht="18" customHeight="1">
      <c r="A73" s="15" t="inlineStr">
        <is>
          <t>PERSONAL</t>
        </is>
      </c>
      <c r="B73" s="17">
        <f>C50</f>
        <v/>
      </c>
      <c r="C73" s="17">
        <f>D50</f>
        <v/>
      </c>
    </row>
    <row r="74" ht="18" customHeight="1">
      <c r="A74" s="12" t="inlineStr">
        <is>
          <t>SAVINGS &amp; INVESTMENTS</t>
        </is>
      </c>
      <c r="B74" s="27">
        <f>C57</f>
        <v/>
      </c>
      <c r="C74" s="27">
        <f>D57</f>
        <v/>
      </c>
    </row>
    <row r="75" ht="18" customHeight="1">
      <c r="A75" s="15" t="inlineStr">
        <is>
          <t>DEBT PAYMENTS</t>
        </is>
      </c>
      <c r="B75" s="17">
        <f>C64</f>
        <v/>
      </c>
      <c r="C75" s="17">
        <f>D64</f>
        <v/>
      </c>
    </row>
  </sheetData>
  <mergeCells count="23">
    <mergeCell ref="A15:B15"/>
    <mergeCell ref="A64:B64"/>
    <mergeCell ref="A4:G4"/>
    <mergeCell ref="A36:B36"/>
    <mergeCell ref="A44:G44"/>
    <mergeCell ref="A58:G58"/>
    <mergeCell ref="A67:D67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5C8A52"/>
    <outlinePr summaryBelow="1" summaryRight="1"/>
    <pageSetUpPr/>
  </sheetPr>
  <dimension ref="A1:G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20" customWidth="1" min="7" max="7"/>
  </cols>
  <sheetData>
    <row r="1" ht="48" customHeight="1">
      <c r="A1" s="1" t="inlineStr">
        <is>
          <t>MARCH · MONTHLY BUDGET</t>
        </is>
      </c>
    </row>
    <row r="2" ht="20" customHeight="1">
      <c r="A2" s="2" t="inlineStr">
        <is>
          <t>Track your income and expenses for March</t>
        </is>
      </c>
    </row>
    <row r="3" ht="20" customHeight="1">
      <c r="A3" s="26" t="inlineStr">
        <is>
          <t>CATEGORY</t>
        </is>
      </c>
      <c r="B3" s="26" t="inlineStr">
        <is>
          <t>SUBCATEGORY</t>
        </is>
      </c>
      <c r="C3" s="26" t="inlineStr">
        <is>
          <t>BUDGETED</t>
        </is>
      </c>
      <c r="D3" s="26" t="inlineStr">
        <is>
          <t>ACTUAL</t>
        </is>
      </c>
      <c r="E3" s="26" t="inlineStr">
        <is>
          <t>DIFFERENCE</t>
        </is>
      </c>
      <c r="F3" s="26" t="inlineStr">
        <is>
          <t>% USED</t>
        </is>
      </c>
      <c r="G3" s="26" t="inlineStr">
        <is>
          <t>NOTES</t>
        </is>
      </c>
    </row>
    <row r="4" ht="22" customHeight="1">
      <c r="A4" s="9" t="inlineStr">
        <is>
          <t>INCOME</t>
        </is>
      </c>
    </row>
    <row r="5" ht="18" customHeight="1">
      <c r="A5" s="28" t="inlineStr">
        <is>
          <t>INCOME</t>
        </is>
      </c>
      <c r="B5" s="28" t="inlineStr">
        <is>
          <t>Primary Income</t>
        </is>
      </c>
      <c r="C5" s="14" t="n">
        <v>0</v>
      </c>
      <c r="D5" s="14" t="n">
        <v>0</v>
      </c>
      <c r="E5" s="27">
        <f>IFERROR(C5-D5,0)</f>
        <v/>
      </c>
      <c r="F5" s="23">
        <f>IFERROR(D5/C5,0)</f>
        <v/>
      </c>
      <c r="G5" s="28" t="inlineStr"/>
    </row>
    <row r="6" ht="18" customHeight="1">
      <c r="A6" s="31" t="inlineStr">
        <is>
          <t>INCOME</t>
        </is>
      </c>
      <c r="B6" s="31" t="inlineStr">
        <is>
          <t>Side Income</t>
        </is>
      </c>
      <c r="C6" s="20" t="n">
        <v>0</v>
      </c>
      <c r="D6" s="20" t="n">
        <v>0</v>
      </c>
      <c r="E6" s="39">
        <f>IFERROR(C6-D6,0)</f>
        <v/>
      </c>
      <c r="F6" s="40">
        <f>IFERROR(D6/C6,0)</f>
        <v/>
      </c>
      <c r="G6" s="31" t="inlineStr"/>
    </row>
    <row r="7" ht="18" customHeight="1">
      <c r="A7" s="28" t="inlineStr">
        <is>
          <t>INCOME</t>
        </is>
      </c>
      <c r="B7" s="28" t="inlineStr">
        <is>
          <t>Other Income</t>
        </is>
      </c>
      <c r="C7" s="14" t="n">
        <v>0</v>
      </c>
      <c r="D7" s="14" t="n">
        <v>0</v>
      </c>
      <c r="E7" s="27">
        <f>IFERROR(C7-D7,0)</f>
        <v/>
      </c>
      <c r="F7" s="23">
        <f>IFERROR(D7/C7,0)</f>
        <v/>
      </c>
      <c r="G7" s="28" t="inlineStr"/>
    </row>
    <row r="8" ht="20" customHeight="1">
      <c r="A8" s="41" t="inlineStr">
        <is>
          <t>TOTAL INCOME</t>
        </is>
      </c>
      <c r="C8" s="42">
        <f>SUM(C5:C7)</f>
        <v/>
      </c>
      <c r="D8" s="42">
        <f>SUM(D5:D7)</f>
        <v/>
      </c>
      <c r="E8" s="43">
        <f>IFERROR(C8-D8,0)</f>
        <v/>
      </c>
      <c r="F8" s="44">
        <f>IFERROR(D8/C8,0)</f>
        <v/>
      </c>
      <c r="G8" s="45" t="inlineStr"/>
    </row>
    <row r="9" ht="22" customHeight="1">
      <c r="A9" s="25" t="inlineStr">
        <is>
          <t>HOUSING</t>
        </is>
      </c>
    </row>
    <row r="10" ht="18" customHeight="1">
      <c r="A10" s="28" t="inlineStr">
        <is>
          <t>HOUSING</t>
        </is>
      </c>
      <c r="B10" s="28" t="inlineStr">
        <is>
          <t>Rent/Mortgage</t>
        </is>
      </c>
      <c r="C10" s="14" t="n">
        <v>0</v>
      </c>
      <c r="D10" s="14" t="n">
        <v>0</v>
      </c>
      <c r="E10" s="27">
        <f>IFERROR(C10-D10,0)</f>
        <v/>
      </c>
      <c r="F10" s="23">
        <f>IFERROR(D10/C10,0)</f>
        <v/>
      </c>
      <c r="G10" s="28" t="inlineStr"/>
    </row>
    <row r="11" ht="18" customHeight="1">
      <c r="A11" s="30" t="inlineStr">
        <is>
          <t>HOUSING</t>
        </is>
      </c>
      <c r="B11" s="30" t="inlineStr">
        <is>
          <t>Utilities</t>
        </is>
      </c>
      <c r="C11" s="46" t="n">
        <v>0</v>
      </c>
      <c r="D11" s="46" t="n">
        <v>0</v>
      </c>
      <c r="E11" s="17">
        <f>IFERROR(C11-D11,0)</f>
        <v/>
      </c>
      <c r="F11" s="47">
        <f>IFERROR(D11/C11,0)</f>
        <v/>
      </c>
      <c r="G11" s="30" t="inlineStr"/>
    </row>
    <row r="12" ht="18" customHeight="1">
      <c r="A12" s="28" t="inlineStr">
        <is>
          <t>HOUSING</t>
        </is>
      </c>
      <c r="B12" s="28" t="inlineStr">
        <is>
          <t>Electricity</t>
        </is>
      </c>
      <c r="C12" s="14" t="n">
        <v>0</v>
      </c>
      <c r="D12" s="14" t="n">
        <v>0</v>
      </c>
      <c r="E12" s="27">
        <f>IFERROR(C12-D12,0)</f>
        <v/>
      </c>
      <c r="F12" s="23">
        <f>IFERROR(D12/C12,0)</f>
        <v/>
      </c>
      <c r="G12" s="28" t="inlineStr"/>
    </row>
    <row r="13" ht="18" customHeight="1">
      <c r="A13" s="30" t="inlineStr">
        <is>
          <t>HOUSING</t>
        </is>
      </c>
      <c r="B13" s="30" t="inlineStr">
        <is>
          <t>Internet</t>
        </is>
      </c>
      <c r="C13" s="46" t="n">
        <v>0</v>
      </c>
      <c r="D13" s="46" t="n">
        <v>0</v>
      </c>
      <c r="E13" s="17">
        <f>IFERROR(C13-D13,0)</f>
        <v/>
      </c>
      <c r="F13" s="47">
        <f>IFERROR(D13/C13,0)</f>
        <v/>
      </c>
      <c r="G13" s="30" t="inlineStr"/>
    </row>
    <row r="14" ht="18" customHeight="1">
      <c r="A14" s="28" t="inlineStr">
        <is>
          <t>HOUSING</t>
        </is>
      </c>
      <c r="B14" s="28" t="inlineStr">
        <is>
          <t>Home Insurance</t>
        </is>
      </c>
      <c r="C14" s="14" t="n">
        <v>0</v>
      </c>
      <c r="D14" s="14" t="n">
        <v>0</v>
      </c>
      <c r="E14" s="27">
        <f>IFERROR(C14-D14,0)</f>
        <v/>
      </c>
      <c r="F14" s="23">
        <f>IFERROR(D14/C14,0)</f>
        <v/>
      </c>
      <c r="G14" s="28" t="inlineStr"/>
    </row>
    <row r="15" ht="20" customHeight="1">
      <c r="A15" s="41" t="inlineStr">
        <is>
          <t>HOUSING TOTAL</t>
        </is>
      </c>
      <c r="C15" s="42">
        <f>SUM(C10:C14)</f>
        <v/>
      </c>
      <c r="D15" s="42">
        <f>SUM(D10:D14)</f>
        <v/>
      </c>
      <c r="E15" s="43">
        <f>IFERROR(C15-D15,0)</f>
        <v/>
      </c>
      <c r="F15" s="44">
        <f>IFERROR(D15/C15,0)</f>
        <v/>
      </c>
      <c r="G15" s="45" t="inlineStr"/>
    </row>
    <row r="16" ht="22" customHeight="1">
      <c r="A16" s="25" t="inlineStr">
        <is>
          <t>TRANSPORT</t>
        </is>
      </c>
    </row>
    <row r="17" ht="18" customHeight="1">
      <c r="A17" s="28" t="inlineStr">
        <is>
          <t>TRANSPORT</t>
        </is>
      </c>
      <c r="B17" s="28" t="inlineStr">
        <is>
          <t>Car Payment</t>
        </is>
      </c>
      <c r="C17" s="14" t="n">
        <v>0</v>
      </c>
      <c r="D17" s="14" t="n">
        <v>0</v>
      </c>
      <c r="E17" s="27">
        <f>IFERROR(C17-D17,0)</f>
        <v/>
      </c>
      <c r="F17" s="23">
        <f>IFERROR(D17/C17,0)</f>
        <v/>
      </c>
      <c r="G17" s="28" t="inlineStr"/>
    </row>
    <row r="18" ht="18" customHeight="1">
      <c r="A18" s="30" t="inlineStr">
        <is>
          <t>TRANSPORT</t>
        </is>
      </c>
      <c r="B18" s="30" t="inlineStr">
        <is>
          <t>Fuel</t>
        </is>
      </c>
      <c r="C18" s="46" t="n">
        <v>0</v>
      </c>
      <c r="D18" s="46" t="n">
        <v>0</v>
      </c>
      <c r="E18" s="17">
        <f>IFERROR(C18-D18,0)</f>
        <v/>
      </c>
      <c r="F18" s="47">
        <f>IFERROR(D18/C18,0)</f>
        <v/>
      </c>
      <c r="G18" s="30" t="inlineStr"/>
    </row>
    <row r="19" ht="18" customHeight="1">
      <c r="A19" s="28" t="inlineStr">
        <is>
          <t>TRANSPORT</t>
        </is>
      </c>
      <c r="B19" s="28" t="inlineStr">
        <is>
          <t>Car Insurance</t>
        </is>
      </c>
      <c r="C19" s="14" t="n">
        <v>0</v>
      </c>
      <c r="D19" s="14" t="n">
        <v>0</v>
      </c>
      <c r="E19" s="27">
        <f>IFERROR(C19-D19,0)</f>
        <v/>
      </c>
      <c r="F19" s="23">
        <f>IFERROR(D19/C19,0)</f>
        <v/>
      </c>
      <c r="G19" s="28" t="inlineStr"/>
    </row>
    <row r="20" ht="18" customHeight="1">
      <c r="A20" s="30" t="inlineStr">
        <is>
          <t>TRANSPORT</t>
        </is>
      </c>
      <c r="B20" s="30" t="inlineStr">
        <is>
          <t>Parking</t>
        </is>
      </c>
      <c r="C20" s="46" t="n">
        <v>0</v>
      </c>
      <c r="D20" s="46" t="n">
        <v>0</v>
      </c>
      <c r="E20" s="17">
        <f>IFERROR(C20-D20,0)</f>
        <v/>
      </c>
      <c r="F20" s="47">
        <f>IFERROR(D20/C20,0)</f>
        <v/>
      </c>
      <c r="G20" s="30" t="inlineStr"/>
    </row>
    <row r="21" ht="18" customHeight="1">
      <c r="A21" s="28" t="inlineStr">
        <is>
          <t>TRANSPORT</t>
        </is>
      </c>
      <c r="B21" s="28" t="inlineStr">
        <is>
          <t>Public Transport</t>
        </is>
      </c>
      <c r="C21" s="14" t="n">
        <v>0</v>
      </c>
      <c r="D21" s="14" t="n">
        <v>0</v>
      </c>
      <c r="E21" s="27">
        <f>IFERROR(C21-D21,0)</f>
        <v/>
      </c>
      <c r="F21" s="23">
        <f>IFERROR(D21/C21,0)</f>
        <v/>
      </c>
      <c r="G21" s="28" t="inlineStr"/>
    </row>
    <row r="22" ht="20" customHeight="1">
      <c r="A22" s="41" t="inlineStr">
        <is>
          <t>TRANSPORT TOTAL</t>
        </is>
      </c>
      <c r="C22" s="42">
        <f>SUM(C17:C21)</f>
        <v/>
      </c>
      <c r="D22" s="42">
        <f>SUM(D17:D21)</f>
        <v/>
      </c>
      <c r="E22" s="43">
        <f>IFERROR(C22-D22,0)</f>
        <v/>
      </c>
      <c r="F22" s="44">
        <f>IFERROR(D22/C22,0)</f>
        <v/>
      </c>
      <c r="G22" s="45" t="inlineStr"/>
    </row>
    <row r="23" ht="22" customHeight="1">
      <c r="A23" s="25" t="inlineStr">
        <is>
          <t>FOOD &amp; DINING</t>
        </is>
      </c>
    </row>
    <row r="24" ht="18" customHeight="1">
      <c r="A24" s="28" t="inlineStr">
        <is>
          <t>FOOD &amp; DINING</t>
        </is>
      </c>
      <c r="B24" s="28" t="inlineStr">
        <is>
          <t>Groceries</t>
        </is>
      </c>
      <c r="C24" s="14" t="n">
        <v>0</v>
      </c>
      <c r="D24" s="14" t="n">
        <v>0</v>
      </c>
      <c r="E24" s="27">
        <f>IFERROR(C24-D24,0)</f>
        <v/>
      </c>
      <c r="F24" s="23">
        <f>IFERROR(D24/C24,0)</f>
        <v/>
      </c>
      <c r="G24" s="28" t="inlineStr"/>
    </row>
    <row r="25" ht="18" customHeight="1">
      <c r="A25" s="30" t="inlineStr">
        <is>
          <t>FOOD &amp; DINING</t>
        </is>
      </c>
      <c r="B25" s="30" t="inlineStr">
        <is>
          <t>Restaurants</t>
        </is>
      </c>
      <c r="C25" s="46" t="n">
        <v>0</v>
      </c>
      <c r="D25" s="46" t="n">
        <v>0</v>
      </c>
      <c r="E25" s="17">
        <f>IFERROR(C25-D25,0)</f>
        <v/>
      </c>
      <c r="F25" s="47">
        <f>IFERROR(D25/C25,0)</f>
        <v/>
      </c>
      <c r="G25" s="30" t="inlineStr"/>
    </row>
    <row r="26" ht="18" customHeight="1">
      <c r="A26" s="28" t="inlineStr">
        <is>
          <t>FOOD &amp; DINING</t>
        </is>
      </c>
      <c r="B26" s="28" t="inlineStr">
        <is>
          <t>Coffee</t>
        </is>
      </c>
      <c r="C26" s="14" t="n">
        <v>0</v>
      </c>
      <c r="D26" s="14" t="n">
        <v>0</v>
      </c>
      <c r="E26" s="27">
        <f>IFERROR(C26-D26,0)</f>
        <v/>
      </c>
      <c r="F26" s="23">
        <f>IFERROR(D26/C26,0)</f>
        <v/>
      </c>
      <c r="G26" s="28" t="inlineStr"/>
    </row>
    <row r="27" ht="18" customHeight="1">
      <c r="A27" s="30" t="inlineStr">
        <is>
          <t>FOOD &amp; DINING</t>
        </is>
      </c>
      <c r="B27" s="30" t="inlineStr">
        <is>
          <t>Food Delivery</t>
        </is>
      </c>
      <c r="C27" s="46" t="n">
        <v>0</v>
      </c>
      <c r="D27" s="46" t="n">
        <v>0</v>
      </c>
      <c r="E27" s="17">
        <f>IFERROR(C27-D27,0)</f>
        <v/>
      </c>
      <c r="F27" s="47">
        <f>IFERROR(D27/C27,0)</f>
        <v/>
      </c>
      <c r="G27" s="30" t="inlineStr"/>
    </row>
    <row r="28" ht="18" customHeight="1">
      <c r="A28" s="28" t="inlineStr">
        <is>
          <t>FOOD &amp; DINING</t>
        </is>
      </c>
      <c r="B28" s="28" t="inlineStr">
        <is>
          <t>Work Lunch</t>
        </is>
      </c>
      <c r="C28" s="14" t="n">
        <v>0</v>
      </c>
      <c r="D28" s="14" t="n">
        <v>0</v>
      </c>
      <c r="E28" s="27">
        <f>IFERROR(C28-D28,0)</f>
        <v/>
      </c>
      <c r="F28" s="23">
        <f>IFERROR(D28/C28,0)</f>
        <v/>
      </c>
      <c r="G28" s="28" t="inlineStr"/>
    </row>
    <row r="29" ht="20" customHeight="1">
      <c r="A29" s="41" t="inlineStr">
        <is>
          <t>FOOD &amp; DINING TOTAL</t>
        </is>
      </c>
      <c r="C29" s="42">
        <f>SUM(C24:C28)</f>
        <v/>
      </c>
      <c r="D29" s="42">
        <f>SUM(D24:D28)</f>
        <v/>
      </c>
      <c r="E29" s="43">
        <f>IFERROR(C29-D29,0)</f>
        <v/>
      </c>
      <c r="F29" s="44">
        <f>IFERROR(D29/C29,0)</f>
        <v/>
      </c>
      <c r="G29" s="45" t="inlineStr"/>
    </row>
    <row r="30" ht="22" customHeight="1">
      <c r="A30" s="25" t="inlineStr">
        <is>
          <t>HEALTH &amp; WELLNESS</t>
        </is>
      </c>
    </row>
    <row r="31" ht="18" customHeight="1">
      <c r="A31" s="28" t="inlineStr">
        <is>
          <t>HEALTH &amp; WELLNESS</t>
        </is>
      </c>
      <c r="B31" s="28" t="inlineStr">
        <is>
          <t>Health Insurance</t>
        </is>
      </c>
      <c r="C31" s="14" t="n">
        <v>0</v>
      </c>
      <c r="D31" s="14" t="n">
        <v>0</v>
      </c>
      <c r="E31" s="27">
        <f>IFERROR(C31-D31,0)</f>
        <v/>
      </c>
      <c r="F31" s="23">
        <f>IFERROR(D31/C31,0)</f>
        <v/>
      </c>
      <c r="G31" s="28" t="inlineStr"/>
    </row>
    <row r="32" ht="18" customHeight="1">
      <c r="A32" s="30" t="inlineStr">
        <is>
          <t>HEALTH &amp; WELLNESS</t>
        </is>
      </c>
      <c r="B32" s="30" t="inlineStr">
        <is>
          <t>Gym</t>
        </is>
      </c>
      <c r="C32" s="46" t="n">
        <v>0</v>
      </c>
      <c r="D32" s="46" t="n">
        <v>0</v>
      </c>
      <c r="E32" s="17">
        <f>IFERROR(C32-D32,0)</f>
        <v/>
      </c>
      <c r="F32" s="47">
        <f>IFERROR(D32/C32,0)</f>
        <v/>
      </c>
      <c r="G32" s="30" t="inlineStr"/>
    </row>
    <row r="33" ht="18" customHeight="1">
      <c r="A33" s="28" t="inlineStr">
        <is>
          <t>HEALTH &amp; WELLNESS</t>
        </is>
      </c>
      <c r="B33" s="28" t="inlineStr">
        <is>
          <t>Pharmacy</t>
        </is>
      </c>
      <c r="C33" s="14" t="n">
        <v>0</v>
      </c>
      <c r="D33" s="14" t="n">
        <v>0</v>
      </c>
      <c r="E33" s="27">
        <f>IFERROR(C33-D33,0)</f>
        <v/>
      </c>
      <c r="F33" s="23">
        <f>IFERROR(D33/C33,0)</f>
        <v/>
      </c>
      <c r="G33" s="28" t="inlineStr"/>
    </row>
    <row r="34" ht="18" customHeight="1">
      <c r="A34" s="30" t="inlineStr">
        <is>
          <t>HEALTH &amp; WELLNESS</t>
        </is>
      </c>
      <c r="B34" s="30" t="inlineStr">
        <is>
          <t>Doctor</t>
        </is>
      </c>
      <c r="C34" s="46" t="n">
        <v>0</v>
      </c>
      <c r="D34" s="46" t="n">
        <v>0</v>
      </c>
      <c r="E34" s="17">
        <f>IFERROR(C34-D34,0)</f>
        <v/>
      </c>
      <c r="F34" s="47">
        <f>IFERROR(D34/C34,0)</f>
        <v/>
      </c>
      <c r="G34" s="30" t="inlineStr"/>
    </row>
    <row r="35" ht="18" customHeight="1">
      <c r="A35" s="28" t="inlineStr">
        <is>
          <t>HEALTH &amp; WELLNESS</t>
        </is>
      </c>
      <c r="B35" s="28" t="inlineStr">
        <is>
          <t>Dental</t>
        </is>
      </c>
      <c r="C35" s="14" t="n">
        <v>0</v>
      </c>
      <c r="D35" s="14" t="n">
        <v>0</v>
      </c>
      <c r="E35" s="27">
        <f>IFERROR(C35-D35,0)</f>
        <v/>
      </c>
      <c r="F35" s="23">
        <f>IFERROR(D35/C35,0)</f>
        <v/>
      </c>
      <c r="G35" s="28" t="inlineStr"/>
    </row>
    <row r="36" ht="20" customHeight="1">
      <c r="A36" s="41" t="inlineStr">
        <is>
          <t>HEALTH &amp; WELLNESS TOTAL</t>
        </is>
      </c>
      <c r="C36" s="42">
        <f>SUM(C31:C35)</f>
        <v/>
      </c>
      <c r="D36" s="42">
        <f>SUM(D31:D35)</f>
        <v/>
      </c>
      <c r="E36" s="43">
        <f>IFERROR(C36-D36,0)</f>
        <v/>
      </c>
      <c r="F36" s="44">
        <f>IFERROR(D36/C36,0)</f>
        <v/>
      </c>
      <c r="G36" s="45" t="inlineStr"/>
    </row>
    <row r="37" ht="22" customHeight="1">
      <c r="A37" s="25" t="inlineStr">
        <is>
          <t>LIFESTYLE</t>
        </is>
      </c>
    </row>
    <row r="38" ht="18" customHeight="1">
      <c r="A38" s="28" t="inlineStr">
        <is>
          <t>LIFESTYLE</t>
        </is>
      </c>
      <c r="B38" s="28" t="inlineStr">
        <is>
          <t>Streaming Services</t>
        </is>
      </c>
      <c r="C38" s="14" t="n">
        <v>0</v>
      </c>
      <c r="D38" s="14" t="n">
        <v>0</v>
      </c>
      <c r="E38" s="27">
        <f>IFERROR(C38-D38,0)</f>
        <v/>
      </c>
      <c r="F38" s="23">
        <f>IFERROR(D38/C38,0)</f>
        <v/>
      </c>
      <c r="G38" s="28" t="inlineStr"/>
    </row>
    <row r="39" ht="18" customHeight="1">
      <c r="A39" s="30" t="inlineStr">
        <is>
          <t>LIFESTYLE</t>
        </is>
      </c>
      <c r="B39" s="30" t="inlineStr">
        <is>
          <t>Entertainment</t>
        </is>
      </c>
      <c r="C39" s="46" t="n">
        <v>0</v>
      </c>
      <c r="D39" s="46" t="n">
        <v>0</v>
      </c>
      <c r="E39" s="17">
        <f>IFERROR(C39-D39,0)</f>
        <v/>
      </c>
      <c r="F39" s="47">
        <f>IFERROR(D39/C39,0)</f>
        <v/>
      </c>
      <c r="G39" s="30" t="inlineStr"/>
    </row>
    <row r="40" ht="18" customHeight="1">
      <c r="A40" s="28" t="inlineStr">
        <is>
          <t>LIFESTYLE</t>
        </is>
      </c>
      <c r="B40" s="28" t="inlineStr">
        <is>
          <t>Hobbies</t>
        </is>
      </c>
      <c r="C40" s="14" t="n">
        <v>0</v>
      </c>
      <c r="D40" s="14" t="n">
        <v>0</v>
      </c>
      <c r="E40" s="27">
        <f>IFERROR(C40-D40,0)</f>
        <v/>
      </c>
      <c r="F40" s="23">
        <f>IFERROR(D40/C40,0)</f>
        <v/>
      </c>
      <c r="G40" s="28" t="inlineStr"/>
    </row>
    <row r="41" ht="18" customHeight="1">
      <c r="A41" s="30" t="inlineStr">
        <is>
          <t>LIFESTYLE</t>
        </is>
      </c>
      <c r="B41" s="30" t="inlineStr">
        <is>
          <t>Personal Care</t>
        </is>
      </c>
      <c r="C41" s="46" t="n">
        <v>0</v>
      </c>
      <c r="D41" s="46" t="n">
        <v>0</v>
      </c>
      <c r="E41" s="17">
        <f>IFERROR(C41-D41,0)</f>
        <v/>
      </c>
      <c r="F41" s="47">
        <f>IFERROR(D41/C41,0)</f>
        <v/>
      </c>
      <c r="G41" s="30" t="inlineStr"/>
    </row>
    <row r="42" ht="18" customHeight="1">
      <c r="A42" s="28" t="inlineStr">
        <is>
          <t>LIFESTYLE</t>
        </is>
      </c>
      <c r="B42" s="28" t="inlineStr">
        <is>
          <t>Books</t>
        </is>
      </c>
      <c r="C42" s="14" t="n">
        <v>0</v>
      </c>
      <c r="D42" s="14" t="n">
        <v>0</v>
      </c>
      <c r="E42" s="27">
        <f>IFERROR(C42-D42,0)</f>
        <v/>
      </c>
      <c r="F42" s="23">
        <f>IFERROR(D42/C42,0)</f>
        <v/>
      </c>
      <c r="G42" s="28" t="inlineStr"/>
    </row>
    <row r="43" ht="20" customHeight="1">
      <c r="A43" s="41" t="inlineStr">
        <is>
          <t>LIFESTYLE TOTAL</t>
        </is>
      </c>
      <c r="C43" s="42">
        <f>SUM(C38:C42)</f>
        <v/>
      </c>
      <c r="D43" s="42">
        <f>SUM(D38:D42)</f>
        <v/>
      </c>
      <c r="E43" s="43">
        <f>IFERROR(C43-D43,0)</f>
        <v/>
      </c>
      <c r="F43" s="44">
        <f>IFERROR(D43/C43,0)</f>
        <v/>
      </c>
      <c r="G43" s="45" t="inlineStr"/>
    </row>
    <row r="44" ht="22" customHeight="1">
      <c r="A44" s="25" t="inlineStr">
        <is>
          <t>PERSONAL</t>
        </is>
      </c>
    </row>
    <row r="45" ht="18" customHeight="1">
      <c r="A45" s="28" t="inlineStr">
        <is>
          <t>PERSONAL</t>
        </is>
      </c>
      <c r="B45" s="28" t="inlineStr">
        <is>
          <t>Clothing</t>
        </is>
      </c>
      <c r="C45" s="14" t="n">
        <v>0</v>
      </c>
      <c r="D45" s="14" t="n">
        <v>0</v>
      </c>
      <c r="E45" s="27">
        <f>IFERROR(C45-D45,0)</f>
        <v/>
      </c>
      <c r="F45" s="23">
        <f>IFERROR(D45/C45,0)</f>
        <v/>
      </c>
      <c r="G45" s="28" t="inlineStr"/>
    </row>
    <row r="46" ht="18" customHeight="1">
      <c r="A46" s="30" t="inlineStr">
        <is>
          <t>PERSONAL</t>
        </is>
      </c>
      <c r="B46" s="30" t="inlineStr">
        <is>
          <t>Gifts</t>
        </is>
      </c>
      <c r="C46" s="46" t="n">
        <v>0</v>
      </c>
      <c r="D46" s="46" t="n">
        <v>0</v>
      </c>
      <c r="E46" s="17">
        <f>IFERROR(C46-D46,0)</f>
        <v/>
      </c>
      <c r="F46" s="47">
        <f>IFERROR(D46/C46,0)</f>
        <v/>
      </c>
      <c r="G46" s="30" t="inlineStr"/>
    </row>
    <row r="47" ht="18" customHeight="1">
      <c r="A47" s="28" t="inlineStr">
        <is>
          <t>PERSONAL</t>
        </is>
      </c>
      <c r="B47" s="28" t="inlineStr">
        <is>
          <t>Education</t>
        </is>
      </c>
      <c r="C47" s="14" t="n">
        <v>0</v>
      </c>
      <c r="D47" s="14" t="n">
        <v>0</v>
      </c>
      <c r="E47" s="27">
        <f>IFERROR(C47-D47,0)</f>
        <v/>
      </c>
      <c r="F47" s="23">
        <f>IFERROR(D47/C47,0)</f>
        <v/>
      </c>
      <c r="G47" s="28" t="inlineStr"/>
    </row>
    <row r="48" ht="18" customHeight="1">
      <c r="A48" s="30" t="inlineStr">
        <is>
          <t>PERSONAL</t>
        </is>
      </c>
      <c r="B48" s="30" t="inlineStr">
        <is>
          <t>Pet Care</t>
        </is>
      </c>
      <c r="C48" s="46" t="n">
        <v>0</v>
      </c>
      <c r="D48" s="46" t="n">
        <v>0</v>
      </c>
      <c r="E48" s="17">
        <f>IFERROR(C48-D48,0)</f>
        <v/>
      </c>
      <c r="F48" s="47">
        <f>IFERROR(D48/C48,0)</f>
        <v/>
      </c>
      <c r="G48" s="30" t="inlineStr"/>
    </row>
    <row r="49" ht="18" customHeight="1">
      <c r="A49" s="28" t="inlineStr">
        <is>
          <t>PERSONAL</t>
        </is>
      </c>
      <c r="B49" s="28" t="inlineStr">
        <is>
          <t>Miscellaneous</t>
        </is>
      </c>
      <c r="C49" s="14" t="n">
        <v>0</v>
      </c>
      <c r="D49" s="14" t="n">
        <v>0</v>
      </c>
      <c r="E49" s="27">
        <f>IFERROR(C49-D49,0)</f>
        <v/>
      </c>
      <c r="F49" s="23">
        <f>IFERROR(D49/C49,0)</f>
        <v/>
      </c>
      <c r="G49" s="28" t="inlineStr"/>
    </row>
    <row r="50" ht="20" customHeight="1">
      <c r="A50" s="41" t="inlineStr">
        <is>
          <t>PERSONAL TOTAL</t>
        </is>
      </c>
      <c r="C50" s="42">
        <f>SUM(C45:C49)</f>
        <v/>
      </c>
      <c r="D50" s="42">
        <f>SUM(D45:D49)</f>
        <v/>
      </c>
      <c r="E50" s="43">
        <f>IFERROR(C50-D50,0)</f>
        <v/>
      </c>
      <c r="F50" s="44">
        <f>IFERROR(D50/C50,0)</f>
        <v/>
      </c>
      <c r="G50" s="45" t="inlineStr"/>
    </row>
    <row r="51" ht="22" customHeight="1">
      <c r="A51" s="25" t="inlineStr">
        <is>
          <t>SAVINGS &amp; INVESTMENTS</t>
        </is>
      </c>
    </row>
    <row r="52" ht="18" customHeight="1">
      <c r="A52" s="28" t="inlineStr">
        <is>
          <t>SAVINGS &amp; INVESTMENTS</t>
        </is>
      </c>
      <c r="B52" s="28" t="inlineStr">
        <is>
          <t>Emergency Fund</t>
        </is>
      </c>
      <c r="C52" s="14" t="n">
        <v>0</v>
      </c>
      <c r="D52" s="14" t="n">
        <v>0</v>
      </c>
      <c r="E52" s="27">
        <f>IFERROR(C52-D52,0)</f>
        <v/>
      </c>
      <c r="F52" s="23">
        <f>IFERROR(D52/C52,0)</f>
        <v/>
      </c>
      <c r="G52" s="28" t="inlineStr"/>
    </row>
    <row r="53" ht="18" customHeight="1">
      <c r="A53" s="30" t="inlineStr">
        <is>
          <t>SAVINGS &amp; INVESTMENTS</t>
        </is>
      </c>
      <c r="B53" s="30" t="inlineStr">
        <is>
          <t>Pension/IRA</t>
        </is>
      </c>
      <c r="C53" s="46" t="n">
        <v>0</v>
      </c>
      <c r="D53" s="46" t="n">
        <v>0</v>
      </c>
      <c r="E53" s="17">
        <f>IFERROR(C53-D53,0)</f>
        <v/>
      </c>
      <c r="F53" s="47">
        <f>IFERROR(D53/C53,0)</f>
        <v/>
      </c>
      <c r="G53" s="30" t="inlineStr"/>
    </row>
    <row r="54" ht="18" customHeight="1">
      <c r="A54" s="28" t="inlineStr">
        <is>
          <t>SAVINGS &amp; INVESTMENTS</t>
        </is>
      </c>
      <c r="B54" s="28" t="inlineStr">
        <is>
          <t>Stocks</t>
        </is>
      </c>
      <c r="C54" s="14" t="n">
        <v>0</v>
      </c>
      <c r="D54" s="14" t="n">
        <v>0</v>
      </c>
      <c r="E54" s="27">
        <f>IFERROR(C54-D54,0)</f>
        <v/>
      </c>
      <c r="F54" s="23">
        <f>IFERROR(D54/C54,0)</f>
        <v/>
      </c>
      <c r="G54" s="28" t="inlineStr"/>
    </row>
    <row r="55" ht="18" customHeight="1">
      <c r="A55" s="30" t="inlineStr">
        <is>
          <t>SAVINGS &amp; INVESTMENTS</t>
        </is>
      </c>
      <c r="B55" s="30" t="inlineStr">
        <is>
          <t>Vacation Fund</t>
        </is>
      </c>
      <c r="C55" s="46" t="n">
        <v>0</v>
      </c>
      <c r="D55" s="46" t="n">
        <v>0</v>
      </c>
      <c r="E55" s="17">
        <f>IFERROR(C55-D55,0)</f>
        <v/>
      </c>
      <c r="F55" s="47">
        <f>IFERROR(D55/C55,0)</f>
        <v/>
      </c>
      <c r="G55" s="30" t="inlineStr"/>
    </row>
    <row r="56" ht="18" customHeight="1">
      <c r="A56" s="28" t="inlineStr">
        <is>
          <t>SAVINGS &amp; INVESTMENTS</t>
        </is>
      </c>
      <c r="B56" s="28" t="inlineStr">
        <is>
          <t>Other Savings</t>
        </is>
      </c>
      <c r="C56" s="14" t="n">
        <v>0</v>
      </c>
      <c r="D56" s="14" t="n">
        <v>0</v>
      </c>
      <c r="E56" s="27">
        <f>IFERROR(C56-D56,0)</f>
        <v/>
      </c>
      <c r="F56" s="23">
        <f>IFERROR(D56/C56,0)</f>
        <v/>
      </c>
      <c r="G56" s="28" t="inlineStr"/>
    </row>
    <row r="57" ht="20" customHeight="1">
      <c r="A57" s="41" t="inlineStr">
        <is>
          <t>SAVINGS &amp; INVESTMENTS TOTAL</t>
        </is>
      </c>
      <c r="C57" s="42">
        <f>SUM(C52:C56)</f>
        <v/>
      </c>
      <c r="D57" s="42">
        <f>SUM(D52:D56)</f>
        <v/>
      </c>
      <c r="E57" s="43">
        <f>IFERROR(C57-D57,0)</f>
        <v/>
      </c>
      <c r="F57" s="44">
        <f>IFERROR(D57/C57,0)</f>
        <v/>
      </c>
      <c r="G57" s="45" t="inlineStr"/>
    </row>
    <row r="58" ht="22" customHeight="1">
      <c r="A58" s="25" t="inlineStr">
        <is>
          <t>DEBT PAYMENTS</t>
        </is>
      </c>
    </row>
    <row r="59" ht="18" customHeight="1">
      <c r="A59" s="28" t="inlineStr">
        <is>
          <t>DEBT PAYMENTS</t>
        </is>
      </c>
      <c r="B59" s="28" t="inlineStr">
        <is>
          <t>Credit Card 1</t>
        </is>
      </c>
      <c r="C59" s="14" t="n">
        <v>0</v>
      </c>
      <c r="D59" s="14" t="n">
        <v>0</v>
      </c>
      <c r="E59" s="27">
        <f>IFERROR(C59-D59,0)</f>
        <v/>
      </c>
      <c r="F59" s="23">
        <f>IFERROR(D59/C59,0)</f>
        <v/>
      </c>
      <c r="G59" s="28" t="inlineStr"/>
    </row>
    <row r="60" ht="18" customHeight="1">
      <c r="A60" s="30" t="inlineStr">
        <is>
          <t>DEBT PAYMENTS</t>
        </is>
      </c>
      <c r="B60" s="30" t="inlineStr">
        <is>
          <t>Credit Card 2</t>
        </is>
      </c>
      <c r="C60" s="46" t="n">
        <v>0</v>
      </c>
      <c r="D60" s="46" t="n">
        <v>0</v>
      </c>
      <c r="E60" s="17">
        <f>IFERROR(C60-D60,0)</f>
        <v/>
      </c>
      <c r="F60" s="47">
        <f>IFERROR(D60/C60,0)</f>
        <v/>
      </c>
      <c r="G60" s="30" t="inlineStr"/>
    </row>
    <row r="61" ht="18" customHeight="1">
      <c r="A61" s="28" t="inlineStr">
        <is>
          <t>DEBT PAYMENTS</t>
        </is>
      </c>
      <c r="B61" s="28" t="inlineStr">
        <is>
          <t>Student Loan</t>
        </is>
      </c>
      <c r="C61" s="14" t="n">
        <v>0</v>
      </c>
      <c r="D61" s="14" t="n">
        <v>0</v>
      </c>
      <c r="E61" s="27">
        <f>IFERROR(C61-D61,0)</f>
        <v/>
      </c>
      <c r="F61" s="23">
        <f>IFERROR(D61/C61,0)</f>
        <v/>
      </c>
      <c r="G61" s="28" t="inlineStr"/>
    </row>
    <row r="62" ht="18" customHeight="1">
      <c r="A62" s="30" t="inlineStr">
        <is>
          <t>DEBT PAYMENTS</t>
        </is>
      </c>
      <c r="B62" s="30" t="inlineStr">
        <is>
          <t>Car Loan</t>
        </is>
      </c>
      <c r="C62" s="46" t="n">
        <v>0</v>
      </c>
      <c r="D62" s="46" t="n">
        <v>0</v>
      </c>
      <c r="E62" s="17">
        <f>IFERROR(C62-D62,0)</f>
        <v/>
      </c>
      <c r="F62" s="47">
        <f>IFERROR(D62/C62,0)</f>
        <v/>
      </c>
      <c r="G62" s="30" t="inlineStr"/>
    </row>
    <row r="63" ht="18" customHeight="1">
      <c r="A63" s="28" t="inlineStr">
        <is>
          <t>DEBT PAYMENTS</t>
        </is>
      </c>
      <c r="B63" s="28" t="inlineStr">
        <is>
          <t>Other</t>
        </is>
      </c>
      <c r="C63" s="14" t="n">
        <v>0</v>
      </c>
      <c r="D63" s="14" t="n">
        <v>0</v>
      </c>
      <c r="E63" s="27">
        <f>IFERROR(C63-D63,0)</f>
        <v/>
      </c>
      <c r="F63" s="23">
        <f>IFERROR(D63/C63,0)</f>
        <v/>
      </c>
      <c r="G63" s="28" t="inlineStr"/>
    </row>
    <row r="64" ht="20" customHeight="1">
      <c r="A64" s="41" t="inlineStr">
        <is>
          <t>DEBT PAYMENTS TOTAL</t>
        </is>
      </c>
      <c r="C64" s="42">
        <f>SUM(C59:C63)</f>
        <v/>
      </c>
      <c r="D64" s="42">
        <f>SUM(D59:D63)</f>
        <v/>
      </c>
      <c r="E64" s="43">
        <f>IFERROR(C64-D64,0)</f>
        <v/>
      </c>
      <c r="F64" s="44">
        <f>IFERROR(D64/C64,0)</f>
        <v/>
      </c>
      <c r="G64" s="45" t="inlineStr"/>
    </row>
    <row r="65" ht="24" customHeight="1">
      <c r="A65" s="9" t="inlineStr">
        <is>
          <t>GRAND TOTAL EXPENSES</t>
        </is>
      </c>
      <c r="C65" s="48">
        <f>C15+C22+C29+C36+C43+C50+C57+C64</f>
        <v/>
      </c>
      <c r="D65" s="48">
        <f>D15+D22+D29+D36+D43+D50+D57+D64</f>
        <v/>
      </c>
      <c r="E65" s="49">
        <f>IFERROR(C65-D65,0)</f>
        <v/>
      </c>
      <c r="F65" s="50" t="inlineStr"/>
      <c r="G65" s="50" t="inlineStr"/>
    </row>
    <row r="66" ht="24" customHeight="1">
      <c r="A66" s="8" t="inlineStr">
        <is>
          <t>NET CASH FLOW</t>
        </is>
      </c>
      <c r="C66" s="51">
        <f>IFERROR(C8-C65,0)</f>
        <v/>
      </c>
      <c r="D66" s="51">
        <f>IFERROR(D8-D65,0)</f>
        <v/>
      </c>
      <c r="E66" s="52" t="inlineStr"/>
      <c r="F66" s="52" t="inlineStr"/>
      <c r="G66" s="52" t="inlineStr"/>
    </row>
    <row r="67" ht="22" customHeight="1">
      <c r="A67" s="53" t="inlineStr">
        <is>
          <t>BUDGET VS ACTUAL — CATEGORY OVERVIEW</t>
        </is>
      </c>
    </row>
    <row r="68" ht="18" customHeight="1">
      <c r="A68" s="12" t="inlineStr">
        <is>
          <t>HOUSING</t>
        </is>
      </c>
      <c r="B68" s="27">
        <f>C15</f>
        <v/>
      </c>
      <c r="C68" s="27">
        <f>D15</f>
        <v/>
      </c>
    </row>
    <row r="69" ht="18" customHeight="1">
      <c r="A69" s="15" t="inlineStr">
        <is>
          <t>TRANSPORT</t>
        </is>
      </c>
      <c r="B69" s="17">
        <f>C22</f>
        <v/>
      </c>
      <c r="C69" s="17">
        <f>D22</f>
        <v/>
      </c>
    </row>
    <row r="70" ht="18" customHeight="1">
      <c r="A70" s="12" t="inlineStr">
        <is>
          <t>FOOD &amp; DINING</t>
        </is>
      </c>
      <c r="B70" s="27">
        <f>C29</f>
        <v/>
      </c>
      <c r="C70" s="27">
        <f>D29</f>
        <v/>
      </c>
    </row>
    <row r="71" ht="18" customHeight="1">
      <c r="A71" s="15" t="inlineStr">
        <is>
          <t>HEALTH &amp; WELLNESS</t>
        </is>
      </c>
      <c r="B71" s="17">
        <f>C36</f>
        <v/>
      </c>
      <c r="C71" s="17">
        <f>D36</f>
        <v/>
      </c>
    </row>
    <row r="72" ht="18" customHeight="1">
      <c r="A72" s="12" t="inlineStr">
        <is>
          <t>LIFESTYLE</t>
        </is>
      </c>
      <c r="B72" s="27">
        <f>C43</f>
        <v/>
      </c>
      <c r="C72" s="27">
        <f>D43</f>
        <v/>
      </c>
    </row>
    <row r="73" ht="18" customHeight="1">
      <c r="A73" s="15" t="inlineStr">
        <is>
          <t>PERSONAL</t>
        </is>
      </c>
      <c r="B73" s="17">
        <f>C50</f>
        <v/>
      </c>
      <c r="C73" s="17">
        <f>D50</f>
        <v/>
      </c>
    </row>
    <row r="74" ht="18" customHeight="1">
      <c r="A74" s="12" t="inlineStr">
        <is>
          <t>SAVINGS &amp; INVESTMENTS</t>
        </is>
      </c>
      <c r="B74" s="27">
        <f>C57</f>
        <v/>
      </c>
      <c r="C74" s="27">
        <f>D57</f>
        <v/>
      </c>
    </row>
    <row r="75" ht="18" customHeight="1">
      <c r="A75" s="15" t="inlineStr">
        <is>
          <t>DEBT PAYMENTS</t>
        </is>
      </c>
      <c r="B75" s="17">
        <f>C64</f>
        <v/>
      </c>
      <c r="C75" s="17">
        <f>D64</f>
        <v/>
      </c>
    </row>
  </sheetData>
  <mergeCells count="23">
    <mergeCell ref="A15:B15"/>
    <mergeCell ref="A64:B64"/>
    <mergeCell ref="A4:G4"/>
    <mergeCell ref="A36:B36"/>
    <mergeCell ref="A44:G44"/>
    <mergeCell ref="A58:G58"/>
    <mergeCell ref="A67:D67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5C8A52"/>
    <outlinePr summaryBelow="1" summaryRight="1"/>
    <pageSetUpPr/>
  </sheetPr>
  <dimension ref="A1:G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20" customWidth="1" min="7" max="7"/>
  </cols>
  <sheetData>
    <row r="1" ht="48" customHeight="1">
      <c r="A1" s="1" t="inlineStr">
        <is>
          <t>APRIL · MONTHLY BUDGET</t>
        </is>
      </c>
    </row>
    <row r="2" ht="20" customHeight="1">
      <c r="A2" s="2" t="inlineStr">
        <is>
          <t>Track your income and expenses for April</t>
        </is>
      </c>
    </row>
    <row r="3" ht="20" customHeight="1">
      <c r="A3" s="26" t="inlineStr">
        <is>
          <t>CATEGORY</t>
        </is>
      </c>
      <c r="B3" s="26" t="inlineStr">
        <is>
          <t>SUBCATEGORY</t>
        </is>
      </c>
      <c r="C3" s="26" t="inlineStr">
        <is>
          <t>BUDGETED</t>
        </is>
      </c>
      <c r="D3" s="26" t="inlineStr">
        <is>
          <t>ACTUAL</t>
        </is>
      </c>
      <c r="E3" s="26" t="inlineStr">
        <is>
          <t>DIFFERENCE</t>
        </is>
      </c>
      <c r="F3" s="26" t="inlineStr">
        <is>
          <t>% USED</t>
        </is>
      </c>
      <c r="G3" s="26" t="inlineStr">
        <is>
          <t>NOTES</t>
        </is>
      </c>
    </row>
    <row r="4" ht="22" customHeight="1">
      <c r="A4" s="9" t="inlineStr">
        <is>
          <t>INCOME</t>
        </is>
      </c>
    </row>
    <row r="5" ht="18" customHeight="1">
      <c r="A5" s="28" t="inlineStr">
        <is>
          <t>INCOME</t>
        </is>
      </c>
      <c r="B5" s="28" t="inlineStr">
        <is>
          <t>Primary Income</t>
        </is>
      </c>
      <c r="C5" s="14" t="n">
        <v>0</v>
      </c>
      <c r="D5" s="14" t="n">
        <v>0</v>
      </c>
      <c r="E5" s="27">
        <f>IFERROR(C5-D5,0)</f>
        <v/>
      </c>
      <c r="F5" s="23">
        <f>IFERROR(D5/C5,0)</f>
        <v/>
      </c>
      <c r="G5" s="28" t="inlineStr"/>
    </row>
    <row r="6" ht="18" customHeight="1">
      <c r="A6" s="31" t="inlineStr">
        <is>
          <t>INCOME</t>
        </is>
      </c>
      <c r="B6" s="31" t="inlineStr">
        <is>
          <t>Side Income</t>
        </is>
      </c>
      <c r="C6" s="20" t="n">
        <v>0</v>
      </c>
      <c r="D6" s="20" t="n">
        <v>0</v>
      </c>
      <c r="E6" s="39">
        <f>IFERROR(C6-D6,0)</f>
        <v/>
      </c>
      <c r="F6" s="40">
        <f>IFERROR(D6/C6,0)</f>
        <v/>
      </c>
      <c r="G6" s="31" t="inlineStr"/>
    </row>
    <row r="7" ht="18" customHeight="1">
      <c r="A7" s="28" t="inlineStr">
        <is>
          <t>INCOME</t>
        </is>
      </c>
      <c r="B7" s="28" t="inlineStr">
        <is>
          <t>Other Income</t>
        </is>
      </c>
      <c r="C7" s="14" t="n">
        <v>0</v>
      </c>
      <c r="D7" s="14" t="n">
        <v>0</v>
      </c>
      <c r="E7" s="27">
        <f>IFERROR(C7-D7,0)</f>
        <v/>
      </c>
      <c r="F7" s="23">
        <f>IFERROR(D7/C7,0)</f>
        <v/>
      </c>
      <c r="G7" s="28" t="inlineStr"/>
    </row>
    <row r="8" ht="20" customHeight="1">
      <c r="A8" s="41" t="inlineStr">
        <is>
          <t>TOTAL INCOME</t>
        </is>
      </c>
      <c r="C8" s="42">
        <f>SUM(C5:C7)</f>
        <v/>
      </c>
      <c r="D8" s="42">
        <f>SUM(D5:D7)</f>
        <v/>
      </c>
      <c r="E8" s="43">
        <f>IFERROR(C8-D8,0)</f>
        <v/>
      </c>
      <c r="F8" s="44">
        <f>IFERROR(D8/C8,0)</f>
        <v/>
      </c>
      <c r="G8" s="45" t="inlineStr"/>
    </row>
    <row r="9" ht="22" customHeight="1">
      <c r="A9" s="25" t="inlineStr">
        <is>
          <t>HOUSING</t>
        </is>
      </c>
    </row>
    <row r="10" ht="18" customHeight="1">
      <c r="A10" s="28" t="inlineStr">
        <is>
          <t>HOUSING</t>
        </is>
      </c>
      <c r="B10" s="28" t="inlineStr">
        <is>
          <t>Rent/Mortgage</t>
        </is>
      </c>
      <c r="C10" s="14" t="n">
        <v>0</v>
      </c>
      <c r="D10" s="14" t="n">
        <v>0</v>
      </c>
      <c r="E10" s="27">
        <f>IFERROR(C10-D10,0)</f>
        <v/>
      </c>
      <c r="F10" s="23">
        <f>IFERROR(D10/C10,0)</f>
        <v/>
      </c>
      <c r="G10" s="28" t="inlineStr"/>
    </row>
    <row r="11" ht="18" customHeight="1">
      <c r="A11" s="30" t="inlineStr">
        <is>
          <t>HOUSING</t>
        </is>
      </c>
      <c r="B11" s="30" t="inlineStr">
        <is>
          <t>Utilities</t>
        </is>
      </c>
      <c r="C11" s="46" t="n">
        <v>0</v>
      </c>
      <c r="D11" s="46" t="n">
        <v>0</v>
      </c>
      <c r="E11" s="17">
        <f>IFERROR(C11-D11,0)</f>
        <v/>
      </c>
      <c r="F11" s="47">
        <f>IFERROR(D11/C11,0)</f>
        <v/>
      </c>
      <c r="G11" s="30" t="inlineStr"/>
    </row>
    <row r="12" ht="18" customHeight="1">
      <c r="A12" s="28" t="inlineStr">
        <is>
          <t>HOUSING</t>
        </is>
      </c>
      <c r="B12" s="28" t="inlineStr">
        <is>
          <t>Electricity</t>
        </is>
      </c>
      <c r="C12" s="14" t="n">
        <v>0</v>
      </c>
      <c r="D12" s="14" t="n">
        <v>0</v>
      </c>
      <c r="E12" s="27">
        <f>IFERROR(C12-D12,0)</f>
        <v/>
      </c>
      <c r="F12" s="23">
        <f>IFERROR(D12/C12,0)</f>
        <v/>
      </c>
      <c r="G12" s="28" t="inlineStr"/>
    </row>
    <row r="13" ht="18" customHeight="1">
      <c r="A13" s="30" t="inlineStr">
        <is>
          <t>HOUSING</t>
        </is>
      </c>
      <c r="B13" s="30" t="inlineStr">
        <is>
          <t>Internet</t>
        </is>
      </c>
      <c r="C13" s="46" t="n">
        <v>0</v>
      </c>
      <c r="D13" s="46" t="n">
        <v>0</v>
      </c>
      <c r="E13" s="17">
        <f>IFERROR(C13-D13,0)</f>
        <v/>
      </c>
      <c r="F13" s="47">
        <f>IFERROR(D13/C13,0)</f>
        <v/>
      </c>
      <c r="G13" s="30" t="inlineStr"/>
    </row>
    <row r="14" ht="18" customHeight="1">
      <c r="A14" s="28" t="inlineStr">
        <is>
          <t>HOUSING</t>
        </is>
      </c>
      <c r="B14" s="28" t="inlineStr">
        <is>
          <t>Home Insurance</t>
        </is>
      </c>
      <c r="C14" s="14" t="n">
        <v>0</v>
      </c>
      <c r="D14" s="14" t="n">
        <v>0</v>
      </c>
      <c r="E14" s="27">
        <f>IFERROR(C14-D14,0)</f>
        <v/>
      </c>
      <c r="F14" s="23">
        <f>IFERROR(D14/C14,0)</f>
        <v/>
      </c>
      <c r="G14" s="28" t="inlineStr"/>
    </row>
    <row r="15" ht="20" customHeight="1">
      <c r="A15" s="41" t="inlineStr">
        <is>
          <t>HOUSING TOTAL</t>
        </is>
      </c>
      <c r="C15" s="42">
        <f>SUM(C10:C14)</f>
        <v/>
      </c>
      <c r="D15" s="42">
        <f>SUM(D10:D14)</f>
        <v/>
      </c>
      <c r="E15" s="43">
        <f>IFERROR(C15-D15,0)</f>
        <v/>
      </c>
      <c r="F15" s="44">
        <f>IFERROR(D15/C15,0)</f>
        <v/>
      </c>
      <c r="G15" s="45" t="inlineStr"/>
    </row>
    <row r="16" ht="22" customHeight="1">
      <c r="A16" s="25" t="inlineStr">
        <is>
          <t>TRANSPORT</t>
        </is>
      </c>
    </row>
    <row r="17" ht="18" customHeight="1">
      <c r="A17" s="28" t="inlineStr">
        <is>
          <t>TRANSPORT</t>
        </is>
      </c>
      <c r="B17" s="28" t="inlineStr">
        <is>
          <t>Car Payment</t>
        </is>
      </c>
      <c r="C17" s="14" t="n">
        <v>0</v>
      </c>
      <c r="D17" s="14" t="n">
        <v>0</v>
      </c>
      <c r="E17" s="27">
        <f>IFERROR(C17-D17,0)</f>
        <v/>
      </c>
      <c r="F17" s="23">
        <f>IFERROR(D17/C17,0)</f>
        <v/>
      </c>
      <c r="G17" s="28" t="inlineStr"/>
    </row>
    <row r="18" ht="18" customHeight="1">
      <c r="A18" s="30" t="inlineStr">
        <is>
          <t>TRANSPORT</t>
        </is>
      </c>
      <c r="B18" s="30" t="inlineStr">
        <is>
          <t>Fuel</t>
        </is>
      </c>
      <c r="C18" s="46" t="n">
        <v>0</v>
      </c>
      <c r="D18" s="46" t="n">
        <v>0</v>
      </c>
      <c r="E18" s="17">
        <f>IFERROR(C18-D18,0)</f>
        <v/>
      </c>
      <c r="F18" s="47">
        <f>IFERROR(D18/C18,0)</f>
        <v/>
      </c>
      <c r="G18" s="30" t="inlineStr"/>
    </row>
    <row r="19" ht="18" customHeight="1">
      <c r="A19" s="28" t="inlineStr">
        <is>
          <t>TRANSPORT</t>
        </is>
      </c>
      <c r="B19" s="28" t="inlineStr">
        <is>
          <t>Car Insurance</t>
        </is>
      </c>
      <c r="C19" s="14" t="n">
        <v>0</v>
      </c>
      <c r="D19" s="14" t="n">
        <v>0</v>
      </c>
      <c r="E19" s="27">
        <f>IFERROR(C19-D19,0)</f>
        <v/>
      </c>
      <c r="F19" s="23">
        <f>IFERROR(D19/C19,0)</f>
        <v/>
      </c>
      <c r="G19" s="28" t="inlineStr"/>
    </row>
    <row r="20" ht="18" customHeight="1">
      <c r="A20" s="30" t="inlineStr">
        <is>
          <t>TRANSPORT</t>
        </is>
      </c>
      <c r="B20" s="30" t="inlineStr">
        <is>
          <t>Parking</t>
        </is>
      </c>
      <c r="C20" s="46" t="n">
        <v>0</v>
      </c>
      <c r="D20" s="46" t="n">
        <v>0</v>
      </c>
      <c r="E20" s="17">
        <f>IFERROR(C20-D20,0)</f>
        <v/>
      </c>
      <c r="F20" s="47">
        <f>IFERROR(D20/C20,0)</f>
        <v/>
      </c>
      <c r="G20" s="30" t="inlineStr"/>
    </row>
    <row r="21" ht="18" customHeight="1">
      <c r="A21" s="28" t="inlineStr">
        <is>
          <t>TRANSPORT</t>
        </is>
      </c>
      <c r="B21" s="28" t="inlineStr">
        <is>
          <t>Public Transport</t>
        </is>
      </c>
      <c r="C21" s="14" t="n">
        <v>0</v>
      </c>
      <c r="D21" s="14" t="n">
        <v>0</v>
      </c>
      <c r="E21" s="27">
        <f>IFERROR(C21-D21,0)</f>
        <v/>
      </c>
      <c r="F21" s="23">
        <f>IFERROR(D21/C21,0)</f>
        <v/>
      </c>
      <c r="G21" s="28" t="inlineStr"/>
    </row>
    <row r="22" ht="20" customHeight="1">
      <c r="A22" s="41" t="inlineStr">
        <is>
          <t>TRANSPORT TOTAL</t>
        </is>
      </c>
      <c r="C22" s="42">
        <f>SUM(C17:C21)</f>
        <v/>
      </c>
      <c r="D22" s="42">
        <f>SUM(D17:D21)</f>
        <v/>
      </c>
      <c r="E22" s="43">
        <f>IFERROR(C22-D22,0)</f>
        <v/>
      </c>
      <c r="F22" s="44">
        <f>IFERROR(D22/C22,0)</f>
        <v/>
      </c>
      <c r="G22" s="45" t="inlineStr"/>
    </row>
    <row r="23" ht="22" customHeight="1">
      <c r="A23" s="25" t="inlineStr">
        <is>
          <t>FOOD &amp; DINING</t>
        </is>
      </c>
    </row>
    <row r="24" ht="18" customHeight="1">
      <c r="A24" s="28" t="inlineStr">
        <is>
          <t>FOOD &amp; DINING</t>
        </is>
      </c>
      <c r="B24" s="28" t="inlineStr">
        <is>
          <t>Groceries</t>
        </is>
      </c>
      <c r="C24" s="14" t="n">
        <v>0</v>
      </c>
      <c r="D24" s="14" t="n">
        <v>0</v>
      </c>
      <c r="E24" s="27">
        <f>IFERROR(C24-D24,0)</f>
        <v/>
      </c>
      <c r="F24" s="23">
        <f>IFERROR(D24/C24,0)</f>
        <v/>
      </c>
      <c r="G24" s="28" t="inlineStr"/>
    </row>
    <row r="25" ht="18" customHeight="1">
      <c r="A25" s="30" t="inlineStr">
        <is>
          <t>FOOD &amp; DINING</t>
        </is>
      </c>
      <c r="B25" s="30" t="inlineStr">
        <is>
          <t>Restaurants</t>
        </is>
      </c>
      <c r="C25" s="46" t="n">
        <v>0</v>
      </c>
      <c r="D25" s="46" t="n">
        <v>0</v>
      </c>
      <c r="E25" s="17">
        <f>IFERROR(C25-D25,0)</f>
        <v/>
      </c>
      <c r="F25" s="47">
        <f>IFERROR(D25/C25,0)</f>
        <v/>
      </c>
      <c r="G25" s="30" t="inlineStr"/>
    </row>
    <row r="26" ht="18" customHeight="1">
      <c r="A26" s="28" t="inlineStr">
        <is>
          <t>FOOD &amp; DINING</t>
        </is>
      </c>
      <c r="B26" s="28" t="inlineStr">
        <is>
          <t>Coffee</t>
        </is>
      </c>
      <c r="C26" s="14" t="n">
        <v>0</v>
      </c>
      <c r="D26" s="14" t="n">
        <v>0</v>
      </c>
      <c r="E26" s="27">
        <f>IFERROR(C26-D26,0)</f>
        <v/>
      </c>
      <c r="F26" s="23">
        <f>IFERROR(D26/C26,0)</f>
        <v/>
      </c>
      <c r="G26" s="28" t="inlineStr"/>
    </row>
    <row r="27" ht="18" customHeight="1">
      <c r="A27" s="30" t="inlineStr">
        <is>
          <t>FOOD &amp; DINING</t>
        </is>
      </c>
      <c r="B27" s="30" t="inlineStr">
        <is>
          <t>Food Delivery</t>
        </is>
      </c>
      <c r="C27" s="46" t="n">
        <v>0</v>
      </c>
      <c r="D27" s="46" t="n">
        <v>0</v>
      </c>
      <c r="E27" s="17">
        <f>IFERROR(C27-D27,0)</f>
        <v/>
      </c>
      <c r="F27" s="47">
        <f>IFERROR(D27/C27,0)</f>
        <v/>
      </c>
      <c r="G27" s="30" t="inlineStr"/>
    </row>
    <row r="28" ht="18" customHeight="1">
      <c r="A28" s="28" t="inlineStr">
        <is>
          <t>FOOD &amp; DINING</t>
        </is>
      </c>
      <c r="B28" s="28" t="inlineStr">
        <is>
          <t>Work Lunch</t>
        </is>
      </c>
      <c r="C28" s="14" t="n">
        <v>0</v>
      </c>
      <c r="D28" s="14" t="n">
        <v>0</v>
      </c>
      <c r="E28" s="27">
        <f>IFERROR(C28-D28,0)</f>
        <v/>
      </c>
      <c r="F28" s="23">
        <f>IFERROR(D28/C28,0)</f>
        <v/>
      </c>
      <c r="G28" s="28" t="inlineStr"/>
    </row>
    <row r="29" ht="20" customHeight="1">
      <c r="A29" s="41" t="inlineStr">
        <is>
          <t>FOOD &amp; DINING TOTAL</t>
        </is>
      </c>
      <c r="C29" s="42">
        <f>SUM(C24:C28)</f>
        <v/>
      </c>
      <c r="D29" s="42">
        <f>SUM(D24:D28)</f>
        <v/>
      </c>
      <c r="E29" s="43">
        <f>IFERROR(C29-D29,0)</f>
        <v/>
      </c>
      <c r="F29" s="44">
        <f>IFERROR(D29/C29,0)</f>
        <v/>
      </c>
      <c r="G29" s="45" t="inlineStr"/>
    </row>
    <row r="30" ht="22" customHeight="1">
      <c r="A30" s="25" t="inlineStr">
        <is>
          <t>HEALTH &amp; WELLNESS</t>
        </is>
      </c>
    </row>
    <row r="31" ht="18" customHeight="1">
      <c r="A31" s="28" t="inlineStr">
        <is>
          <t>HEALTH &amp; WELLNESS</t>
        </is>
      </c>
      <c r="B31" s="28" t="inlineStr">
        <is>
          <t>Health Insurance</t>
        </is>
      </c>
      <c r="C31" s="14" t="n">
        <v>0</v>
      </c>
      <c r="D31" s="14" t="n">
        <v>0</v>
      </c>
      <c r="E31" s="27">
        <f>IFERROR(C31-D31,0)</f>
        <v/>
      </c>
      <c r="F31" s="23">
        <f>IFERROR(D31/C31,0)</f>
        <v/>
      </c>
      <c r="G31" s="28" t="inlineStr"/>
    </row>
    <row r="32" ht="18" customHeight="1">
      <c r="A32" s="30" t="inlineStr">
        <is>
          <t>HEALTH &amp; WELLNESS</t>
        </is>
      </c>
      <c r="B32" s="30" t="inlineStr">
        <is>
          <t>Gym</t>
        </is>
      </c>
      <c r="C32" s="46" t="n">
        <v>0</v>
      </c>
      <c r="D32" s="46" t="n">
        <v>0</v>
      </c>
      <c r="E32" s="17">
        <f>IFERROR(C32-D32,0)</f>
        <v/>
      </c>
      <c r="F32" s="47">
        <f>IFERROR(D32/C32,0)</f>
        <v/>
      </c>
      <c r="G32" s="30" t="inlineStr"/>
    </row>
    <row r="33" ht="18" customHeight="1">
      <c r="A33" s="28" t="inlineStr">
        <is>
          <t>HEALTH &amp; WELLNESS</t>
        </is>
      </c>
      <c r="B33" s="28" t="inlineStr">
        <is>
          <t>Pharmacy</t>
        </is>
      </c>
      <c r="C33" s="14" t="n">
        <v>0</v>
      </c>
      <c r="D33" s="14" t="n">
        <v>0</v>
      </c>
      <c r="E33" s="27">
        <f>IFERROR(C33-D33,0)</f>
        <v/>
      </c>
      <c r="F33" s="23">
        <f>IFERROR(D33/C33,0)</f>
        <v/>
      </c>
      <c r="G33" s="28" t="inlineStr"/>
    </row>
    <row r="34" ht="18" customHeight="1">
      <c r="A34" s="30" t="inlineStr">
        <is>
          <t>HEALTH &amp; WELLNESS</t>
        </is>
      </c>
      <c r="B34" s="30" t="inlineStr">
        <is>
          <t>Doctor</t>
        </is>
      </c>
      <c r="C34" s="46" t="n">
        <v>0</v>
      </c>
      <c r="D34" s="46" t="n">
        <v>0</v>
      </c>
      <c r="E34" s="17">
        <f>IFERROR(C34-D34,0)</f>
        <v/>
      </c>
      <c r="F34" s="47">
        <f>IFERROR(D34/C34,0)</f>
        <v/>
      </c>
      <c r="G34" s="30" t="inlineStr"/>
    </row>
    <row r="35" ht="18" customHeight="1">
      <c r="A35" s="28" t="inlineStr">
        <is>
          <t>HEALTH &amp; WELLNESS</t>
        </is>
      </c>
      <c r="B35" s="28" t="inlineStr">
        <is>
          <t>Dental</t>
        </is>
      </c>
      <c r="C35" s="14" t="n">
        <v>0</v>
      </c>
      <c r="D35" s="14" t="n">
        <v>0</v>
      </c>
      <c r="E35" s="27">
        <f>IFERROR(C35-D35,0)</f>
        <v/>
      </c>
      <c r="F35" s="23">
        <f>IFERROR(D35/C35,0)</f>
        <v/>
      </c>
      <c r="G35" s="28" t="inlineStr"/>
    </row>
    <row r="36" ht="20" customHeight="1">
      <c r="A36" s="41" t="inlineStr">
        <is>
          <t>HEALTH &amp; WELLNESS TOTAL</t>
        </is>
      </c>
      <c r="C36" s="42">
        <f>SUM(C31:C35)</f>
        <v/>
      </c>
      <c r="D36" s="42">
        <f>SUM(D31:D35)</f>
        <v/>
      </c>
      <c r="E36" s="43">
        <f>IFERROR(C36-D36,0)</f>
        <v/>
      </c>
      <c r="F36" s="44">
        <f>IFERROR(D36/C36,0)</f>
        <v/>
      </c>
      <c r="G36" s="45" t="inlineStr"/>
    </row>
    <row r="37" ht="22" customHeight="1">
      <c r="A37" s="25" t="inlineStr">
        <is>
          <t>LIFESTYLE</t>
        </is>
      </c>
    </row>
    <row r="38" ht="18" customHeight="1">
      <c r="A38" s="28" t="inlineStr">
        <is>
          <t>LIFESTYLE</t>
        </is>
      </c>
      <c r="B38" s="28" t="inlineStr">
        <is>
          <t>Streaming Services</t>
        </is>
      </c>
      <c r="C38" s="14" t="n">
        <v>0</v>
      </c>
      <c r="D38" s="14" t="n">
        <v>0</v>
      </c>
      <c r="E38" s="27">
        <f>IFERROR(C38-D38,0)</f>
        <v/>
      </c>
      <c r="F38" s="23">
        <f>IFERROR(D38/C38,0)</f>
        <v/>
      </c>
      <c r="G38" s="28" t="inlineStr"/>
    </row>
    <row r="39" ht="18" customHeight="1">
      <c r="A39" s="30" t="inlineStr">
        <is>
          <t>LIFESTYLE</t>
        </is>
      </c>
      <c r="B39" s="30" t="inlineStr">
        <is>
          <t>Entertainment</t>
        </is>
      </c>
      <c r="C39" s="46" t="n">
        <v>0</v>
      </c>
      <c r="D39" s="46" t="n">
        <v>0</v>
      </c>
      <c r="E39" s="17">
        <f>IFERROR(C39-D39,0)</f>
        <v/>
      </c>
      <c r="F39" s="47">
        <f>IFERROR(D39/C39,0)</f>
        <v/>
      </c>
      <c r="G39" s="30" t="inlineStr"/>
    </row>
    <row r="40" ht="18" customHeight="1">
      <c r="A40" s="28" t="inlineStr">
        <is>
          <t>LIFESTYLE</t>
        </is>
      </c>
      <c r="B40" s="28" t="inlineStr">
        <is>
          <t>Hobbies</t>
        </is>
      </c>
      <c r="C40" s="14" t="n">
        <v>0</v>
      </c>
      <c r="D40" s="14" t="n">
        <v>0</v>
      </c>
      <c r="E40" s="27">
        <f>IFERROR(C40-D40,0)</f>
        <v/>
      </c>
      <c r="F40" s="23">
        <f>IFERROR(D40/C40,0)</f>
        <v/>
      </c>
      <c r="G40" s="28" t="inlineStr"/>
    </row>
    <row r="41" ht="18" customHeight="1">
      <c r="A41" s="30" t="inlineStr">
        <is>
          <t>LIFESTYLE</t>
        </is>
      </c>
      <c r="B41" s="30" t="inlineStr">
        <is>
          <t>Personal Care</t>
        </is>
      </c>
      <c r="C41" s="46" t="n">
        <v>0</v>
      </c>
      <c r="D41" s="46" t="n">
        <v>0</v>
      </c>
      <c r="E41" s="17">
        <f>IFERROR(C41-D41,0)</f>
        <v/>
      </c>
      <c r="F41" s="47">
        <f>IFERROR(D41/C41,0)</f>
        <v/>
      </c>
      <c r="G41" s="30" t="inlineStr"/>
    </row>
    <row r="42" ht="18" customHeight="1">
      <c r="A42" s="28" t="inlineStr">
        <is>
          <t>LIFESTYLE</t>
        </is>
      </c>
      <c r="B42" s="28" t="inlineStr">
        <is>
          <t>Books</t>
        </is>
      </c>
      <c r="C42" s="14" t="n">
        <v>0</v>
      </c>
      <c r="D42" s="14" t="n">
        <v>0</v>
      </c>
      <c r="E42" s="27">
        <f>IFERROR(C42-D42,0)</f>
        <v/>
      </c>
      <c r="F42" s="23">
        <f>IFERROR(D42/C42,0)</f>
        <v/>
      </c>
      <c r="G42" s="28" t="inlineStr"/>
    </row>
    <row r="43" ht="20" customHeight="1">
      <c r="A43" s="41" t="inlineStr">
        <is>
          <t>LIFESTYLE TOTAL</t>
        </is>
      </c>
      <c r="C43" s="42">
        <f>SUM(C38:C42)</f>
        <v/>
      </c>
      <c r="D43" s="42">
        <f>SUM(D38:D42)</f>
        <v/>
      </c>
      <c r="E43" s="43">
        <f>IFERROR(C43-D43,0)</f>
        <v/>
      </c>
      <c r="F43" s="44">
        <f>IFERROR(D43/C43,0)</f>
        <v/>
      </c>
      <c r="G43" s="45" t="inlineStr"/>
    </row>
    <row r="44" ht="22" customHeight="1">
      <c r="A44" s="25" t="inlineStr">
        <is>
          <t>PERSONAL</t>
        </is>
      </c>
    </row>
    <row r="45" ht="18" customHeight="1">
      <c r="A45" s="28" t="inlineStr">
        <is>
          <t>PERSONAL</t>
        </is>
      </c>
      <c r="B45" s="28" t="inlineStr">
        <is>
          <t>Clothing</t>
        </is>
      </c>
      <c r="C45" s="14" t="n">
        <v>0</v>
      </c>
      <c r="D45" s="14" t="n">
        <v>0</v>
      </c>
      <c r="E45" s="27">
        <f>IFERROR(C45-D45,0)</f>
        <v/>
      </c>
      <c r="F45" s="23">
        <f>IFERROR(D45/C45,0)</f>
        <v/>
      </c>
      <c r="G45" s="28" t="inlineStr"/>
    </row>
    <row r="46" ht="18" customHeight="1">
      <c r="A46" s="30" t="inlineStr">
        <is>
          <t>PERSONAL</t>
        </is>
      </c>
      <c r="B46" s="30" t="inlineStr">
        <is>
          <t>Gifts</t>
        </is>
      </c>
      <c r="C46" s="46" t="n">
        <v>0</v>
      </c>
      <c r="D46" s="46" t="n">
        <v>0</v>
      </c>
      <c r="E46" s="17">
        <f>IFERROR(C46-D46,0)</f>
        <v/>
      </c>
      <c r="F46" s="47">
        <f>IFERROR(D46/C46,0)</f>
        <v/>
      </c>
      <c r="G46" s="30" t="inlineStr"/>
    </row>
    <row r="47" ht="18" customHeight="1">
      <c r="A47" s="28" t="inlineStr">
        <is>
          <t>PERSONAL</t>
        </is>
      </c>
      <c r="B47" s="28" t="inlineStr">
        <is>
          <t>Education</t>
        </is>
      </c>
      <c r="C47" s="14" t="n">
        <v>0</v>
      </c>
      <c r="D47" s="14" t="n">
        <v>0</v>
      </c>
      <c r="E47" s="27">
        <f>IFERROR(C47-D47,0)</f>
        <v/>
      </c>
      <c r="F47" s="23">
        <f>IFERROR(D47/C47,0)</f>
        <v/>
      </c>
      <c r="G47" s="28" t="inlineStr"/>
    </row>
    <row r="48" ht="18" customHeight="1">
      <c r="A48" s="30" t="inlineStr">
        <is>
          <t>PERSONAL</t>
        </is>
      </c>
      <c r="B48" s="30" t="inlineStr">
        <is>
          <t>Pet Care</t>
        </is>
      </c>
      <c r="C48" s="46" t="n">
        <v>0</v>
      </c>
      <c r="D48" s="46" t="n">
        <v>0</v>
      </c>
      <c r="E48" s="17">
        <f>IFERROR(C48-D48,0)</f>
        <v/>
      </c>
      <c r="F48" s="47">
        <f>IFERROR(D48/C48,0)</f>
        <v/>
      </c>
      <c r="G48" s="30" t="inlineStr"/>
    </row>
    <row r="49" ht="18" customHeight="1">
      <c r="A49" s="28" t="inlineStr">
        <is>
          <t>PERSONAL</t>
        </is>
      </c>
      <c r="B49" s="28" t="inlineStr">
        <is>
          <t>Miscellaneous</t>
        </is>
      </c>
      <c r="C49" s="14" t="n">
        <v>0</v>
      </c>
      <c r="D49" s="14" t="n">
        <v>0</v>
      </c>
      <c r="E49" s="27">
        <f>IFERROR(C49-D49,0)</f>
        <v/>
      </c>
      <c r="F49" s="23">
        <f>IFERROR(D49/C49,0)</f>
        <v/>
      </c>
      <c r="G49" s="28" t="inlineStr"/>
    </row>
    <row r="50" ht="20" customHeight="1">
      <c r="A50" s="41" t="inlineStr">
        <is>
          <t>PERSONAL TOTAL</t>
        </is>
      </c>
      <c r="C50" s="42">
        <f>SUM(C45:C49)</f>
        <v/>
      </c>
      <c r="D50" s="42">
        <f>SUM(D45:D49)</f>
        <v/>
      </c>
      <c r="E50" s="43">
        <f>IFERROR(C50-D50,0)</f>
        <v/>
      </c>
      <c r="F50" s="44">
        <f>IFERROR(D50/C50,0)</f>
        <v/>
      </c>
      <c r="G50" s="45" t="inlineStr"/>
    </row>
    <row r="51" ht="22" customHeight="1">
      <c r="A51" s="25" t="inlineStr">
        <is>
          <t>SAVINGS &amp; INVESTMENTS</t>
        </is>
      </c>
    </row>
    <row r="52" ht="18" customHeight="1">
      <c r="A52" s="28" t="inlineStr">
        <is>
          <t>SAVINGS &amp; INVESTMENTS</t>
        </is>
      </c>
      <c r="B52" s="28" t="inlineStr">
        <is>
          <t>Emergency Fund</t>
        </is>
      </c>
      <c r="C52" s="14" t="n">
        <v>0</v>
      </c>
      <c r="D52" s="14" t="n">
        <v>0</v>
      </c>
      <c r="E52" s="27">
        <f>IFERROR(C52-D52,0)</f>
        <v/>
      </c>
      <c r="F52" s="23">
        <f>IFERROR(D52/C52,0)</f>
        <v/>
      </c>
      <c r="G52" s="28" t="inlineStr"/>
    </row>
    <row r="53" ht="18" customHeight="1">
      <c r="A53" s="30" t="inlineStr">
        <is>
          <t>SAVINGS &amp; INVESTMENTS</t>
        </is>
      </c>
      <c r="B53" s="30" t="inlineStr">
        <is>
          <t>Pension/IRA</t>
        </is>
      </c>
      <c r="C53" s="46" t="n">
        <v>0</v>
      </c>
      <c r="D53" s="46" t="n">
        <v>0</v>
      </c>
      <c r="E53" s="17">
        <f>IFERROR(C53-D53,0)</f>
        <v/>
      </c>
      <c r="F53" s="47">
        <f>IFERROR(D53/C53,0)</f>
        <v/>
      </c>
      <c r="G53" s="30" t="inlineStr"/>
    </row>
    <row r="54" ht="18" customHeight="1">
      <c r="A54" s="28" t="inlineStr">
        <is>
          <t>SAVINGS &amp; INVESTMENTS</t>
        </is>
      </c>
      <c r="B54" s="28" t="inlineStr">
        <is>
          <t>Stocks</t>
        </is>
      </c>
      <c r="C54" s="14" t="n">
        <v>0</v>
      </c>
      <c r="D54" s="14" t="n">
        <v>0</v>
      </c>
      <c r="E54" s="27">
        <f>IFERROR(C54-D54,0)</f>
        <v/>
      </c>
      <c r="F54" s="23">
        <f>IFERROR(D54/C54,0)</f>
        <v/>
      </c>
      <c r="G54" s="28" t="inlineStr"/>
    </row>
    <row r="55" ht="18" customHeight="1">
      <c r="A55" s="30" t="inlineStr">
        <is>
          <t>SAVINGS &amp; INVESTMENTS</t>
        </is>
      </c>
      <c r="B55" s="30" t="inlineStr">
        <is>
          <t>Vacation Fund</t>
        </is>
      </c>
      <c r="C55" s="46" t="n">
        <v>0</v>
      </c>
      <c r="D55" s="46" t="n">
        <v>0</v>
      </c>
      <c r="E55" s="17">
        <f>IFERROR(C55-D55,0)</f>
        <v/>
      </c>
      <c r="F55" s="47">
        <f>IFERROR(D55/C55,0)</f>
        <v/>
      </c>
      <c r="G55" s="30" t="inlineStr"/>
    </row>
    <row r="56" ht="18" customHeight="1">
      <c r="A56" s="28" t="inlineStr">
        <is>
          <t>SAVINGS &amp; INVESTMENTS</t>
        </is>
      </c>
      <c r="B56" s="28" t="inlineStr">
        <is>
          <t>Other Savings</t>
        </is>
      </c>
      <c r="C56" s="14" t="n">
        <v>0</v>
      </c>
      <c r="D56" s="14" t="n">
        <v>0</v>
      </c>
      <c r="E56" s="27">
        <f>IFERROR(C56-D56,0)</f>
        <v/>
      </c>
      <c r="F56" s="23">
        <f>IFERROR(D56/C56,0)</f>
        <v/>
      </c>
      <c r="G56" s="28" t="inlineStr"/>
    </row>
    <row r="57" ht="20" customHeight="1">
      <c r="A57" s="41" t="inlineStr">
        <is>
          <t>SAVINGS &amp; INVESTMENTS TOTAL</t>
        </is>
      </c>
      <c r="C57" s="42">
        <f>SUM(C52:C56)</f>
        <v/>
      </c>
      <c r="D57" s="42">
        <f>SUM(D52:D56)</f>
        <v/>
      </c>
      <c r="E57" s="43">
        <f>IFERROR(C57-D57,0)</f>
        <v/>
      </c>
      <c r="F57" s="44">
        <f>IFERROR(D57/C57,0)</f>
        <v/>
      </c>
      <c r="G57" s="45" t="inlineStr"/>
    </row>
    <row r="58" ht="22" customHeight="1">
      <c r="A58" s="25" t="inlineStr">
        <is>
          <t>DEBT PAYMENTS</t>
        </is>
      </c>
    </row>
    <row r="59" ht="18" customHeight="1">
      <c r="A59" s="28" t="inlineStr">
        <is>
          <t>DEBT PAYMENTS</t>
        </is>
      </c>
      <c r="B59" s="28" t="inlineStr">
        <is>
          <t>Credit Card 1</t>
        </is>
      </c>
      <c r="C59" s="14" t="n">
        <v>0</v>
      </c>
      <c r="D59" s="14" t="n">
        <v>0</v>
      </c>
      <c r="E59" s="27">
        <f>IFERROR(C59-D59,0)</f>
        <v/>
      </c>
      <c r="F59" s="23">
        <f>IFERROR(D59/C59,0)</f>
        <v/>
      </c>
      <c r="G59" s="28" t="inlineStr"/>
    </row>
    <row r="60" ht="18" customHeight="1">
      <c r="A60" s="30" t="inlineStr">
        <is>
          <t>DEBT PAYMENTS</t>
        </is>
      </c>
      <c r="B60" s="30" t="inlineStr">
        <is>
          <t>Credit Card 2</t>
        </is>
      </c>
      <c r="C60" s="46" t="n">
        <v>0</v>
      </c>
      <c r="D60" s="46" t="n">
        <v>0</v>
      </c>
      <c r="E60" s="17">
        <f>IFERROR(C60-D60,0)</f>
        <v/>
      </c>
      <c r="F60" s="47">
        <f>IFERROR(D60/C60,0)</f>
        <v/>
      </c>
      <c r="G60" s="30" t="inlineStr"/>
    </row>
    <row r="61" ht="18" customHeight="1">
      <c r="A61" s="28" t="inlineStr">
        <is>
          <t>DEBT PAYMENTS</t>
        </is>
      </c>
      <c r="B61" s="28" t="inlineStr">
        <is>
          <t>Student Loan</t>
        </is>
      </c>
      <c r="C61" s="14" t="n">
        <v>0</v>
      </c>
      <c r="D61" s="14" t="n">
        <v>0</v>
      </c>
      <c r="E61" s="27">
        <f>IFERROR(C61-D61,0)</f>
        <v/>
      </c>
      <c r="F61" s="23">
        <f>IFERROR(D61/C61,0)</f>
        <v/>
      </c>
      <c r="G61" s="28" t="inlineStr"/>
    </row>
    <row r="62" ht="18" customHeight="1">
      <c r="A62" s="30" t="inlineStr">
        <is>
          <t>DEBT PAYMENTS</t>
        </is>
      </c>
      <c r="B62" s="30" t="inlineStr">
        <is>
          <t>Car Loan</t>
        </is>
      </c>
      <c r="C62" s="46" t="n">
        <v>0</v>
      </c>
      <c r="D62" s="46" t="n">
        <v>0</v>
      </c>
      <c r="E62" s="17">
        <f>IFERROR(C62-D62,0)</f>
        <v/>
      </c>
      <c r="F62" s="47">
        <f>IFERROR(D62/C62,0)</f>
        <v/>
      </c>
      <c r="G62" s="30" t="inlineStr"/>
    </row>
    <row r="63" ht="18" customHeight="1">
      <c r="A63" s="28" t="inlineStr">
        <is>
          <t>DEBT PAYMENTS</t>
        </is>
      </c>
      <c r="B63" s="28" t="inlineStr">
        <is>
          <t>Other</t>
        </is>
      </c>
      <c r="C63" s="14" t="n">
        <v>0</v>
      </c>
      <c r="D63" s="14" t="n">
        <v>0</v>
      </c>
      <c r="E63" s="27">
        <f>IFERROR(C63-D63,0)</f>
        <v/>
      </c>
      <c r="F63" s="23">
        <f>IFERROR(D63/C63,0)</f>
        <v/>
      </c>
      <c r="G63" s="28" t="inlineStr"/>
    </row>
    <row r="64" ht="20" customHeight="1">
      <c r="A64" s="41" t="inlineStr">
        <is>
          <t>DEBT PAYMENTS TOTAL</t>
        </is>
      </c>
      <c r="C64" s="42">
        <f>SUM(C59:C63)</f>
        <v/>
      </c>
      <c r="D64" s="42">
        <f>SUM(D59:D63)</f>
        <v/>
      </c>
      <c r="E64" s="43">
        <f>IFERROR(C64-D64,0)</f>
        <v/>
      </c>
      <c r="F64" s="44">
        <f>IFERROR(D64/C64,0)</f>
        <v/>
      </c>
      <c r="G64" s="45" t="inlineStr"/>
    </row>
    <row r="65" ht="24" customHeight="1">
      <c r="A65" s="9" t="inlineStr">
        <is>
          <t>GRAND TOTAL EXPENSES</t>
        </is>
      </c>
      <c r="C65" s="48">
        <f>C15+C22+C29+C36+C43+C50+C57+C64</f>
        <v/>
      </c>
      <c r="D65" s="48">
        <f>D15+D22+D29+D36+D43+D50+D57+D64</f>
        <v/>
      </c>
      <c r="E65" s="49">
        <f>IFERROR(C65-D65,0)</f>
        <v/>
      </c>
      <c r="F65" s="50" t="inlineStr"/>
      <c r="G65" s="50" t="inlineStr"/>
    </row>
    <row r="66" ht="24" customHeight="1">
      <c r="A66" s="8" t="inlineStr">
        <is>
          <t>NET CASH FLOW</t>
        </is>
      </c>
      <c r="C66" s="51">
        <f>IFERROR(C8-C65,0)</f>
        <v/>
      </c>
      <c r="D66" s="51">
        <f>IFERROR(D8-D65,0)</f>
        <v/>
      </c>
      <c r="E66" s="52" t="inlineStr"/>
      <c r="F66" s="52" t="inlineStr"/>
      <c r="G66" s="52" t="inlineStr"/>
    </row>
    <row r="67" ht="22" customHeight="1">
      <c r="A67" s="53" t="inlineStr">
        <is>
          <t>BUDGET VS ACTUAL — CATEGORY OVERVIEW</t>
        </is>
      </c>
    </row>
    <row r="68" ht="18" customHeight="1">
      <c r="A68" s="12" t="inlineStr">
        <is>
          <t>HOUSING</t>
        </is>
      </c>
      <c r="B68" s="27">
        <f>C15</f>
        <v/>
      </c>
      <c r="C68" s="27">
        <f>D15</f>
        <v/>
      </c>
    </row>
    <row r="69" ht="18" customHeight="1">
      <c r="A69" s="15" t="inlineStr">
        <is>
          <t>TRANSPORT</t>
        </is>
      </c>
      <c r="B69" s="17">
        <f>C22</f>
        <v/>
      </c>
      <c r="C69" s="17">
        <f>D22</f>
        <v/>
      </c>
    </row>
    <row r="70" ht="18" customHeight="1">
      <c r="A70" s="12" t="inlineStr">
        <is>
          <t>FOOD &amp; DINING</t>
        </is>
      </c>
      <c r="B70" s="27">
        <f>C29</f>
        <v/>
      </c>
      <c r="C70" s="27">
        <f>D29</f>
        <v/>
      </c>
    </row>
    <row r="71" ht="18" customHeight="1">
      <c r="A71" s="15" t="inlineStr">
        <is>
          <t>HEALTH &amp; WELLNESS</t>
        </is>
      </c>
      <c r="B71" s="17">
        <f>C36</f>
        <v/>
      </c>
      <c r="C71" s="17">
        <f>D36</f>
        <v/>
      </c>
    </row>
    <row r="72" ht="18" customHeight="1">
      <c r="A72" s="12" t="inlineStr">
        <is>
          <t>LIFESTYLE</t>
        </is>
      </c>
      <c r="B72" s="27">
        <f>C43</f>
        <v/>
      </c>
      <c r="C72" s="27">
        <f>D43</f>
        <v/>
      </c>
    </row>
    <row r="73" ht="18" customHeight="1">
      <c r="A73" s="15" t="inlineStr">
        <is>
          <t>PERSONAL</t>
        </is>
      </c>
      <c r="B73" s="17">
        <f>C50</f>
        <v/>
      </c>
      <c r="C73" s="17">
        <f>D50</f>
        <v/>
      </c>
    </row>
    <row r="74" ht="18" customHeight="1">
      <c r="A74" s="12" t="inlineStr">
        <is>
          <t>SAVINGS &amp; INVESTMENTS</t>
        </is>
      </c>
      <c r="B74" s="27">
        <f>C57</f>
        <v/>
      </c>
      <c r="C74" s="27">
        <f>D57</f>
        <v/>
      </c>
    </row>
    <row r="75" ht="18" customHeight="1">
      <c r="A75" s="15" t="inlineStr">
        <is>
          <t>DEBT PAYMENTS</t>
        </is>
      </c>
      <c r="B75" s="17">
        <f>C64</f>
        <v/>
      </c>
      <c r="C75" s="17">
        <f>D64</f>
        <v/>
      </c>
    </row>
  </sheetData>
  <mergeCells count="23">
    <mergeCell ref="A15:B15"/>
    <mergeCell ref="A64:B64"/>
    <mergeCell ref="A4:G4"/>
    <mergeCell ref="A36:B36"/>
    <mergeCell ref="A44:G44"/>
    <mergeCell ref="A58:G58"/>
    <mergeCell ref="A67:D67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5C8A52"/>
    <outlinePr summaryBelow="1" summaryRight="1"/>
    <pageSetUpPr/>
  </sheetPr>
  <dimension ref="A1:G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20" customWidth="1" min="7" max="7"/>
  </cols>
  <sheetData>
    <row r="1" ht="48" customHeight="1">
      <c r="A1" s="1" t="inlineStr">
        <is>
          <t>MAY · MONTHLY BUDGET</t>
        </is>
      </c>
    </row>
    <row r="2" ht="20" customHeight="1">
      <c r="A2" s="2" t="inlineStr">
        <is>
          <t>Track your income and expenses for May</t>
        </is>
      </c>
    </row>
    <row r="3" ht="20" customHeight="1">
      <c r="A3" s="26" t="inlineStr">
        <is>
          <t>CATEGORY</t>
        </is>
      </c>
      <c r="B3" s="26" t="inlineStr">
        <is>
          <t>SUBCATEGORY</t>
        </is>
      </c>
      <c r="C3" s="26" t="inlineStr">
        <is>
          <t>BUDGETED</t>
        </is>
      </c>
      <c r="D3" s="26" t="inlineStr">
        <is>
          <t>ACTUAL</t>
        </is>
      </c>
      <c r="E3" s="26" t="inlineStr">
        <is>
          <t>DIFFERENCE</t>
        </is>
      </c>
      <c r="F3" s="26" t="inlineStr">
        <is>
          <t>% USED</t>
        </is>
      </c>
      <c r="G3" s="26" t="inlineStr">
        <is>
          <t>NOTES</t>
        </is>
      </c>
    </row>
    <row r="4" ht="22" customHeight="1">
      <c r="A4" s="9" t="inlineStr">
        <is>
          <t>INCOME</t>
        </is>
      </c>
    </row>
    <row r="5" ht="18" customHeight="1">
      <c r="A5" s="28" t="inlineStr">
        <is>
          <t>INCOME</t>
        </is>
      </c>
      <c r="B5" s="28" t="inlineStr">
        <is>
          <t>Primary Income</t>
        </is>
      </c>
      <c r="C5" s="14" t="n">
        <v>0</v>
      </c>
      <c r="D5" s="14" t="n">
        <v>0</v>
      </c>
      <c r="E5" s="27">
        <f>IFERROR(C5-D5,0)</f>
        <v/>
      </c>
      <c r="F5" s="23">
        <f>IFERROR(D5/C5,0)</f>
        <v/>
      </c>
      <c r="G5" s="28" t="inlineStr"/>
    </row>
    <row r="6" ht="18" customHeight="1">
      <c r="A6" s="31" t="inlineStr">
        <is>
          <t>INCOME</t>
        </is>
      </c>
      <c r="B6" s="31" t="inlineStr">
        <is>
          <t>Side Income</t>
        </is>
      </c>
      <c r="C6" s="20" t="n">
        <v>0</v>
      </c>
      <c r="D6" s="20" t="n">
        <v>0</v>
      </c>
      <c r="E6" s="39">
        <f>IFERROR(C6-D6,0)</f>
        <v/>
      </c>
      <c r="F6" s="40">
        <f>IFERROR(D6/C6,0)</f>
        <v/>
      </c>
      <c r="G6" s="31" t="inlineStr"/>
    </row>
    <row r="7" ht="18" customHeight="1">
      <c r="A7" s="28" t="inlineStr">
        <is>
          <t>INCOME</t>
        </is>
      </c>
      <c r="B7" s="28" t="inlineStr">
        <is>
          <t>Other Income</t>
        </is>
      </c>
      <c r="C7" s="14" t="n">
        <v>0</v>
      </c>
      <c r="D7" s="14" t="n">
        <v>0</v>
      </c>
      <c r="E7" s="27">
        <f>IFERROR(C7-D7,0)</f>
        <v/>
      </c>
      <c r="F7" s="23">
        <f>IFERROR(D7/C7,0)</f>
        <v/>
      </c>
      <c r="G7" s="28" t="inlineStr"/>
    </row>
    <row r="8" ht="20" customHeight="1">
      <c r="A8" s="41" t="inlineStr">
        <is>
          <t>TOTAL INCOME</t>
        </is>
      </c>
      <c r="C8" s="42">
        <f>SUM(C5:C7)</f>
        <v/>
      </c>
      <c r="D8" s="42">
        <f>SUM(D5:D7)</f>
        <v/>
      </c>
      <c r="E8" s="43">
        <f>IFERROR(C8-D8,0)</f>
        <v/>
      </c>
      <c r="F8" s="44">
        <f>IFERROR(D8/C8,0)</f>
        <v/>
      </c>
      <c r="G8" s="45" t="inlineStr"/>
    </row>
    <row r="9" ht="22" customHeight="1">
      <c r="A9" s="25" t="inlineStr">
        <is>
          <t>HOUSING</t>
        </is>
      </c>
    </row>
    <row r="10" ht="18" customHeight="1">
      <c r="A10" s="28" t="inlineStr">
        <is>
          <t>HOUSING</t>
        </is>
      </c>
      <c r="B10" s="28" t="inlineStr">
        <is>
          <t>Rent/Mortgage</t>
        </is>
      </c>
      <c r="C10" s="14" t="n">
        <v>0</v>
      </c>
      <c r="D10" s="14" t="n">
        <v>0</v>
      </c>
      <c r="E10" s="27">
        <f>IFERROR(C10-D10,0)</f>
        <v/>
      </c>
      <c r="F10" s="23">
        <f>IFERROR(D10/C10,0)</f>
        <v/>
      </c>
      <c r="G10" s="28" t="inlineStr"/>
    </row>
    <row r="11" ht="18" customHeight="1">
      <c r="A11" s="30" t="inlineStr">
        <is>
          <t>HOUSING</t>
        </is>
      </c>
      <c r="B11" s="30" t="inlineStr">
        <is>
          <t>Utilities</t>
        </is>
      </c>
      <c r="C11" s="46" t="n">
        <v>0</v>
      </c>
      <c r="D11" s="46" t="n">
        <v>0</v>
      </c>
      <c r="E11" s="17">
        <f>IFERROR(C11-D11,0)</f>
        <v/>
      </c>
      <c r="F11" s="47">
        <f>IFERROR(D11/C11,0)</f>
        <v/>
      </c>
      <c r="G11" s="30" t="inlineStr"/>
    </row>
    <row r="12" ht="18" customHeight="1">
      <c r="A12" s="28" t="inlineStr">
        <is>
          <t>HOUSING</t>
        </is>
      </c>
      <c r="B12" s="28" t="inlineStr">
        <is>
          <t>Electricity</t>
        </is>
      </c>
      <c r="C12" s="14" t="n">
        <v>0</v>
      </c>
      <c r="D12" s="14" t="n">
        <v>0</v>
      </c>
      <c r="E12" s="27">
        <f>IFERROR(C12-D12,0)</f>
        <v/>
      </c>
      <c r="F12" s="23">
        <f>IFERROR(D12/C12,0)</f>
        <v/>
      </c>
      <c r="G12" s="28" t="inlineStr"/>
    </row>
    <row r="13" ht="18" customHeight="1">
      <c r="A13" s="30" t="inlineStr">
        <is>
          <t>HOUSING</t>
        </is>
      </c>
      <c r="B13" s="30" t="inlineStr">
        <is>
          <t>Internet</t>
        </is>
      </c>
      <c r="C13" s="46" t="n">
        <v>0</v>
      </c>
      <c r="D13" s="46" t="n">
        <v>0</v>
      </c>
      <c r="E13" s="17">
        <f>IFERROR(C13-D13,0)</f>
        <v/>
      </c>
      <c r="F13" s="47">
        <f>IFERROR(D13/C13,0)</f>
        <v/>
      </c>
      <c r="G13" s="30" t="inlineStr"/>
    </row>
    <row r="14" ht="18" customHeight="1">
      <c r="A14" s="28" t="inlineStr">
        <is>
          <t>HOUSING</t>
        </is>
      </c>
      <c r="B14" s="28" t="inlineStr">
        <is>
          <t>Home Insurance</t>
        </is>
      </c>
      <c r="C14" s="14" t="n">
        <v>0</v>
      </c>
      <c r="D14" s="14" t="n">
        <v>0</v>
      </c>
      <c r="E14" s="27">
        <f>IFERROR(C14-D14,0)</f>
        <v/>
      </c>
      <c r="F14" s="23">
        <f>IFERROR(D14/C14,0)</f>
        <v/>
      </c>
      <c r="G14" s="28" t="inlineStr"/>
    </row>
    <row r="15" ht="20" customHeight="1">
      <c r="A15" s="41" t="inlineStr">
        <is>
          <t>HOUSING TOTAL</t>
        </is>
      </c>
      <c r="C15" s="42">
        <f>SUM(C10:C14)</f>
        <v/>
      </c>
      <c r="D15" s="42">
        <f>SUM(D10:D14)</f>
        <v/>
      </c>
      <c r="E15" s="43">
        <f>IFERROR(C15-D15,0)</f>
        <v/>
      </c>
      <c r="F15" s="44">
        <f>IFERROR(D15/C15,0)</f>
        <v/>
      </c>
      <c r="G15" s="45" t="inlineStr"/>
    </row>
    <row r="16" ht="22" customHeight="1">
      <c r="A16" s="25" t="inlineStr">
        <is>
          <t>TRANSPORT</t>
        </is>
      </c>
    </row>
    <row r="17" ht="18" customHeight="1">
      <c r="A17" s="28" t="inlineStr">
        <is>
          <t>TRANSPORT</t>
        </is>
      </c>
      <c r="B17" s="28" t="inlineStr">
        <is>
          <t>Car Payment</t>
        </is>
      </c>
      <c r="C17" s="14" t="n">
        <v>0</v>
      </c>
      <c r="D17" s="14" t="n">
        <v>0</v>
      </c>
      <c r="E17" s="27">
        <f>IFERROR(C17-D17,0)</f>
        <v/>
      </c>
      <c r="F17" s="23">
        <f>IFERROR(D17/C17,0)</f>
        <v/>
      </c>
      <c r="G17" s="28" t="inlineStr"/>
    </row>
    <row r="18" ht="18" customHeight="1">
      <c r="A18" s="30" t="inlineStr">
        <is>
          <t>TRANSPORT</t>
        </is>
      </c>
      <c r="B18" s="30" t="inlineStr">
        <is>
          <t>Fuel</t>
        </is>
      </c>
      <c r="C18" s="46" t="n">
        <v>0</v>
      </c>
      <c r="D18" s="46" t="n">
        <v>0</v>
      </c>
      <c r="E18" s="17">
        <f>IFERROR(C18-D18,0)</f>
        <v/>
      </c>
      <c r="F18" s="47">
        <f>IFERROR(D18/C18,0)</f>
        <v/>
      </c>
      <c r="G18" s="30" t="inlineStr"/>
    </row>
    <row r="19" ht="18" customHeight="1">
      <c r="A19" s="28" t="inlineStr">
        <is>
          <t>TRANSPORT</t>
        </is>
      </c>
      <c r="B19" s="28" t="inlineStr">
        <is>
          <t>Car Insurance</t>
        </is>
      </c>
      <c r="C19" s="14" t="n">
        <v>0</v>
      </c>
      <c r="D19" s="14" t="n">
        <v>0</v>
      </c>
      <c r="E19" s="27">
        <f>IFERROR(C19-D19,0)</f>
        <v/>
      </c>
      <c r="F19" s="23">
        <f>IFERROR(D19/C19,0)</f>
        <v/>
      </c>
      <c r="G19" s="28" t="inlineStr"/>
    </row>
    <row r="20" ht="18" customHeight="1">
      <c r="A20" s="30" t="inlineStr">
        <is>
          <t>TRANSPORT</t>
        </is>
      </c>
      <c r="B20" s="30" t="inlineStr">
        <is>
          <t>Parking</t>
        </is>
      </c>
      <c r="C20" s="46" t="n">
        <v>0</v>
      </c>
      <c r="D20" s="46" t="n">
        <v>0</v>
      </c>
      <c r="E20" s="17">
        <f>IFERROR(C20-D20,0)</f>
        <v/>
      </c>
      <c r="F20" s="47">
        <f>IFERROR(D20/C20,0)</f>
        <v/>
      </c>
      <c r="G20" s="30" t="inlineStr"/>
    </row>
    <row r="21" ht="18" customHeight="1">
      <c r="A21" s="28" t="inlineStr">
        <is>
          <t>TRANSPORT</t>
        </is>
      </c>
      <c r="B21" s="28" t="inlineStr">
        <is>
          <t>Public Transport</t>
        </is>
      </c>
      <c r="C21" s="14" t="n">
        <v>0</v>
      </c>
      <c r="D21" s="14" t="n">
        <v>0</v>
      </c>
      <c r="E21" s="27">
        <f>IFERROR(C21-D21,0)</f>
        <v/>
      </c>
      <c r="F21" s="23">
        <f>IFERROR(D21/C21,0)</f>
        <v/>
      </c>
      <c r="G21" s="28" t="inlineStr"/>
    </row>
    <row r="22" ht="20" customHeight="1">
      <c r="A22" s="41" t="inlineStr">
        <is>
          <t>TRANSPORT TOTAL</t>
        </is>
      </c>
      <c r="C22" s="42">
        <f>SUM(C17:C21)</f>
        <v/>
      </c>
      <c r="D22" s="42">
        <f>SUM(D17:D21)</f>
        <v/>
      </c>
      <c r="E22" s="43">
        <f>IFERROR(C22-D22,0)</f>
        <v/>
      </c>
      <c r="F22" s="44">
        <f>IFERROR(D22/C22,0)</f>
        <v/>
      </c>
      <c r="G22" s="45" t="inlineStr"/>
    </row>
    <row r="23" ht="22" customHeight="1">
      <c r="A23" s="25" t="inlineStr">
        <is>
          <t>FOOD &amp; DINING</t>
        </is>
      </c>
    </row>
    <row r="24" ht="18" customHeight="1">
      <c r="A24" s="28" t="inlineStr">
        <is>
          <t>FOOD &amp; DINING</t>
        </is>
      </c>
      <c r="B24" s="28" t="inlineStr">
        <is>
          <t>Groceries</t>
        </is>
      </c>
      <c r="C24" s="14" t="n">
        <v>0</v>
      </c>
      <c r="D24" s="14" t="n">
        <v>0</v>
      </c>
      <c r="E24" s="27">
        <f>IFERROR(C24-D24,0)</f>
        <v/>
      </c>
      <c r="F24" s="23">
        <f>IFERROR(D24/C24,0)</f>
        <v/>
      </c>
      <c r="G24" s="28" t="inlineStr"/>
    </row>
    <row r="25" ht="18" customHeight="1">
      <c r="A25" s="30" t="inlineStr">
        <is>
          <t>FOOD &amp; DINING</t>
        </is>
      </c>
      <c r="B25" s="30" t="inlineStr">
        <is>
          <t>Restaurants</t>
        </is>
      </c>
      <c r="C25" s="46" t="n">
        <v>0</v>
      </c>
      <c r="D25" s="46" t="n">
        <v>0</v>
      </c>
      <c r="E25" s="17">
        <f>IFERROR(C25-D25,0)</f>
        <v/>
      </c>
      <c r="F25" s="47">
        <f>IFERROR(D25/C25,0)</f>
        <v/>
      </c>
      <c r="G25" s="30" t="inlineStr"/>
    </row>
    <row r="26" ht="18" customHeight="1">
      <c r="A26" s="28" t="inlineStr">
        <is>
          <t>FOOD &amp; DINING</t>
        </is>
      </c>
      <c r="B26" s="28" t="inlineStr">
        <is>
          <t>Coffee</t>
        </is>
      </c>
      <c r="C26" s="14" t="n">
        <v>0</v>
      </c>
      <c r="D26" s="14" t="n">
        <v>0</v>
      </c>
      <c r="E26" s="27">
        <f>IFERROR(C26-D26,0)</f>
        <v/>
      </c>
      <c r="F26" s="23">
        <f>IFERROR(D26/C26,0)</f>
        <v/>
      </c>
      <c r="G26" s="28" t="inlineStr"/>
    </row>
    <row r="27" ht="18" customHeight="1">
      <c r="A27" s="30" t="inlineStr">
        <is>
          <t>FOOD &amp; DINING</t>
        </is>
      </c>
      <c r="B27" s="30" t="inlineStr">
        <is>
          <t>Food Delivery</t>
        </is>
      </c>
      <c r="C27" s="46" t="n">
        <v>0</v>
      </c>
      <c r="D27" s="46" t="n">
        <v>0</v>
      </c>
      <c r="E27" s="17">
        <f>IFERROR(C27-D27,0)</f>
        <v/>
      </c>
      <c r="F27" s="47">
        <f>IFERROR(D27/C27,0)</f>
        <v/>
      </c>
      <c r="G27" s="30" t="inlineStr"/>
    </row>
    <row r="28" ht="18" customHeight="1">
      <c r="A28" s="28" t="inlineStr">
        <is>
          <t>FOOD &amp; DINING</t>
        </is>
      </c>
      <c r="B28" s="28" t="inlineStr">
        <is>
          <t>Work Lunch</t>
        </is>
      </c>
      <c r="C28" s="14" t="n">
        <v>0</v>
      </c>
      <c r="D28" s="14" t="n">
        <v>0</v>
      </c>
      <c r="E28" s="27">
        <f>IFERROR(C28-D28,0)</f>
        <v/>
      </c>
      <c r="F28" s="23">
        <f>IFERROR(D28/C28,0)</f>
        <v/>
      </c>
      <c r="G28" s="28" t="inlineStr"/>
    </row>
    <row r="29" ht="20" customHeight="1">
      <c r="A29" s="41" t="inlineStr">
        <is>
          <t>FOOD &amp; DINING TOTAL</t>
        </is>
      </c>
      <c r="C29" s="42">
        <f>SUM(C24:C28)</f>
        <v/>
      </c>
      <c r="D29" s="42">
        <f>SUM(D24:D28)</f>
        <v/>
      </c>
      <c r="E29" s="43">
        <f>IFERROR(C29-D29,0)</f>
        <v/>
      </c>
      <c r="F29" s="44">
        <f>IFERROR(D29/C29,0)</f>
        <v/>
      </c>
      <c r="G29" s="45" t="inlineStr"/>
    </row>
    <row r="30" ht="22" customHeight="1">
      <c r="A30" s="25" t="inlineStr">
        <is>
          <t>HEALTH &amp; WELLNESS</t>
        </is>
      </c>
    </row>
    <row r="31" ht="18" customHeight="1">
      <c r="A31" s="28" t="inlineStr">
        <is>
          <t>HEALTH &amp; WELLNESS</t>
        </is>
      </c>
      <c r="B31" s="28" t="inlineStr">
        <is>
          <t>Health Insurance</t>
        </is>
      </c>
      <c r="C31" s="14" t="n">
        <v>0</v>
      </c>
      <c r="D31" s="14" t="n">
        <v>0</v>
      </c>
      <c r="E31" s="27">
        <f>IFERROR(C31-D31,0)</f>
        <v/>
      </c>
      <c r="F31" s="23">
        <f>IFERROR(D31/C31,0)</f>
        <v/>
      </c>
      <c r="G31" s="28" t="inlineStr"/>
    </row>
    <row r="32" ht="18" customHeight="1">
      <c r="A32" s="30" t="inlineStr">
        <is>
          <t>HEALTH &amp; WELLNESS</t>
        </is>
      </c>
      <c r="B32" s="30" t="inlineStr">
        <is>
          <t>Gym</t>
        </is>
      </c>
      <c r="C32" s="46" t="n">
        <v>0</v>
      </c>
      <c r="D32" s="46" t="n">
        <v>0</v>
      </c>
      <c r="E32" s="17">
        <f>IFERROR(C32-D32,0)</f>
        <v/>
      </c>
      <c r="F32" s="47">
        <f>IFERROR(D32/C32,0)</f>
        <v/>
      </c>
      <c r="G32" s="30" t="inlineStr"/>
    </row>
    <row r="33" ht="18" customHeight="1">
      <c r="A33" s="28" t="inlineStr">
        <is>
          <t>HEALTH &amp; WELLNESS</t>
        </is>
      </c>
      <c r="B33" s="28" t="inlineStr">
        <is>
          <t>Pharmacy</t>
        </is>
      </c>
      <c r="C33" s="14" t="n">
        <v>0</v>
      </c>
      <c r="D33" s="14" t="n">
        <v>0</v>
      </c>
      <c r="E33" s="27">
        <f>IFERROR(C33-D33,0)</f>
        <v/>
      </c>
      <c r="F33" s="23">
        <f>IFERROR(D33/C33,0)</f>
        <v/>
      </c>
      <c r="G33" s="28" t="inlineStr"/>
    </row>
    <row r="34" ht="18" customHeight="1">
      <c r="A34" s="30" t="inlineStr">
        <is>
          <t>HEALTH &amp; WELLNESS</t>
        </is>
      </c>
      <c r="B34" s="30" t="inlineStr">
        <is>
          <t>Doctor</t>
        </is>
      </c>
      <c r="C34" s="46" t="n">
        <v>0</v>
      </c>
      <c r="D34" s="46" t="n">
        <v>0</v>
      </c>
      <c r="E34" s="17">
        <f>IFERROR(C34-D34,0)</f>
        <v/>
      </c>
      <c r="F34" s="47">
        <f>IFERROR(D34/C34,0)</f>
        <v/>
      </c>
      <c r="G34" s="30" t="inlineStr"/>
    </row>
    <row r="35" ht="18" customHeight="1">
      <c r="A35" s="28" t="inlineStr">
        <is>
          <t>HEALTH &amp; WELLNESS</t>
        </is>
      </c>
      <c r="B35" s="28" t="inlineStr">
        <is>
          <t>Dental</t>
        </is>
      </c>
      <c r="C35" s="14" t="n">
        <v>0</v>
      </c>
      <c r="D35" s="14" t="n">
        <v>0</v>
      </c>
      <c r="E35" s="27">
        <f>IFERROR(C35-D35,0)</f>
        <v/>
      </c>
      <c r="F35" s="23">
        <f>IFERROR(D35/C35,0)</f>
        <v/>
      </c>
      <c r="G35" s="28" t="inlineStr"/>
    </row>
    <row r="36" ht="20" customHeight="1">
      <c r="A36" s="41" t="inlineStr">
        <is>
          <t>HEALTH &amp; WELLNESS TOTAL</t>
        </is>
      </c>
      <c r="C36" s="42">
        <f>SUM(C31:C35)</f>
        <v/>
      </c>
      <c r="D36" s="42">
        <f>SUM(D31:D35)</f>
        <v/>
      </c>
      <c r="E36" s="43">
        <f>IFERROR(C36-D36,0)</f>
        <v/>
      </c>
      <c r="F36" s="44">
        <f>IFERROR(D36/C36,0)</f>
        <v/>
      </c>
      <c r="G36" s="45" t="inlineStr"/>
    </row>
    <row r="37" ht="22" customHeight="1">
      <c r="A37" s="25" t="inlineStr">
        <is>
          <t>LIFESTYLE</t>
        </is>
      </c>
    </row>
    <row r="38" ht="18" customHeight="1">
      <c r="A38" s="28" t="inlineStr">
        <is>
          <t>LIFESTYLE</t>
        </is>
      </c>
      <c r="B38" s="28" t="inlineStr">
        <is>
          <t>Streaming Services</t>
        </is>
      </c>
      <c r="C38" s="14" t="n">
        <v>0</v>
      </c>
      <c r="D38" s="14" t="n">
        <v>0</v>
      </c>
      <c r="E38" s="27">
        <f>IFERROR(C38-D38,0)</f>
        <v/>
      </c>
      <c r="F38" s="23">
        <f>IFERROR(D38/C38,0)</f>
        <v/>
      </c>
      <c r="G38" s="28" t="inlineStr"/>
    </row>
    <row r="39" ht="18" customHeight="1">
      <c r="A39" s="30" t="inlineStr">
        <is>
          <t>LIFESTYLE</t>
        </is>
      </c>
      <c r="B39" s="30" t="inlineStr">
        <is>
          <t>Entertainment</t>
        </is>
      </c>
      <c r="C39" s="46" t="n">
        <v>0</v>
      </c>
      <c r="D39" s="46" t="n">
        <v>0</v>
      </c>
      <c r="E39" s="17">
        <f>IFERROR(C39-D39,0)</f>
        <v/>
      </c>
      <c r="F39" s="47">
        <f>IFERROR(D39/C39,0)</f>
        <v/>
      </c>
      <c r="G39" s="30" t="inlineStr"/>
    </row>
    <row r="40" ht="18" customHeight="1">
      <c r="A40" s="28" t="inlineStr">
        <is>
          <t>LIFESTYLE</t>
        </is>
      </c>
      <c r="B40" s="28" t="inlineStr">
        <is>
          <t>Hobbies</t>
        </is>
      </c>
      <c r="C40" s="14" t="n">
        <v>0</v>
      </c>
      <c r="D40" s="14" t="n">
        <v>0</v>
      </c>
      <c r="E40" s="27">
        <f>IFERROR(C40-D40,0)</f>
        <v/>
      </c>
      <c r="F40" s="23">
        <f>IFERROR(D40/C40,0)</f>
        <v/>
      </c>
      <c r="G40" s="28" t="inlineStr"/>
    </row>
    <row r="41" ht="18" customHeight="1">
      <c r="A41" s="30" t="inlineStr">
        <is>
          <t>LIFESTYLE</t>
        </is>
      </c>
      <c r="B41" s="30" t="inlineStr">
        <is>
          <t>Personal Care</t>
        </is>
      </c>
      <c r="C41" s="46" t="n">
        <v>0</v>
      </c>
      <c r="D41" s="46" t="n">
        <v>0</v>
      </c>
      <c r="E41" s="17">
        <f>IFERROR(C41-D41,0)</f>
        <v/>
      </c>
      <c r="F41" s="47">
        <f>IFERROR(D41/C41,0)</f>
        <v/>
      </c>
      <c r="G41" s="30" t="inlineStr"/>
    </row>
    <row r="42" ht="18" customHeight="1">
      <c r="A42" s="28" t="inlineStr">
        <is>
          <t>LIFESTYLE</t>
        </is>
      </c>
      <c r="B42" s="28" t="inlineStr">
        <is>
          <t>Books</t>
        </is>
      </c>
      <c r="C42" s="14" t="n">
        <v>0</v>
      </c>
      <c r="D42" s="14" t="n">
        <v>0</v>
      </c>
      <c r="E42" s="27">
        <f>IFERROR(C42-D42,0)</f>
        <v/>
      </c>
      <c r="F42" s="23">
        <f>IFERROR(D42/C42,0)</f>
        <v/>
      </c>
      <c r="G42" s="28" t="inlineStr"/>
    </row>
    <row r="43" ht="20" customHeight="1">
      <c r="A43" s="41" t="inlineStr">
        <is>
          <t>LIFESTYLE TOTAL</t>
        </is>
      </c>
      <c r="C43" s="42">
        <f>SUM(C38:C42)</f>
        <v/>
      </c>
      <c r="D43" s="42">
        <f>SUM(D38:D42)</f>
        <v/>
      </c>
      <c r="E43" s="43">
        <f>IFERROR(C43-D43,0)</f>
        <v/>
      </c>
      <c r="F43" s="44">
        <f>IFERROR(D43/C43,0)</f>
        <v/>
      </c>
      <c r="G43" s="45" t="inlineStr"/>
    </row>
    <row r="44" ht="22" customHeight="1">
      <c r="A44" s="25" t="inlineStr">
        <is>
          <t>PERSONAL</t>
        </is>
      </c>
    </row>
    <row r="45" ht="18" customHeight="1">
      <c r="A45" s="28" t="inlineStr">
        <is>
          <t>PERSONAL</t>
        </is>
      </c>
      <c r="B45" s="28" t="inlineStr">
        <is>
          <t>Clothing</t>
        </is>
      </c>
      <c r="C45" s="14" t="n">
        <v>0</v>
      </c>
      <c r="D45" s="14" t="n">
        <v>0</v>
      </c>
      <c r="E45" s="27">
        <f>IFERROR(C45-D45,0)</f>
        <v/>
      </c>
      <c r="F45" s="23">
        <f>IFERROR(D45/C45,0)</f>
        <v/>
      </c>
      <c r="G45" s="28" t="inlineStr"/>
    </row>
    <row r="46" ht="18" customHeight="1">
      <c r="A46" s="30" t="inlineStr">
        <is>
          <t>PERSONAL</t>
        </is>
      </c>
      <c r="B46" s="30" t="inlineStr">
        <is>
          <t>Gifts</t>
        </is>
      </c>
      <c r="C46" s="46" t="n">
        <v>0</v>
      </c>
      <c r="D46" s="46" t="n">
        <v>0</v>
      </c>
      <c r="E46" s="17">
        <f>IFERROR(C46-D46,0)</f>
        <v/>
      </c>
      <c r="F46" s="47">
        <f>IFERROR(D46/C46,0)</f>
        <v/>
      </c>
      <c r="G46" s="30" t="inlineStr"/>
    </row>
    <row r="47" ht="18" customHeight="1">
      <c r="A47" s="28" t="inlineStr">
        <is>
          <t>PERSONAL</t>
        </is>
      </c>
      <c r="B47" s="28" t="inlineStr">
        <is>
          <t>Education</t>
        </is>
      </c>
      <c r="C47" s="14" t="n">
        <v>0</v>
      </c>
      <c r="D47" s="14" t="n">
        <v>0</v>
      </c>
      <c r="E47" s="27">
        <f>IFERROR(C47-D47,0)</f>
        <v/>
      </c>
      <c r="F47" s="23">
        <f>IFERROR(D47/C47,0)</f>
        <v/>
      </c>
      <c r="G47" s="28" t="inlineStr"/>
    </row>
    <row r="48" ht="18" customHeight="1">
      <c r="A48" s="30" t="inlineStr">
        <is>
          <t>PERSONAL</t>
        </is>
      </c>
      <c r="B48" s="30" t="inlineStr">
        <is>
          <t>Pet Care</t>
        </is>
      </c>
      <c r="C48" s="46" t="n">
        <v>0</v>
      </c>
      <c r="D48" s="46" t="n">
        <v>0</v>
      </c>
      <c r="E48" s="17">
        <f>IFERROR(C48-D48,0)</f>
        <v/>
      </c>
      <c r="F48" s="47">
        <f>IFERROR(D48/C48,0)</f>
        <v/>
      </c>
      <c r="G48" s="30" t="inlineStr"/>
    </row>
    <row r="49" ht="18" customHeight="1">
      <c r="A49" s="28" t="inlineStr">
        <is>
          <t>PERSONAL</t>
        </is>
      </c>
      <c r="B49" s="28" t="inlineStr">
        <is>
          <t>Miscellaneous</t>
        </is>
      </c>
      <c r="C49" s="14" t="n">
        <v>0</v>
      </c>
      <c r="D49" s="14" t="n">
        <v>0</v>
      </c>
      <c r="E49" s="27">
        <f>IFERROR(C49-D49,0)</f>
        <v/>
      </c>
      <c r="F49" s="23">
        <f>IFERROR(D49/C49,0)</f>
        <v/>
      </c>
      <c r="G49" s="28" t="inlineStr"/>
    </row>
    <row r="50" ht="20" customHeight="1">
      <c r="A50" s="41" t="inlineStr">
        <is>
          <t>PERSONAL TOTAL</t>
        </is>
      </c>
      <c r="C50" s="42">
        <f>SUM(C45:C49)</f>
        <v/>
      </c>
      <c r="D50" s="42">
        <f>SUM(D45:D49)</f>
        <v/>
      </c>
      <c r="E50" s="43">
        <f>IFERROR(C50-D50,0)</f>
        <v/>
      </c>
      <c r="F50" s="44">
        <f>IFERROR(D50/C50,0)</f>
        <v/>
      </c>
      <c r="G50" s="45" t="inlineStr"/>
    </row>
    <row r="51" ht="22" customHeight="1">
      <c r="A51" s="25" t="inlineStr">
        <is>
          <t>SAVINGS &amp; INVESTMENTS</t>
        </is>
      </c>
    </row>
    <row r="52" ht="18" customHeight="1">
      <c r="A52" s="28" t="inlineStr">
        <is>
          <t>SAVINGS &amp; INVESTMENTS</t>
        </is>
      </c>
      <c r="B52" s="28" t="inlineStr">
        <is>
          <t>Emergency Fund</t>
        </is>
      </c>
      <c r="C52" s="14" t="n">
        <v>0</v>
      </c>
      <c r="D52" s="14" t="n">
        <v>0</v>
      </c>
      <c r="E52" s="27">
        <f>IFERROR(C52-D52,0)</f>
        <v/>
      </c>
      <c r="F52" s="23">
        <f>IFERROR(D52/C52,0)</f>
        <v/>
      </c>
      <c r="G52" s="28" t="inlineStr"/>
    </row>
    <row r="53" ht="18" customHeight="1">
      <c r="A53" s="30" t="inlineStr">
        <is>
          <t>SAVINGS &amp; INVESTMENTS</t>
        </is>
      </c>
      <c r="B53" s="30" t="inlineStr">
        <is>
          <t>Pension/IRA</t>
        </is>
      </c>
      <c r="C53" s="46" t="n">
        <v>0</v>
      </c>
      <c r="D53" s="46" t="n">
        <v>0</v>
      </c>
      <c r="E53" s="17">
        <f>IFERROR(C53-D53,0)</f>
        <v/>
      </c>
      <c r="F53" s="47">
        <f>IFERROR(D53/C53,0)</f>
        <v/>
      </c>
      <c r="G53" s="30" t="inlineStr"/>
    </row>
    <row r="54" ht="18" customHeight="1">
      <c r="A54" s="28" t="inlineStr">
        <is>
          <t>SAVINGS &amp; INVESTMENTS</t>
        </is>
      </c>
      <c r="B54" s="28" t="inlineStr">
        <is>
          <t>Stocks</t>
        </is>
      </c>
      <c r="C54" s="14" t="n">
        <v>0</v>
      </c>
      <c r="D54" s="14" t="n">
        <v>0</v>
      </c>
      <c r="E54" s="27">
        <f>IFERROR(C54-D54,0)</f>
        <v/>
      </c>
      <c r="F54" s="23">
        <f>IFERROR(D54/C54,0)</f>
        <v/>
      </c>
      <c r="G54" s="28" t="inlineStr"/>
    </row>
    <row r="55" ht="18" customHeight="1">
      <c r="A55" s="30" t="inlineStr">
        <is>
          <t>SAVINGS &amp; INVESTMENTS</t>
        </is>
      </c>
      <c r="B55" s="30" t="inlineStr">
        <is>
          <t>Vacation Fund</t>
        </is>
      </c>
      <c r="C55" s="46" t="n">
        <v>0</v>
      </c>
      <c r="D55" s="46" t="n">
        <v>0</v>
      </c>
      <c r="E55" s="17">
        <f>IFERROR(C55-D55,0)</f>
        <v/>
      </c>
      <c r="F55" s="47">
        <f>IFERROR(D55/C55,0)</f>
        <v/>
      </c>
      <c r="G55" s="30" t="inlineStr"/>
    </row>
    <row r="56" ht="18" customHeight="1">
      <c r="A56" s="28" t="inlineStr">
        <is>
          <t>SAVINGS &amp; INVESTMENTS</t>
        </is>
      </c>
      <c r="B56" s="28" t="inlineStr">
        <is>
          <t>Other Savings</t>
        </is>
      </c>
      <c r="C56" s="14" t="n">
        <v>0</v>
      </c>
      <c r="D56" s="14" t="n">
        <v>0</v>
      </c>
      <c r="E56" s="27">
        <f>IFERROR(C56-D56,0)</f>
        <v/>
      </c>
      <c r="F56" s="23">
        <f>IFERROR(D56/C56,0)</f>
        <v/>
      </c>
      <c r="G56" s="28" t="inlineStr"/>
    </row>
    <row r="57" ht="20" customHeight="1">
      <c r="A57" s="41" t="inlineStr">
        <is>
          <t>SAVINGS &amp; INVESTMENTS TOTAL</t>
        </is>
      </c>
      <c r="C57" s="42">
        <f>SUM(C52:C56)</f>
        <v/>
      </c>
      <c r="D57" s="42">
        <f>SUM(D52:D56)</f>
        <v/>
      </c>
      <c r="E57" s="43">
        <f>IFERROR(C57-D57,0)</f>
        <v/>
      </c>
      <c r="F57" s="44">
        <f>IFERROR(D57/C57,0)</f>
        <v/>
      </c>
      <c r="G57" s="45" t="inlineStr"/>
    </row>
    <row r="58" ht="22" customHeight="1">
      <c r="A58" s="25" t="inlineStr">
        <is>
          <t>DEBT PAYMENTS</t>
        </is>
      </c>
    </row>
    <row r="59" ht="18" customHeight="1">
      <c r="A59" s="28" t="inlineStr">
        <is>
          <t>DEBT PAYMENTS</t>
        </is>
      </c>
      <c r="B59" s="28" t="inlineStr">
        <is>
          <t>Credit Card 1</t>
        </is>
      </c>
      <c r="C59" s="14" t="n">
        <v>0</v>
      </c>
      <c r="D59" s="14" t="n">
        <v>0</v>
      </c>
      <c r="E59" s="27">
        <f>IFERROR(C59-D59,0)</f>
        <v/>
      </c>
      <c r="F59" s="23">
        <f>IFERROR(D59/C59,0)</f>
        <v/>
      </c>
      <c r="G59" s="28" t="inlineStr"/>
    </row>
    <row r="60" ht="18" customHeight="1">
      <c r="A60" s="30" t="inlineStr">
        <is>
          <t>DEBT PAYMENTS</t>
        </is>
      </c>
      <c r="B60" s="30" t="inlineStr">
        <is>
          <t>Credit Card 2</t>
        </is>
      </c>
      <c r="C60" s="46" t="n">
        <v>0</v>
      </c>
      <c r="D60" s="46" t="n">
        <v>0</v>
      </c>
      <c r="E60" s="17">
        <f>IFERROR(C60-D60,0)</f>
        <v/>
      </c>
      <c r="F60" s="47">
        <f>IFERROR(D60/C60,0)</f>
        <v/>
      </c>
      <c r="G60" s="30" t="inlineStr"/>
    </row>
    <row r="61" ht="18" customHeight="1">
      <c r="A61" s="28" t="inlineStr">
        <is>
          <t>DEBT PAYMENTS</t>
        </is>
      </c>
      <c r="B61" s="28" t="inlineStr">
        <is>
          <t>Student Loan</t>
        </is>
      </c>
      <c r="C61" s="14" t="n">
        <v>0</v>
      </c>
      <c r="D61" s="14" t="n">
        <v>0</v>
      </c>
      <c r="E61" s="27">
        <f>IFERROR(C61-D61,0)</f>
        <v/>
      </c>
      <c r="F61" s="23">
        <f>IFERROR(D61/C61,0)</f>
        <v/>
      </c>
      <c r="G61" s="28" t="inlineStr"/>
    </row>
    <row r="62" ht="18" customHeight="1">
      <c r="A62" s="30" t="inlineStr">
        <is>
          <t>DEBT PAYMENTS</t>
        </is>
      </c>
      <c r="B62" s="30" t="inlineStr">
        <is>
          <t>Car Loan</t>
        </is>
      </c>
      <c r="C62" s="46" t="n">
        <v>0</v>
      </c>
      <c r="D62" s="46" t="n">
        <v>0</v>
      </c>
      <c r="E62" s="17">
        <f>IFERROR(C62-D62,0)</f>
        <v/>
      </c>
      <c r="F62" s="47">
        <f>IFERROR(D62/C62,0)</f>
        <v/>
      </c>
      <c r="G62" s="30" t="inlineStr"/>
    </row>
    <row r="63" ht="18" customHeight="1">
      <c r="A63" s="28" t="inlineStr">
        <is>
          <t>DEBT PAYMENTS</t>
        </is>
      </c>
      <c r="B63" s="28" t="inlineStr">
        <is>
          <t>Other</t>
        </is>
      </c>
      <c r="C63" s="14" t="n">
        <v>0</v>
      </c>
      <c r="D63" s="14" t="n">
        <v>0</v>
      </c>
      <c r="E63" s="27">
        <f>IFERROR(C63-D63,0)</f>
        <v/>
      </c>
      <c r="F63" s="23">
        <f>IFERROR(D63/C63,0)</f>
        <v/>
      </c>
      <c r="G63" s="28" t="inlineStr"/>
    </row>
    <row r="64" ht="20" customHeight="1">
      <c r="A64" s="41" t="inlineStr">
        <is>
          <t>DEBT PAYMENTS TOTAL</t>
        </is>
      </c>
      <c r="C64" s="42">
        <f>SUM(C59:C63)</f>
        <v/>
      </c>
      <c r="D64" s="42">
        <f>SUM(D59:D63)</f>
        <v/>
      </c>
      <c r="E64" s="43">
        <f>IFERROR(C64-D64,0)</f>
        <v/>
      </c>
      <c r="F64" s="44">
        <f>IFERROR(D64/C64,0)</f>
        <v/>
      </c>
      <c r="G64" s="45" t="inlineStr"/>
    </row>
    <row r="65" ht="24" customHeight="1">
      <c r="A65" s="9" t="inlineStr">
        <is>
          <t>GRAND TOTAL EXPENSES</t>
        </is>
      </c>
      <c r="C65" s="48">
        <f>C15+C22+C29+C36+C43+C50+C57+C64</f>
        <v/>
      </c>
      <c r="D65" s="48">
        <f>D15+D22+D29+D36+D43+D50+D57+D64</f>
        <v/>
      </c>
      <c r="E65" s="49">
        <f>IFERROR(C65-D65,0)</f>
        <v/>
      </c>
      <c r="F65" s="50" t="inlineStr"/>
      <c r="G65" s="50" t="inlineStr"/>
    </row>
    <row r="66" ht="24" customHeight="1">
      <c r="A66" s="8" t="inlineStr">
        <is>
          <t>NET CASH FLOW</t>
        </is>
      </c>
      <c r="C66" s="51">
        <f>IFERROR(C8-C65,0)</f>
        <v/>
      </c>
      <c r="D66" s="51">
        <f>IFERROR(D8-D65,0)</f>
        <v/>
      </c>
      <c r="E66" s="52" t="inlineStr"/>
      <c r="F66" s="52" t="inlineStr"/>
      <c r="G66" s="52" t="inlineStr"/>
    </row>
    <row r="67" ht="22" customHeight="1">
      <c r="A67" s="53" t="inlineStr">
        <is>
          <t>BUDGET VS ACTUAL — CATEGORY OVERVIEW</t>
        </is>
      </c>
    </row>
    <row r="68" ht="18" customHeight="1">
      <c r="A68" s="12" t="inlineStr">
        <is>
          <t>HOUSING</t>
        </is>
      </c>
      <c r="B68" s="27">
        <f>C15</f>
        <v/>
      </c>
      <c r="C68" s="27">
        <f>D15</f>
        <v/>
      </c>
    </row>
    <row r="69" ht="18" customHeight="1">
      <c r="A69" s="15" t="inlineStr">
        <is>
          <t>TRANSPORT</t>
        </is>
      </c>
      <c r="B69" s="17">
        <f>C22</f>
        <v/>
      </c>
      <c r="C69" s="17">
        <f>D22</f>
        <v/>
      </c>
    </row>
    <row r="70" ht="18" customHeight="1">
      <c r="A70" s="12" t="inlineStr">
        <is>
          <t>FOOD &amp; DINING</t>
        </is>
      </c>
      <c r="B70" s="27">
        <f>C29</f>
        <v/>
      </c>
      <c r="C70" s="27">
        <f>D29</f>
        <v/>
      </c>
    </row>
    <row r="71" ht="18" customHeight="1">
      <c r="A71" s="15" t="inlineStr">
        <is>
          <t>HEALTH &amp; WELLNESS</t>
        </is>
      </c>
      <c r="B71" s="17">
        <f>C36</f>
        <v/>
      </c>
      <c r="C71" s="17">
        <f>D36</f>
        <v/>
      </c>
    </row>
    <row r="72" ht="18" customHeight="1">
      <c r="A72" s="12" t="inlineStr">
        <is>
          <t>LIFESTYLE</t>
        </is>
      </c>
      <c r="B72" s="27">
        <f>C43</f>
        <v/>
      </c>
      <c r="C72" s="27">
        <f>D43</f>
        <v/>
      </c>
    </row>
    <row r="73" ht="18" customHeight="1">
      <c r="A73" s="15" t="inlineStr">
        <is>
          <t>PERSONAL</t>
        </is>
      </c>
      <c r="B73" s="17">
        <f>C50</f>
        <v/>
      </c>
      <c r="C73" s="17">
        <f>D50</f>
        <v/>
      </c>
    </row>
    <row r="74" ht="18" customHeight="1">
      <c r="A74" s="12" t="inlineStr">
        <is>
          <t>SAVINGS &amp; INVESTMENTS</t>
        </is>
      </c>
      <c r="B74" s="27">
        <f>C57</f>
        <v/>
      </c>
      <c r="C74" s="27">
        <f>D57</f>
        <v/>
      </c>
    </row>
    <row r="75" ht="18" customHeight="1">
      <c r="A75" s="15" t="inlineStr">
        <is>
          <t>DEBT PAYMENTS</t>
        </is>
      </c>
      <c r="B75" s="17">
        <f>C64</f>
        <v/>
      </c>
      <c r="C75" s="17">
        <f>D64</f>
        <v/>
      </c>
    </row>
  </sheetData>
  <mergeCells count="23">
    <mergeCell ref="A15:B15"/>
    <mergeCell ref="A64:B64"/>
    <mergeCell ref="A4:G4"/>
    <mergeCell ref="A36:B36"/>
    <mergeCell ref="A44:G44"/>
    <mergeCell ref="A58:G58"/>
    <mergeCell ref="A67:D67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5C8A52"/>
    <outlinePr summaryBelow="1" summaryRight="1"/>
    <pageSetUpPr/>
  </sheetPr>
  <dimension ref="A1:G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20" customWidth="1" min="7" max="7"/>
  </cols>
  <sheetData>
    <row r="1" ht="48" customHeight="1">
      <c r="A1" s="1" t="inlineStr">
        <is>
          <t>JUNE · MONTHLY BUDGET</t>
        </is>
      </c>
    </row>
    <row r="2" ht="20" customHeight="1">
      <c r="A2" s="2" t="inlineStr">
        <is>
          <t>Track your income and expenses for June</t>
        </is>
      </c>
    </row>
    <row r="3" ht="20" customHeight="1">
      <c r="A3" s="26" t="inlineStr">
        <is>
          <t>CATEGORY</t>
        </is>
      </c>
      <c r="B3" s="26" t="inlineStr">
        <is>
          <t>SUBCATEGORY</t>
        </is>
      </c>
      <c r="C3" s="26" t="inlineStr">
        <is>
          <t>BUDGETED</t>
        </is>
      </c>
      <c r="D3" s="26" t="inlineStr">
        <is>
          <t>ACTUAL</t>
        </is>
      </c>
      <c r="E3" s="26" t="inlineStr">
        <is>
          <t>DIFFERENCE</t>
        </is>
      </c>
      <c r="F3" s="26" t="inlineStr">
        <is>
          <t>% USED</t>
        </is>
      </c>
      <c r="G3" s="26" t="inlineStr">
        <is>
          <t>NOTES</t>
        </is>
      </c>
    </row>
    <row r="4" ht="22" customHeight="1">
      <c r="A4" s="9" t="inlineStr">
        <is>
          <t>INCOME</t>
        </is>
      </c>
    </row>
    <row r="5" ht="18" customHeight="1">
      <c r="A5" s="28" t="inlineStr">
        <is>
          <t>INCOME</t>
        </is>
      </c>
      <c r="B5" s="28" t="inlineStr">
        <is>
          <t>Primary Income</t>
        </is>
      </c>
      <c r="C5" s="14" t="n">
        <v>0</v>
      </c>
      <c r="D5" s="14" t="n">
        <v>0</v>
      </c>
      <c r="E5" s="27">
        <f>IFERROR(C5-D5,0)</f>
        <v/>
      </c>
      <c r="F5" s="23">
        <f>IFERROR(D5/C5,0)</f>
        <v/>
      </c>
      <c r="G5" s="28" t="inlineStr"/>
    </row>
    <row r="6" ht="18" customHeight="1">
      <c r="A6" s="31" t="inlineStr">
        <is>
          <t>INCOME</t>
        </is>
      </c>
      <c r="B6" s="31" t="inlineStr">
        <is>
          <t>Side Income</t>
        </is>
      </c>
      <c r="C6" s="20" t="n">
        <v>0</v>
      </c>
      <c r="D6" s="20" t="n">
        <v>0</v>
      </c>
      <c r="E6" s="39">
        <f>IFERROR(C6-D6,0)</f>
        <v/>
      </c>
      <c r="F6" s="40">
        <f>IFERROR(D6/C6,0)</f>
        <v/>
      </c>
      <c r="G6" s="31" t="inlineStr"/>
    </row>
    <row r="7" ht="18" customHeight="1">
      <c r="A7" s="28" t="inlineStr">
        <is>
          <t>INCOME</t>
        </is>
      </c>
      <c r="B7" s="28" t="inlineStr">
        <is>
          <t>Other Income</t>
        </is>
      </c>
      <c r="C7" s="14" t="n">
        <v>0</v>
      </c>
      <c r="D7" s="14" t="n">
        <v>0</v>
      </c>
      <c r="E7" s="27">
        <f>IFERROR(C7-D7,0)</f>
        <v/>
      </c>
      <c r="F7" s="23">
        <f>IFERROR(D7/C7,0)</f>
        <v/>
      </c>
      <c r="G7" s="28" t="inlineStr"/>
    </row>
    <row r="8" ht="20" customHeight="1">
      <c r="A8" s="41" t="inlineStr">
        <is>
          <t>TOTAL INCOME</t>
        </is>
      </c>
      <c r="C8" s="42">
        <f>SUM(C5:C7)</f>
        <v/>
      </c>
      <c r="D8" s="42">
        <f>SUM(D5:D7)</f>
        <v/>
      </c>
      <c r="E8" s="43">
        <f>IFERROR(C8-D8,0)</f>
        <v/>
      </c>
      <c r="F8" s="44">
        <f>IFERROR(D8/C8,0)</f>
        <v/>
      </c>
      <c r="G8" s="45" t="inlineStr"/>
    </row>
    <row r="9" ht="22" customHeight="1">
      <c r="A9" s="25" t="inlineStr">
        <is>
          <t>HOUSING</t>
        </is>
      </c>
    </row>
    <row r="10" ht="18" customHeight="1">
      <c r="A10" s="28" t="inlineStr">
        <is>
          <t>HOUSING</t>
        </is>
      </c>
      <c r="B10" s="28" t="inlineStr">
        <is>
          <t>Rent/Mortgage</t>
        </is>
      </c>
      <c r="C10" s="14" t="n">
        <v>0</v>
      </c>
      <c r="D10" s="14" t="n">
        <v>0</v>
      </c>
      <c r="E10" s="27">
        <f>IFERROR(C10-D10,0)</f>
        <v/>
      </c>
      <c r="F10" s="23">
        <f>IFERROR(D10/C10,0)</f>
        <v/>
      </c>
      <c r="G10" s="28" t="inlineStr"/>
    </row>
    <row r="11" ht="18" customHeight="1">
      <c r="A11" s="30" t="inlineStr">
        <is>
          <t>HOUSING</t>
        </is>
      </c>
      <c r="B11" s="30" t="inlineStr">
        <is>
          <t>Utilities</t>
        </is>
      </c>
      <c r="C11" s="46" t="n">
        <v>0</v>
      </c>
      <c r="D11" s="46" t="n">
        <v>0</v>
      </c>
      <c r="E11" s="17">
        <f>IFERROR(C11-D11,0)</f>
        <v/>
      </c>
      <c r="F11" s="47">
        <f>IFERROR(D11/C11,0)</f>
        <v/>
      </c>
      <c r="G11" s="30" t="inlineStr"/>
    </row>
    <row r="12" ht="18" customHeight="1">
      <c r="A12" s="28" t="inlineStr">
        <is>
          <t>HOUSING</t>
        </is>
      </c>
      <c r="B12" s="28" t="inlineStr">
        <is>
          <t>Electricity</t>
        </is>
      </c>
      <c r="C12" s="14" t="n">
        <v>0</v>
      </c>
      <c r="D12" s="14" t="n">
        <v>0</v>
      </c>
      <c r="E12" s="27">
        <f>IFERROR(C12-D12,0)</f>
        <v/>
      </c>
      <c r="F12" s="23">
        <f>IFERROR(D12/C12,0)</f>
        <v/>
      </c>
      <c r="G12" s="28" t="inlineStr"/>
    </row>
    <row r="13" ht="18" customHeight="1">
      <c r="A13" s="30" t="inlineStr">
        <is>
          <t>HOUSING</t>
        </is>
      </c>
      <c r="B13" s="30" t="inlineStr">
        <is>
          <t>Internet</t>
        </is>
      </c>
      <c r="C13" s="46" t="n">
        <v>0</v>
      </c>
      <c r="D13" s="46" t="n">
        <v>0</v>
      </c>
      <c r="E13" s="17">
        <f>IFERROR(C13-D13,0)</f>
        <v/>
      </c>
      <c r="F13" s="47">
        <f>IFERROR(D13/C13,0)</f>
        <v/>
      </c>
      <c r="G13" s="30" t="inlineStr"/>
    </row>
    <row r="14" ht="18" customHeight="1">
      <c r="A14" s="28" t="inlineStr">
        <is>
          <t>HOUSING</t>
        </is>
      </c>
      <c r="B14" s="28" t="inlineStr">
        <is>
          <t>Home Insurance</t>
        </is>
      </c>
      <c r="C14" s="14" t="n">
        <v>0</v>
      </c>
      <c r="D14" s="14" t="n">
        <v>0</v>
      </c>
      <c r="E14" s="27">
        <f>IFERROR(C14-D14,0)</f>
        <v/>
      </c>
      <c r="F14" s="23">
        <f>IFERROR(D14/C14,0)</f>
        <v/>
      </c>
      <c r="G14" s="28" t="inlineStr"/>
    </row>
    <row r="15" ht="20" customHeight="1">
      <c r="A15" s="41" t="inlineStr">
        <is>
          <t>HOUSING TOTAL</t>
        </is>
      </c>
      <c r="C15" s="42">
        <f>SUM(C10:C14)</f>
        <v/>
      </c>
      <c r="D15" s="42">
        <f>SUM(D10:D14)</f>
        <v/>
      </c>
      <c r="E15" s="43">
        <f>IFERROR(C15-D15,0)</f>
        <v/>
      </c>
      <c r="F15" s="44">
        <f>IFERROR(D15/C15,0)</f>
        <v/>
      </c>
      <c r="G15" s="45" t="inlineStr"/>
    </row>
    <row r="16" ht="22" customHeight="1">
      <c r="A16" s="25" t="inlineStr">
        <is>
          <t>TRANSPORT</t>
        </is>
      </c>
    </row>
    <row r="17" ht="18" customHeight="1">
      <c r="A17" s="28" t="inlineStr">
        <is>
          <t>TRANSPORT</t>
        </is>
      </c>
      <c r="B17" s="28" t="inlineStr">
        <is>
          <t>Car Payment</t>
        </is>
      </c>
      <c r="C17" s="14" t="n">
        <v>0</v>
      </c>
      <c r="D17" s="14" t="n">
        <v>0</v>
      </c>
      <c r="E17" s="27">
        <f>IFERROR(C17-D17,0)</f>
        <v/>
      </c>
      <c r="F17" s="23">
        <f>IFERROR(D17/C17,0)</f>
        <v/>
      </c>
      <c r="G17" s="28" t="inlineStr"/>
    </row>
    <row r="18" ht="18" customHeight="1">
      <c r="A18" s="30" t="inlineStr">
        <is>
          <t>TRANSPORT</t>
        </is>
      </c>
      <c r="B18" s="30" t="inlineStr">
        <is>
          <t>Fuel</t>
        </is>
      </c>
      <c r="C18" s="46" t="n">
        <v>0</v>
      </c>
      <c r="D18" s="46" t="n">
        <v>0</v>
      </c>
      <c r="E18" s="17">
        <f>IFERROR(C18-D18,0)</f>
        <v/>
      </c>
      <c r="F18" s="47">
        <f>IFERROR(D18/C18,0)</f>
        <v/>
      </c>
      <c r="G18" s="30" t="inlineStr"/>
    </row>
    <row r="19" ht="18" customHeight="1">
      <c r="A19" s="28" t="inlineStr">
        <is>
          <t>TRANSPORT</t>
        </is>
      </c>
      <c r="B19" s="28" t="inlineStr">
        <is>
          <t>Car Insurance</t>
        </is>
      </c>
      <c r="C19" s="14" t="n">
        <v>0</v>
      </c>
      <c r="D19" s="14" t="n">
        <v>0</v>
      </c>
      <c r="E19" s="27">
        <f>IFERROR(C19-D19,0)</f>
        <v/>
      </c>
      <c r="F19" s="23">
        <f>IFERROR(D19/C19,0)</f>
        <v/>
      </c>
      <c r="G19" s="28" t="inlineStr"/>
    </row>
    <row r="20" ht="18" customHeight="1">
      <c r="A20" s="30" t="inlineStr">
        <is>
          <t>TRANSPORT</t>
        </is>
      </c>
      <c r="B20" s="30" t="inlineStr">
        <is>
          <t>Parking</t>
        </is>
      </c>
      <c r="C20" s="46" t="n">
        <v>0</v>
      </c>
      <c r="D20" s="46" t="n">
        <v>0</v>
      </c>
      <c r="E20" s="17">
        <f>IFERROR(C20-D20,0)</f>
        <v/>
      </c>
      <c r="F20" s="47">
        <f>IFERROR(D20/C20,0)</f>
        <v/>
      </c>
      <c r="G20" s="30" t="inlineStr"/>
    </row>
    <row r="21" ht="18" customHeight="1">
      <c r="A21" s="28" t="inlineStr">
        <is>
          <t>TRANSPORT</t>
        </is>
      </c>
      <c r="B21" s="28" t="inlineStr">
        <is>
          <t>Public Transport</t>
        </is>
      </c>
      <c r="C21" s="14" t="n">
        <v>0</v>
      </c>
      <c r="D21" s="14" t="n">
        <v>0</v>
      </c>
      <c r="E21" s="27">
        <f>IFERROR(C21-D21,0)</f>
        <v/>
      </c>
      <c r="F21" s="23">
        <f>IFERROR(D21/C21,0)</f>
        <v/>
      </c>
      <c r="G21" s="28" t="inlineStr"/>
    </row>
    <row r="22" ht="20" customHeight="1">
      <c r="A22" s="41" t="inlineStr">
        <is>
          <t>TRANSPORT TOTAL</t>
        </is>
      </c>
      <c r="C22" s="42">
        <f>SUM(C17:C21)</f>
        <v/>
      </c>
      <c r="D22" s="42">
        <f>SUM(D17:D21)</f>
        <v/>
      </c>
      <c r="E22" s="43">
        <f>IFERROR(C22-D22,0)</f>
        <v/>
      </c>
      <c r="F22" s="44">
        <f>IFERROR(D22/C22,0)</f>
        <v/>
      </c>
      <c r="G22" s="45" t="inlineStr"/>
    </row>
    <row r="23" ht="22" customHeight="1">
      <c r="A23" s="25" t="inlineStr">
        <is>
          <t>FOOD &amp; DINING</t>
        </is>
      </c>
    </row>
    <row r="24" ht="18" customHeight="1">
      <c r="A24" s="28" t="inlineStr">
        <is>
          <t>FOOD &amp; DINING</t>
        </is>
      </c>
      <c r="B24" s="28" t="inlineStr">
        <is>
          <t>Groceries</t>
        </is>
      </c>
      <c r="C24" s="14" t="n">
        <v>0</v>
      </c>
      <c r="D24" s="14" t="n">
        <v>0</v>
      </c>
      <c r="E24" s="27">
        <f>IFERROR(C24-D24,0)</f>
        <v/>
      </c>
      <c r="F24" s="23">
        <f>IFERROR(D24/C24,0)</f>
        <v/>
      </c>
      <c r="G24" s="28" t="inlineStr"/>
    </row>
    <row r="25" ht="18" customHeight="1">
      <c r="A25" s="30" t="inlineStr">
        <is>
          <t>FOOD &amp; DINING</t>
        </is>
      </c>
      <c r="B25" s="30" t="inlineStr">
        <is>
          <t>Restaurants</t>
        </is>
      </c>
      <c r="C25" s="46" t="n">
        <v>0</v>
      </c>
      <c r="D25" s="46" t="n">
        <v>0</v>
      </c>
      <c r="E25" s="17">
        <f>IFERROR(C25-D25,0)</f>
        <v/>
      </c>
      <c r="F25" s="47">
        <f>IFERROR(D25/C25,0)</f>
        <v/>
      </c>
      <c r="G25" s="30" t="inlineStr"/>
    </row>
    <row r="26" ht="18" customHeight="1">
      <c r="A26" s="28" t="inlineStr">
        <is>
          <t>FOOD &amp; DINING</t>
        </is>
      </c>
      <c r="B26" s="28" t="inlineStr">
        <is>
          <t>Coffee</t>
        </is>
      </c>
      <c r="C26" s="14" t="n">
        <v>0</v>
      </c>
      <c r="D26" s="14" t="n">
        <v>0</v>
      </c>
      <c r="E26" s="27">
        <f>IFERROR(C26-D26,0)</f>
        <v/>
      </c>
      <c r="F26" s="23">
        <f>IFERROR(D26/C26,0)</f>
        <v/>
      </c>
      <c r="G26" s="28" t="inlineStr"/>
    </row>
    <row r="27" ht="18" customHeight="1">
      <c r="A27" s="30" t="inlineStr">
        <is>
          <t>FOOD &amp; DINING</t>
        </is>
      </c>
      <c r="B27" s="30" t="inlineStr">
        <is>
          <t>Food Delivery</t>
        </is>
      </c>
      <c r="C27" s="46" t="n">
        <v>0</v>
      </c>
      <c r="D27" s="46" t="n">
        <v>0</v>
      </c>
      <c r="E27" s="17">
        <f>IFERROR(C27-D27,0)</f>
        <v/>
      </c>
      <c r="F27" s="47">
        <f>IFERROR(D27/C27,0)</f>
        <v/>
      </c>
      <c r="G27" s="30" t="inlineStr"/>
    </row>
    <row r="28" ht="18" customHeight="1">
      <c r="A28" s="28" t="inlineStr">
        <is>
          <t>FOOD &amp; DINING</t>
        </is>
      </c>
      <c r="B28" s="28" t="inlineStr">
        <is>
          <t>Work Lunch</t>
        </is>
      </c>
      <c r="C28" s="14" t="n">
        <v>0</v>
      </c>
      <c r="D28" s="14" t="n">
        <v>0</v>
      </c>
      <c r="E28" s="27">
        <f>IFERROR(C28-D28,0)</f>
        <v/>
      </c>
      <c r="F28" s="23">
        <f>IFERROR(D28/C28,0)</f>
        <v/>
      </c>
      <c r="G28" s="28" t="inlineStr"/>
    </row>
    <row r="29" ht="20" customHeight="1">
      <c r="A29" s="41" t="inlineStr">
        <is>
          <t>FOOD &amp; DINING TOTAL</t>
        </is>
      </c>
      <c r="C29" s="42">
        <f>SUM(C24:C28)</f>
        <v/>
      </c>
      <c r="D29" s="42">
        <f>SUM(D24:D28)</f>
        <v/>
      </c>
      <c r="E29" s="43">
        <f>IFERROR(C29-D29,0)</f>
        <v/>
      </c>
      <c r="F29" s="44">
        <f>IFERROR(D29/C29,0)</f>
        <v/>
      </c>
      <c r="G29" s="45" t="inlineStr"/>
    </row>
    <row r="30" ht="22" customHeight="1">
      <c r="A30" s="25" t="inlineStr">
        <is>
          <t>HEALTH &amp; WELLNESS</t>
        </is>
      </c>
    </row>
    <row r="31" ht="18" customHeight="1">
      <c r="A31" s="28" t="inlineStr">
        <is>
          <t>HEALTH &amp; WELLNESS</t>
        </is>
      </c>
      <c r="B31" s="28" t="inlineStr">
        <is>
          <t>Health Insurance</t>
        </is>
      </c>
      <c r="C31" s="14" t="n">
        <v>0</v>
      </c>
      <c r="D31" s="14" t="n">
        <v>0</v>
      </c>
      <c r="E31" s="27">
        <f>IFERROR(C31-D31,0)</f>
        <v/>
      </c>
      <c r="F31" s="23">
        <f>IFERROR(D31/C31,0)</f>
        <v/>
      </c>
      <c r="G31" s="28" t="inlineStr"/>
    </row>
    <row r="32" ht="18" customHeight="1">
      <c r="A32" s="30" t="inlineStr">
        <is>
          <t>HEALTH &amp; WELLNESS</t>
        </is>
      </c>
      <c r="B32" s="30" t="inlineStr">
        <is>
          <t>Gym</t>
        </is>
      </c>
      <c r="C32" s="46" t="n">
        <v>0</v>
      </c>
      <c r="D32" s="46" t="n">
        <v>0</v>
      </c>
      <c r="E32" s="17">
        <f>IFERROR(C32-D32,0)</f>
        <v/>
      </c>
      <c r="F32" s="47">
        <f>IFERROR(D32/C32,0)</f>
        <v/>
      </c>
      <c r="G32" s="30" t="inlineStr"/>
    </row>
    <row r="33" ht="18" customHeight="1">
      <c r="A33" s="28" t="inlineStr">
        <is>
          <t>HEALTH &amp; WELLNESS</t>
        </is>
      </c>
      <c r="B33" s="28" t="inlineStr">
        <is>
          <t>Pharmacy</t>
        </is>
      </c>
      <c r="C33" s="14" t="n">
        <v>0</v>
      </c>
      <c r="D33" s="14" t="n">
        <v>0</v>
      </c>
      <c r="E33" s="27">
        <f>IFERROR(C33-D33,0)</f>
        <v/>
      </c>
      <c r="F33" s="23">
        <f>IFERROR(D33/C33,0)</f>
        <v/>
      </c>
      <c r="G33" s="28" t="inlineStr"/>
    </row>
    <row r="34" ht="18" customHeight="1">
      <c r="A34" s="30" t="inlineStr">
        <is>
          <t>HEALTH &amp; WELLNESS</t>
        </is>
      </c>
      <c r="B34" s="30" t="inlineStr">
        <is>
          <t>Doctor</t>
        </is>
      </c>
      <c r="C34" s="46" t="n">
        <v>0</v>
      </c>
      <c r="D34" s="46" t="n">
        <v>0</v>
      </c>
      <c r="E34" s="17">
        <f>IFERROR(C34-D34,0)</f>
        <v/>
      </c>
      <c r="F34" s="47">
        <f>IFERROR(D34/C34,0)</f>
        <v/>
      </c>
      <c r="G34" s="30" t="inlineStr"/>
    </row>
    <row r="35" ht="18" customHeight="1">
      <c r="A35" s="28" t="inlineStr">
        <is>
          <t>HEALTH &amp; WELLNESS</t>
        </is>
      </c>
      <c r="B35" s="28" t="inlineStr">
        <is>
          <t>Dental</t>
        </is>
      </c>
      <c r="C35" s="14" t="n">
        <v>0</v>
      </c>
      <c r="D35" s="14" t="n">
        <v>0</v>
      </c>
      <c r="E35" s="27">
        <f>IFERROR(C35-D35,0)</f>
        <v/>
      </c>
      <c r="F35" s="23">
        <f>IFERROR(D35/C35,0)</f>
        <v/>
      </c>
      <c r="G35" s="28" t="inlineStr"/>
    </row>
    <row r="36" ht="20" customHeight="1">
      <c r="A36" s="41" t="inlineStr">
        <is>
          <t>HEALTH &amp; WELLNESS TOTAL</t>
        </is>
      </c>
      <c r="C36" s="42">
        <f>SUM(C31:C35)</f>
        <v/>
      </c>
      <c r="D36" s="42">
        <f>SUM(D31:D35)</f>
        <v/>
      </c>
      <c r="E36" s="43">
        <f>IFERROR(C36-D36,0)</f>
        <v/>
      </c>
      <c r="F36" s="44">
        <f>IFERROR(D36/C36,0)</f>
        <v/>
      </c>
      <c r="G36" s="45" t="inlineStr"/>
    </row>
    <row r="37" ht="22" customHeight="1">
      <c r="A37" s="25" t="inlineStr">
        <is>
          <t>LIFESTYLE</t>
        </is>
      </c>
    </row>
    <row r="38" ht="18" customHeight="1">
      <c r="A38" s="28" t="inlineStr">
        <is>
          <t>LIFESTYLE</t>
        </is>
      </c>
      <c r="B38" s="28" t="inlineStr">
        <is>
          <t>Streaming Services</t>
        </is>
      </c>
      <c r="C38" s="14" t="n">
        <v>0</v>
      </c>
      <c r="D38" s="14" t="n">
        <v>0</v>
      </c>
      <c r="E38" s="27">
        <f>IFERROR(C38-D38,0)</f>
        <v/>
      </c>
      <c r="F38" s="23">
        <f>IFERROR(D38/C38,0)</f>
        <v/>
      </c>
      <c r="G38" s="28" t="inlineStr"/>
    </row>
    <row r="39" ht="18" customHeight="1">
      <c r="A39" s="30" t="inlineStr">
        <is>
          <t>LIFESTYLE</t>
        </is>
      </c>
      <c r="B39" s="30" t="inlineStr">
        <is>
          <t>Entertainment</t>
        </is>
      </c>
      <c r="C39" s="46" t="n">
        <v>0</v>
      </c>
      <c r="D39" s="46" t="n">
        <v>0</v>
      </c>
      <c r="E39" s="17">
        <f>IFERROR(C39-D39,0)</f>
        <v/>
      </c>
      <c r="F39" s="47">
        <f>IFERROR(D39/C39,0)</f>
        <v/>
      </c>
      <c r="G39" s="30" t="inlineStr"/>
    </row>
    <row r="40" ht="18" customHeight="1">
      <c r="A40" s="28" t="inlineStr">
        <is>
          <t>LIFESTYLE</t>
        </is>
      </c>
      <c r="B40" s="28" t="inlineStr">
        <is>
          <t>Hobbies</t>
        </is>
      </c>
      <c r="C40" s="14" t="n">
        <v>0</v>
      </c>
      <c r="D40" s="14" t="n">
        <v>0</v>
      </c>
      <c r="E40" s="27">
        <f>IFERROR(C40-D40,0)</f>
        <v/>
      </c>
      <c r="F40" s="23">
        <f>IFERROR(D40/C40,0)</f>
        <v/>
      </c>
      <c r="G40" s="28" t="inlineStr"/>
    </row>
    <row r="41" ht="18" customHeight="1">
      <c r="A41" s="30" t="inlineStr">
        <is>
          <t>LIFESTYLE</t>
        </is>
      </c>
      <c r="B41" s="30" t="inlineStr">
        <is>
          <t>Personal Care</t>
        </is>
      </c>
      <c r="C41" s="46" t="n">
        <v>0</v>
      </c>
      <c r="D41" s="46" t="n">
        <v>0</v>
      </c>
      <c r="E41" s="17">
        <f>IFERROR(C41-D41,0)</f>
        <v/>
      </c>
      <c r="F41" s="47">
        <f>IFERROR(D41/C41,0)</f>
        <v/>
      </c>
      <c r="G41" s="30" t="inlineStr"/>
    </row>
    <row r="42" ht="18" customHeight="1">
      <c r="A42" s="28" t="inlineStr">
        <is>
          <t>LIFESTYLE</t>
        </is>
      </c>
      <c r="B42" s="28" t="inlineStr">
        <is>
          <t>Books</t>
        </is>
      </c>
      <c r="C42" s="14" t="n">
        <v>0</v>
      </c>
      <c r="D42" s="14" t="n">
        <v>0</v>
      </c>
      <c r="E42" s="27">
        <f>IFERROR(C42-D42,0)</f>
        <v/>
      </c>
      <c r="F42" s="23">
        <f>IFERROR(D42/C42,0)</f>
        <v/>
      </c>
      <c r="G42" s="28" t="inlineStr"/>
    </row>
    <row r="43" ht="20" customHeight="1">
      <c r="A43" s="41" t="inlineStr">
        <is>
          <t>LIFESTYLE TOTAL</t>
        </is>
      </c>
      <c r="C43" s="42">
        <f>SUM(C38:C42)</f>
        <v/>
      </c>
      <c r="D43" s="42">
        <f>SUM(D38:D42)</f>
        <v/>
      </c>
      <c r="E43" s="43">
        <f>IFERROR(C43-D43,0)</f>
        <v/>
      </c>
      <c r="F43" s="44">
        <f>IFERROR(D43/C43,0)</f>
        <v/>
      </c>
      <c r="G43" s="45" t="inlineStr"/>
    </row>
    <row r="44" ht="22" customHeight="1">
      <c r="A44" s="25" t="inlineStr">
        <is>
          <t>PERSONAL</t>
        </is>
      </c>
    </row>
    <row r="45" ht="18" customHeight="1">
      <c r="A45" s="28" t="inlineStr">
        <is>
          <t>PERSONAL</t>
        </is>
      </c>
      <c r="B45" s="28" t="inlineStr">
        <is>
          <t>Clothing</t>
        </is>
      </c>
      <c r="C45" s="14" t="n">
        <v>0</v>
      </c>
      <c r="D45" s="14" t="n">
        <v>0</v>
      </c>
      <c r="E45" s="27">
        <f>IFERROR(C45-D45,0)</f>
        <v/>
      </c>
      <c r="F45" s="23">
        <f>IFERROR(D45/C45,0)</f>
        <v/>
      </c>
      <c r="G45" s="28" t="inlineStr"/>
    </row>
    <row r="46" ht="18" customHeight="1">
      <c r="A46" s="30" t="inlineStr">
        <is>
          <t>PERSONAL</t>
        </is>
      </c>
      <c r="B46" s="30" t="inlineStr">
        <is>
          <t>Gifts</t>
        </is>
      </c>
      <c r="C46" s="46" t="n">
        <v>0</v>
      </c>
      <c r="D46" s="46" t="n">
        <v>0</v>
      </c>
      <c r="E46" s="17">
        <f>IFERROR(C46-D46,0)</f>
        <v/>
      </c>
      <c r="F46" s="47">
        <f>IFERROR(D46/C46,0)</f>
        <v/>
      </c>
      <c r="G46" s="30" t="inlineStr"/>
    </row>
    <row r="47" ht="18" customHeight="1">
      <c r="A47" s="28" t="inlineStr">
        <is>
          <t>PERSONAL</t>
        </is>
      </c>
      <c r="B47" s="28" t="inlineStr">
        <is>
          <t>Education</t>
        </is>
      </c>
      <c r="C47" s="14" t="n">
        <v>0</v>
      </c>
      <c r="D47" s="14" t="n">
        <v>0</v>
      </c>
      <c r="E47" s="27">
        <f>IFERROR(C47-D47,0)</f>
        <v/>
      </c>
      <c r="F47" s="23">
        <f>IFERROR(D47/C47,0)</f>
        <v/>
      </c>
      <c r="G47" s="28" t="inlineStr"/>
    </row>
    <row r="48" ht="18" customHeight="1">
      <c r="A48" s="30" t="inlineStr">
        <is>
          <t>PERSONAL</t>
        </is>
      </c>
      <c r="B48" s="30" t="inlineStr">
        <is>
          <t>Pet Care</t>
        </is>
      </c>
      <c r="C48" s="46" t="n">
        <v>0</v>
      </c>
      <c r="D48" s="46" t="n">
        <v>0</v>
      </c>
      <c r="E48" s="17">
        <f>IFERROR(C48-D48,0)</f>
        <v/>
      </c>
      <c r="F48" s="47">
        <f>IFERROR(D48/C48,0)</f>
        <v/>
      </c>
      <c r="G48" s="30" t="inlineStr"/>
    </row>
    <row r="49" ht="18" customHeight="1">
      <c r="A49" s="28" t="inlineStr">
        <is>
          <t>PERSONAL</t>
        </is>
      </c>
      <c r="B49" s="28" t="inlineStr">
        <is>
          <t>Miscellaneous</t>
        </is>
      </c>
      <c r="C49" s="14" t="n">
        <v>0</v>
      </c>
      <c r="D49" s="14" t="n">
        <v>0</v>
      </c>
      <c r="E49" s="27">
        <f>IFERROR(C49-D49,0)</f>
        <v/>
      </c>
      <c r="F49" s="23">
        <f>IFERROR(D49/C49,0)</f>
        <v/>
      </c>
      <c r="G49" s="28" t="inlineStr"/>
    </row>
    <row r="50" ht="20" customHeight="1">
      <c r="A50" s="41" t="inlineStr">
        <is>
          <t>PERSONAL TOTAL</t>
        </is>
      </c>
      <c r="C50" s="42">
        <f>SUM(C45:C49)</f>
        <v/>
      </c>
      <c r="D50" s="42">
        <f>SUM(D45:D49)</f>
        <v/>
      </c>
      <c r="E50" s="43">
        <f>IFERROR(C50-D50,0)</f>
        <v/>
      </c>
      <c r="F50" s="44">
        <f>IFERROR(D50/C50,0)</f>
        <v/>
      </c>
      <c r="G50" s="45" t="inlineStr"/>
    </row>
    <row r="51" ht="22" customHeight="1">
      <c r="A51" s="25" t="inlineStr">
        <is>
          <t>SAVINGS &amp; INVESTMENTS</t>
        </is>
      </c>
    </row>
    <row r="52" ht="18" customHeight="1">
      <c r="A52" s="28" t="inlineStr">
        <is>
          <t>SAVINGS &amp; INVESTMENTS</t>
        </is>
      </c>
      <c r="B52" s="28" t="inlineStr">
        <is>
          <t>Emergency Fund</t>
        </is>
      </c>
      <c r="C52" s="14" t="n">
        <v>0</v>
      </c>
      <c r="D52" s="14" t="n">
        <v>0</v>
      </c>
      <c r="E52" s="27">
        <f>IFERROR(C52-D52,0)</f>
        <v/>
      </c>
      <c r="F52" s="23">
        <f>IFERROR(D52/C52,0)</f>
        <v/>
      </c>
      <c r="G52" s="28" t="inlineStr"/>
    </row>
    <row r="53" ht="18" customHeight="1">
      <c r="A53" s="30" t="inlineStr">
        <is>
          <t>SAVINGS &amp; INVESTMENTS</t>
        </is>
      </c>
      <c r="B53" s="30" t="inlineStr">
        <is>
          <t>Pension/IRA</t>
        </is>
      </c>
      <c r="C53" s="46" t="n">
        <v>0</v>
      </c>
      <c r="D53" s="46" t="n">
        <v>0</v>
      </c>
      <c r="E53" s="17">
        <f>IFERROR(C53-D53,0)</f>
        <v/>
      </c>
      <c r="F53" s="47">
        <f>IFERROR(D53/C53,0)</f>
        <v/>
      </c>
      <c r="G53" s="30" t="inlineStr"/>
    </row>
    <row r="54" ht="18" customHeight="1">
      <c r="A54" s="28" t="inlineStr">
        <is>
          <t>SAVINGS &amp; INVESTMENTS</t>
        </is>
      </c>
      <c r="B54" s="28" t="inlineStr">
        <is>
          <t>Stocks</t>
        </is>
      </c>
      <c r="C54" s="14" t="n">
        <v>0</v>
      </c>
      <c r="D54" s="14" t="n">
        <v>0</v>
      </c>
      <c r="E54" s="27">
        <f>IFERROR(C54-D54,0)</f>
        <v/>
      </c>
      <c r="F54" s="23">
        <f>IFERROR(D54/C54,0)</f>
        <v/>
      </c>
      <c r="G54" s="28" t="inlineStr"/>
    </row>
    <row r="55" ht="18" customHeight="1">
      <c r="A55" s="30" t="inlineStr">
        <is>
          <t>SAVINGS &amp; INVESTMENTS</t>
        </is>
      </c>
      <c r="B55" s="30" t="inlineStr">
        <is>
          <t>Vacation Fund</t>
        </is>
      </c>
      <c r="C55" s="46" t="n">
        <v>0</v>
      </c>
      <c r="D55" s="46" t="n">
        <v>0</v>
      </c>
      <c r="E55" s="17">
        <f>IFERROR(C55-D55,0)</f>
        <v/>
      </c>
      <c r="F55" s="47">
        <f>IFERROR(D55/C55,0)</f>
        <v/>
      </c>
      <c r="G55" s="30" t="inlineStr"/>
    </row>
    <row r="56" ht="18" customHeight="1">
      <c r="A56" s="28" t="inlineStr">
        <is>
          <t>SAVINGS &amp; INVESTMENTS</t>
        </is>
      </c>
      <c r="B56" s="28" t="inlineStr">
        <is>
          <t>Other Savings</t>
        </is>
      </c>
      <c r="C56" s="14" t="n">
        <v>0</v>
      </c>
      <c r="D56" s="14" t="n">
        <v>0</v>
      </c>
      <c r="E56" s="27">
        <f>IFERROR(C56-D56,0)</f>
        <v/>
      </c>
      <c r="F56" s="23">
        <f>IFERROR(D56/C56,0)</f>
        <v/>
      </c>
      <c r="G56" s="28" t="inlineStr"/>
    </row>
    <row r="57" ht="20" customHeight="1">
      <c r="A57" s="41" t="inlineStr">
        <is>
          <t>SAVINGS &amp; INVESTMENTS TOTAL</t>
        </is>
      </c>
      <c r="C57" s="42">
        <f>SUM(C52:C56)</f>
        <v/>
      </c>
      <c r="D57" s="42">
        <f>SUM(D52:D56)</f>
        <v/>
      </c>
      <c r="E57" s="43">
        <f>IFERROR(C57-D57,0)</f>
        <v/>
      </c>
      <c r="F57" s="44">
        <f>IFERROR(D57/C57,0)</f>
        <v/>
      </c>
      <c r="G57" s="45" t="inlineStr"/>
    </row>
    <row r="58" ht="22" customHeight="1">
      <c r="A58" s="25" t="inlineStr">
        <is>
          <t>DEBT PAYMENTS</t>
        </is>
      </c>
    </row>
    <row r="59" ht="18" customHeight="1">
      <c r="A59" s="28" t="inlineStr">
        <is>
          <t>DEBT PAYMENTS</t>
        </is>
      </c>
      <c r="B59" s="28" t="inlineStr">
        <is>
          <t>Credit Card 1</t>
        </is>
      </c>
      <c r="C59" s="14" t="n">
        <v>0</v>
      </c>
      <c r="D59" s="14" t="n">
        <v>0</v>
      </c>
      <c r="E59" s="27">
        <f>IFERROR(C59-D59,0)</f>
        <v/>
      </c>
      <c r="F59" s="23">
        <f>IFERROR(D59/C59,0)</f>
        <v/>
      </c>
      <c r="G59" s="28" t="inlineStr"/>
    </row>
    <row r="60" ht="18" customHeight="1">
      <c r="A60" s="30" t="inlineStr">
        <is>
          <t>DEBT PAYMENTS</t>
        </is>
      </c>
      <c r="B60" s="30" t="inlineStr">
        <is>
          <t>Credit Card 2</t>
        </is>
      </c>
      <c r="C60" s="46" t="n">
        <v>0</v>
      </c>
      <c r="D60" s="46" t="n">
        <v>0</v>
      </c>
      <c r="E60" s="17">
        <f>IFERROR(C60-D60,0)</f>
        <v/>
      </c>
      <c r="F60" s="47">
        <f>IFERROR(D60/C60,0)</f>
        <v/>
      </c>
      <c r="G60" s="30" t="inlineStr"/>
    </row>
    <row r="61" ht="18" customHeight="1">
      <c r="A61" s="28" t="inlineStr">
        <is>
          <t>DEBT PAYMENTS</t>
        </is>
      </c>
      <c r="B61" s="28" t="inlineStr">
        <is>
          <t>Student Loan</t>
        </is>
      </c>
      <c r="C61" s="14" t="n">
        <v>0</v>
      </c>
      <c r="D61" s="14" t="n">
        <v>0</v>
      </c>
      <c r="E61" s="27">
        <f>IFERROR(C61-D61,0)</f>
        <v/>
      </c>
      <c r="F61" s="23">
        <f>IFERROR(D61/C61,0)</f>
        <v/>
      </c>
      <c r="G61" s="28" t="inlineStr"/>
    </row>
    <row r="62" ht="18" customHeight="1">
      <c r="A62" s="30" t="inlineStr">
        <is>
          <t>DEBT PAYMENTS</t>
        </is>
      </c>
      <c r="B62" s="30" t="inlineStr">
        <is>
          <t>Car Loan</t>
        </is>
      </c>
      <c r="C62" s="46" t="n">
        <v>0</v>
      </c>
      <c r="D62" s="46" t="n">
        <v>0</v>
      </c>
      <c r="E62" s="17">
        <f>IFERROR(C62-D62,0)</f>
        <v/>
      </c>
      <c r="F62" s="47">
        <f>IFERROR(D62/C62,0)</f>
        <v/>
      </c>
      <c r="G62" s="30" t="inlineStr"/>
    </row>
    <row r="63" ht="18" customHeight="1">
      <c r="A63" s="28" t="inlineStr">
        <is>
          <t>DEBT PAYMENTS</t>
        </is>
      </c>
      <c r="B63" s="28" t="inlineStr">
        <is>
          <t>Other</t>
        </is>
      </c>
      <c r="C63" s="14" t="n">
        <v>0</v>
      </c>
      <c r="D63" s="14" t="n">
        <v>0</v>
      </c>
      <c r="E63" s="27">
        <f>IFERROR(C63-D63,0)</f>
        <v/>
      </c>
      <c r="F63" s="23">
        <f>IFERROR(D63/C63,0)</f>
        <v/>
      </c>
      <c r="G63" s="28" t="inlineStr"/>
    </row>
    <row r="64" ht="20" customHeight="1">
      <c r="A64" s="41" t="inlineStr">
        <is>
          <t>DEBT PAYMENTS TOTAL</t>
        </is>
      </c>
      <c r="C64" s="42">
        <f>SUM(C59:C63)</f>
        <v/>
      </c>
      <c r="D64" s="42">
        <f>SUM(D59:D63)</f>
        <v/>
      </c>
      <c r="E64" s="43">
        <f>IFERROR(C64-D64,0)</f>
        <v/>
      </c>
      <c r="F64" s="44">
        <f>IFERROR(D64/C64,0)</f>
        <v/>
      </c>
      <c r="G64" s="45" t="inlineStr"/>
    </row>
    <row r="65" ht="24" customHeight="1">
      <c r="A65" s="9" t="inlineStr">
        <is>
          <t>GRAND TOTAL EXPENSES</t>
        </is>
      </c>
      <c r="C65" s="48">
        <f>C15+C22+C29+C36+C43+C50+C57+C64</f>
        <v/>
      </c>
      <c r="D65" s="48">
        <f>D15+D22+D29+D36+D43+D50+D57+D64</f>
        <v/>
      </c>
      <c r="E65" s="49">
        <f>IFERROR(C65-D65,0)</f>
        <v/>
      </c>
      <c r="F65" s="50" t="inlineStr"/>
      <c r="G65" s="50" t="inlineStr"/>
    </row>
    <row r="66" ht="24" customHeight="1">
      <c r="A66" s="8" t="inlineStr">
        <is>
          <t>NET CASH FLOW</t>
        </is>
      </c>
      <c r="C66" s="51">
        <f>IFERROR(C8-C65,0)</f>
        <v/>
      </c>
      <c r="D66" s="51">
        <f>IFERROR(D8-D65,0)</f>
        <v/>
      </c>
      <c r="E66" s="52" t="inlineStr"/>
      <c r="F66" s="52" t="inlineStr"/>
      <c r="G66" s="52" t="inlineStr"/>
    </row>
    <row r="67" ht="22" customHeight="1">
      <c r="A67" s="53" t="inlineStr">
        <is>
          <t>BUDGET VS ACTUAL — CATEGORY OVERVIEW</t>
        </is>
      </c>
    </row>
    <row r="68" ht="18" customHeight="1">
      <c r="A68" s="12" t="inlineStr">
        <is>
          <t>HOUSING</t>
        </is>
      </c>
      <c r="B68" s="27">
        <f>C15</f>
        <v/>
      </c>
      <c r="C68" s="27">
        <f>D15</f>
        <v/>
      </c>
    </row>
    <row r="69" ht="18" customHeight="1">
      <c r="A69" s="15" t="inlineStr">
        <is>
          <t>TRANSPORT</t>
        </is>
      </c>
      <c r="B69" s="17">
        <f>C22</f>
        <v/>
      </c>
      <c r="C69" s="17">
        <f>D22</f>
        <v/>
      </c>
    </row>
    <row r="70" ht="18" customHeight="1">
      <c r="A70" s="12" t="inlineStr">
        <is>
          <t>FOOD &amp; DINING</t>
        </is>
      </c>
      <c r="B70" s="27">
        <f>C29</f>
        <v/>
      </c>
      <c r="C70" s="27">
        <f>D29</f>
        <v/>
      </c>
    </row>
    <row r="71" ht="18" customHeight="1">
      <c r="A71" s="15" t="inlineStr">
        <is>
          <t>HEALTH &amp; WELLNESS</t>
        </is>
      </c>
      <c r="B71" s="17">
        <f>C36</f>
        <v/>
      </c>
      <c r="C71" s="17">
        <f>D36</f>
        <v/>
      </c>
    </row>
    <row r="72" ht="18" customHeight="1">
      <c r="A72" s="12" t="inlineStr">
        <is>
          <t>LIFESTYLE</t>
        </is>
      </c>
      <c r="B72" s="27">
        <f>C43</f>
        <v/>
      </c>
      <c r="C72" s="27">
        <f>D43</f>
        <v/>
      </c>
    </row>
    <row r="73" ht="18" customHeight="1">
      <c r="A73" s="15" t="inlineStr">
        <is>
          <t>PERSONAL</t>
        </is>
      </c>
      <c r="B73" s="17">
        <f>C50</f>
        <v/>
      </c>
      <c r="C73" s="17">
        <f>D50</f>
        <v/>
      </c>
    </row>
    <row r="74" ht="18" customHeight="1">
      <c r="A74" s="12" t="inlineStr">
        <is>
          <t>SAVINGS &amp; INVESTMENTS</t>
        </is>
      </c>
      <c r="B74" s="27">
        <f>C57</f>
        <v/>
      </c>
      <c r="C74" s="27">
        <f>D57</f>
        <v/>
      </c>
    </row>
    <row r="75" ht="18" customHeight="1">
      <c r="A75" s="15" t="inlineStr">
        <is>
          <t>DEBT PAYMENTS</t>
        </is>
      </c>
      <c r="B75" s="17">
        <f>C64</f>
        <v/>
      </c>
      <c r="C75" s="17">
        <f>D64</f>
        <v/>
      </c>
    </row>
  </sheetData>
  <mergeCells count="23">
    <mergeCell ref="A15:B15"/>
    <mergeCell ref="A64:B64"/>
    <mergeCell ref="A4:G4"/>
    <mergeCell ref="A36:B36"/>
    <mergeCell ref="A44:G44"/>
    <mergeCell ref="A58:G58"/>
    <mergeCell ref="A67:D67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5C8A52"/>
    <outlinePr summaryBelow="1" summaryRight="1"/>
    <pageSetUpPr/>
  </sheetPr>
  <dimension ref="A1:G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20" customWidth="1" min="7" max="7"/>
  </cols>
  <sheetData>
    <row r="1" ht="48" customHeight="1">
      <c r="A1" s="1" t="inlineStr">
        <is>
          <t>JULY · MONTHLY BUDGET</t>
        </is>
      </c>
    </row>
    <row r="2" ht="20" customHeight="1">
      <c r="A2" s="2" t="inlineStr">
        <is>
          <t>Track your income and expenses for July</t>
        </is>
      </c>
    </row>
    <row r="3" ht="20" customHeight="1">
      <c r="A3" s="26" t="inlineStr">
        <is>
          <t>CATEGORY</t>
        </is>
      </c>
      <c r="B3" s="26" t="inlineStr">
        <is>
          <t>SUBCATEGORY</t>
        </is>
      </c>
      <c r="C3" s="26" t="inlineStr">
        <is>
          <t>BUDGETED</t>
        </is>
      </c>
      <c r="D3" s="26" t="inlineStr">
        <is>
          <t>ACTUAL</t>
        </is>
      </c>
      <c r="E3" s="26" t="inlineStr">
        <is>
          <t>DIFFERENCE</t>
        </is>
      </c>
      <c r="F3" s="26" t="inlineStr">
        <is>
          <t>% USED</t>
        </is>
      </c>
      <c r="G3" s="26" t="inlineStr">
        <is>
          <t>NOTES</t>
        </is>
      </c>
    </row>
    <row r="4" ht="22" customHeight="1">
      <c r="A4" s="9" t="inlineStr">
        <is>
          <t>INCOME</t>
        </is>
      </c>
    </row>
    <row r="5" ht="18" customHeight="1">
      <c r="A5" s="28" t="inlineStr">
        <is>
          <t>INCOME</t>
        </is>
      </c>
      <c r="B5" s="28" t="inlineStr">
        <is>
          <t>Primary Income</t>
        </is>
      </c>
      <c r="C5" s="14" t="n">
        <v>0</v>
      </c>
      <c r="D5" s="14" t="n">
        <v>0</v>
      </c>
      <c r="E5" s="27">
        <f>IFERROR(C5-D5,0)</f>
        <v/>
      </c>
      <c r="F5" s="23">
        <f>IFERROR(D5/C5,0)</f>
        <v/>
      </c>
      <c r="G5" s="28" t="inlineStr"/>
    </row>
    <row r="6" ht="18" customHeight="1">
      <c r="A6" s="31" t="inlineStr">
        <is>
          <t>INCOME</t>
        </is>
      </c>
      <c r="B6" s="31" t="inlineStr">
        <is>
          <t>Side Income</t>
        </is>
      </c>
      <c r="C6" s="20" t="n">
        <v>0</v>
      </c>
      <c r="D6" s="20" t="n">
        <v>0</v>
      </c>
      <c r="E6" s="39">
        <f>IFERROR(C6-D6,0)</f>
        <v/>
      </c>
      <c r="F6" s="40">
        <f>IFERROR(D6/C6,0)</f>
        <v/>
      </c>
      <c r="G6" s="31" t="inlineStr"/>
    </row>
    <row r="7" ht="18" customHeight="1">
      <c r="A7" s="28" t="inlineStr">
        <is>
          <t>INCOME</t>
        </is>
      </c>
      <c r="B7" s="28" t="inlineStr">
        <is>
          <t>Other Income</t>
        </is>
      </c>
      <c r="C7" s="14" t="n">
        <v>0</v>
      </c>
      <c r="D7" s="14" t="n">
        <v>0</v>
      </c>
      <c r="E7" s="27">
        <f>IFERROR(C7-D7,0)</f>
        <v/>
      </c>
      <c r="F7" s="23">
        <f>IFERROR(D7/C7,0)</f>
        <v/>
      </c>
      <c r="G7" s="28" t="inlineStr"/>
    </row>
    <row r="8" ht="20" customHeight="1">
      <c r="A8" s="41" t="inlineStr">
        <is>
          <t>TOTAL INCOME</t>
        </is>
      </c>
      <c r="C8" s="42">
        <f>SUM(C5:C7)</f>
        <v/>
      </c>
      <c r="D8" s="42">
        <f>SUM(D5:D7)</f>
        <v/>
      </c>
      <c r="E8" s="43">
        <f>IFERROR(C8-D8,0)</f>
        <v/>
      </c>
      <c r="F8" s="44">
        <f>IFERROR(D8/C8,0)</f>
        <v/>
      </c>
      <c r="G8" s="45" t="inlineStr"/>
    </row>
    <row r="9" ht="22" customHeight="1">
      <c r="A9" s="25" t="inlineStr">
        <is>
          <t>HOUSING</t>
        </is>
      </c>
    </row>
    <row r="10" ht="18" customHeight="1">
      <c r="A10" s="28" t="inlineStr">
        <is>
          <t>HOUSING</t>
        </is>
      </c>
      <c r="B10" s="28" t="inlineStr">
        <is>
          <t>Rent/Mortgage</t>
        </is>
      </c>
      <c r="C10" s="14" t="n">
        <v>0</v>
      </c>
      <c r="D10" s="14" t="n">
        <v>0</v>
      </c>
      <c r="E10" s="27">
        <f>IFERROR(C10-D10,0)</f>
        <v/>
      </c>
      <c r="F10" s="23">
        <f>IFERROR(D10/C10,0)</f>
        <v/>
      </c>
      <c r="G10" s="28" t="inlineStr"/>
    </row>
    <row r="11" ht="18" customHeight="1">
      <c r="A11" s="30" t="inlineStr">
        <is>
          <t>HOUSING</t>
        </is>
      </c>
      <c r="B11" s="30" t="inlineStr">
        <is>
          <t>Utilities</t>
        </is>
      </c>
      <c r="C11" s="46" t="n">
        <v>0</v>
      </c>
      <c r="D11" s="46" t="n">
        <v>0</v>
      </c>
      <c r="E11" s="17">
        <f>IFERROR(C11-D11,0)</f>
        <v/>
      </c>
      <c r="F11" s="47">
        <f>IFERROR(D11/C11,0)</f>
        <v/>
      </c>
      <c r="G11" s="30" t="inlineStr"/>
    </row>
    <row r="12" ht="18" customHeight="1">
      <c r="A12" s="28" t="inlineStr">
        <is>
          <t>HOUSING</t>
        </is>
      </c>
      <c r="B12" s="28" t="inlineStr">
        <is>
          <t>Electricity</t>
        </is>
      </c>
      <c r="C12" s="14" t="n">
        <v>0</v>
      </c>
      <c r="D12" s="14" t="n">
        <v>0</v>
      </c>
      <c r="E12" s="27">
        <f>IFERROR(C12-D12,0)</f>
        <v/>
      </c>
      <c r="F12" s="23">
        <f>IFERROR(D12/C12,0)</f>
        <v/>
      </c>
      <c r="G12" s="28" t="inlineStr"/>
    </row>
    <row r="13" ht="18" customHeight="1">
      <c r="A13" s="30" t="inlineStr">
        <is>
          <t>HOUSING</t>
        </is>
      </c>
      <c r="B13" s="30" t="inlineStr">
        <is>
          <t>Internet</t>
        </is>
      </c>
      <c r="C13" s="46" t="n">
        <v>0</v>
      </c>
      <c r="D13" s="46" t="n">
        <v>0</v>
      </c>
      <c r="E13" s="17">
        <f>IFERROR(C13-D13,0)</f>
        <v/>
      </c>
      <c r="F13" s="47">
        <f>IFERROR(D13/C13,0)</f>
        <v/>
      </c>
      <c r="G13" s="30" t="inlineStr"/>
    </row>
    <row r="14" ht="18" customHeight="1">
      <c r="A14" s="28" t="inlineStr">
        <is>
          <t>HOUSING</t>
        </is>
      </c>
      <c r="B14" s="28" t="inlineStr">
        <is>
          <t>Home Insurance</t>
        </is>
      </c>
      <c r="C14" s="14" t="n">
        <v>0</v>
      </c>
      <c r="D14" s="14" t="n">
        <v>0</v>
      </c>
      <c r="E14" s="27">
        <f>IFERROR(C14-D14,0)</f>
        <v/>
      </c>
      <c r="F14" s="23">
        <f>IFERROR(D14/C14,0)</f>
        <v/>
      </c>
      <c r="G14" s="28" t="inlineStr"/>
    </row>
    <row r="15" ht="20" customHeight="1">
      <c r="A15" s="41" t="inlineStr">
        <is>
          <t>HOUSING TOTAL</t>
        </is>
      </c>
      <c r="C15" s="42">
        <f>SUM(C10:C14)</f>
        <v/>
      </c>
      <c r="D15" s="42">
        <f>SUM(D10:D14)</f>
        <v/>
      </c>
      <c r="E15" s="43">
        <f>IFERROR(C15-D15,0)</f>
        <v/>
      </c>
      <c r="F15" s="44">
        <f>IFERROR(D15/C15,0)</f>
        <v/>
      </c>
      <c r="G15" s="45" t="inlineStr"/>
    </row>
    <row r="16" ht="22" customHeight="1">
      <c r="A16" s="25" t="inlineStr">
        <is>
          <t>TRANSPORT</t>
        </is>
      </c>
    </row>
    <row r="17" ht="18" customHeight="1">
      <c r="A17" s="28" t="inlineStr">
        <is>
          <t>TRANSPORT</t>
        </is>
      </c>
      <c r="B17" s="28" t="inlineStr">
        <is>
          <t>Car Payment</t>
        </is>
      </c>
      <c r="C17" s="14" t="n">
        <v>0</v>
      </c>
      <c r="D17" s="14" t="n">
        <v>0</v>
      </c>
      <c r="E17" s="27">
        <f>IFERROR(C17-D17,0)</f>
        <v/>
      </c>
      <c r="F17" s="23">
        <f>IFERROR(D17/C17,0)</f>
        <v/>
      </c>
      <c r="G17" s="28" t="inlineStr"/>
    </row>
    <row r="18" ht="18" customHeight="1">
      <c r="A18" s="30" t="inlineStr">
        <is>
          <t>TRANSPORT</t>
        </is>
      </c>
      <c r="B18" s="30" t="inlineStr">
        <is>
          <t>Fuel</t>
        </is>
      </c>
      <c r="C18" s="46" t="n">
        <v>0</v>
      </c>
      <c r="D18" s="46" t="n">
        <v>0</v>
      </c>
      <c r="E18" s="17">
        <f>IFERROR(C18-D18,0)</f>
        <v/>
      </c>
      <c r="F18" s="47">
        <f>IFERROR(D18/C18,0)</f>
        <v/>
      </c>
      <c r="G18" s="30" t="inlineStr"/>
    </row>
    <row r="19" ht="18" customHeight="1">
      <c r="A19" s="28" t="inlineStr">
        <is>
          <t>TRANSPORT</t>
        </is>
      </c>
      <c r="B19" s="28" t="inlineStr">
        <is>
          <t>Car Insurance</t>
        </is>
      </c>
      <c r="C19" s="14" t="n">
        <v>0</v>
      </c>
      <c r="D19" s="14" t="n">
        <v>0</v>
      </c>
      <c r="E19" s="27">
        <f>IFERROR(C19-D19,0)</f>
        <v/>
      </c>
      <c r="F19" s="23">
        <f>IFERROR(D19/C19,0)</f>
        <v/>
      </c>
      <c r="G19" s="28" t="inlineStr"/>
    </row>
    <row r="20" ht="18" customHeight="1">
      <c r="A20" s="30" t="inlineStr">
        <is>
          <t>TRANSPORT</t>
        </is>
      </c>
      <c r="B20" s="30" t="inlineStr">
        <is>
          <t>Parking</t>
        </is>
      </c>
      <c r="C20" s="46" t="n">
        <v>0</v>
      </c>
      <c r="D20" s="46" t="n">
        <v>0</v>
      </c>
      <c r="E20" s="17">
        <f>IFERROR(C20-D20,0)</f>
        <v/>
      </c>
      <c r="F20" s="47">
        <f>IFERROR(D20/C20,0)</f>
        <v/>
      </c>
      <c r="G20" s="30" t="inlineStr"/>
    </row>
    <row r="21" ht="18" customHeight="1">
      <c r="A21" s="28" t="inlineStr">
        <is>
          <t>TRANSPORT</t>
        </is>
      </c>
      <c r="B21" s="28" t="inlineStr">
        <is>
          <t>Public Transport</t>
        </is>
      </c>
      <c r="C21" s="14" t="n">
        <v>0</v>
      </c>
      <c r="D21" s="14" t="n">
        <v>0</v>
      </c>
      <c r="E21" s="27">
        <f>IFERROR(C21-D21,0)</f>
        <v/>
      </c>
      <c r="F21" s="23">
        <f>IFERROR(D21/C21,0)</f>
        <v/>
      </c>
      <c r="G21" s="28" t="inlineStr"/>
    </row>
    <row r="22" ht="20" customHeight="1">
      <c r="A22" s="41" t="inlineStr">
        <is>
          <t>TRANSPORT TOTAL</t>
        </is>
      </c>
      <c r="C22" s="42">
        <f>SUM(C17:C21)</f>
        <v/>
      </c>
      <c r="D22" s="42">
        <f>SUM(D17:D21)</f>
        <v/>
      </c>
      <c r="E22" s="43">
        <f>IFERROR(C22-D22,0)</f>
        <v/>
      </c>
      <c r="F22" s="44">
        <f>IFERROR(D22/C22,0)</f>
        <v/>
      </c>
      <c r="G22" s="45" t="inlineStr"/>
    </row>
    <row r="23" ht="22" customHeight="1">
      <c r="A23" s="25" t="inlineStr">
        <is>
          <t>FOOD &amp; DINING</t>
        </is>
      </c>
    </row>
    <row r="24" ht="18" customHeight="1">
      <c r="A24" s="28" t="inlineStr">
        <is>
          <t>FOOD &amp; DINING</t>
        </is>
      </c>
      <c r="B24" s="28" t="inlineStr">
        <is>
          <t>Groceries</t>
        </is>
      </c>
      <c r="C24" s="14" t="n">
        <v>0</v>
      </c>
      <c r="D24" s="14" t="n">
        <v>0</v>
      </c>
      <c r="E24" s="27">
        <f>IFERROR(C24-D24,0)</f>
        <v/>
      </c>
      <c r="F24" s="23">
        <f>IFERROR(D24/C24,0)</f>
        <v/>
      </c>
      <c r="G24" s="28" t="inlineStr"/>
    </row>
    <row r="25" ht="18" customHeight="1">
      <c r="A25" s="30" t="inlineStr">
        <is>
          <t>FOOD &amp; DINING</t>
        </is>
      </c>
      <c r="B25" s="30" t="inlineStr">
        <is>
          <t>Restaurants</t>
        </is>
      </c>
      <c r="C25" s="46" t="n">
        <v>0</v>
      </c>
      <c r="D25" s="46" t="n">
        <v>0</v>
      </c>
      <c r="E25" s="17">
        <f>IFERROR(C25-D25,0)</f>
        <v/>
      </c>
      <c r="F25" s="47">
        <f>IFERROR(D25/C25,0)</f>
        <v/>
      </c>
      <c r="G25" s="30" t="inlineStr"/>
    </row>
    <row r="26" ht="18" customHeight="1">
      <c r="A26" s="28" t="inlineStr">
        <is>
          <t>FOOD &amp; DINING</t>
        </is>
      </c>
      <c r="B26" s="28" t="inlineStr">
        <is>
          <t>Coffee</t>
        </is>
      </c>
      <c r="C26" s="14" t="n">
        <v>0</v>
      </c>
      <c r="D26" s="14" t="n">
        <v>0</v>
      </c>
      <c r="E26" s="27">
        <f>IFERROR(C26-D26,0)</f>
        <v/>
      </c>
      <c r="F26" s="23">
        <f>IFERROR(D26/C26,0)</f>
        <v/>
      </c>
      <c r="G26" s="28" t="inlineStr"/>
    </row>
    <row r="27" ht="18" customHeight="1">
      <c r="A27" s="30" t="inlineStr">
        <is>
          <t>FOOD &amp; DINING</t>
        </is>
      </c>
      <c r="B27" s="30" t="inlineStr">
        <is>
          <t>Food Delivery</t>
        </is>
      </c>
      <c r="C27" s="46" t="n">
        <v>0</v>
      </c>
      <c r="D27" s="46" t="n">
        <v>0</v>
      </c>
      <c r="E27" s="17">
        <f>IFERROR(C27-D27,0)</f>
        <v/>
      </c>
      <c r="F27" s="47">
        <f>IFERROR(D27/C27,0)</f>
        <v/>
      </c>
      <c r="G27" s="30" t="inlineStr"/>
    </row>
    <row r="28" ht="18" customHeight="1">
      <c r="A28" s="28" t="inlineStr">
        <is>
          <t>FOOD &amp; DINING</t>
        </is>
      </c>
      <c r="B28" s="28" t="inlineStr">
        <is>
          <t>Work Lunch</t>
        </is>
      </c>
      <c r="C28" s="14" t="n">
        <v>0</v>
      </c>
      <c r="D28" s="14" t="n">
        <v>0</v>
      </c>
      <c r="E28" s="27">
        <f>IFERROR(C28-D28,0)</f>
        <v/>
      </c>
      <c r="F28" s="23">
        <f>IFERROR(D28/C28,0)</f>
        <v/>
      </c>
      <c r="G28" s="28" t="inlineStr"/>
    </row>
    <row r="29" ht="20" customHeight="1">
      <c r="A29" s="41" t="inlineStr">
        <is>
          <t>FOOD &amp; DINING TOTAL</t>
        </is>
      </c>
      <c r="C29" s="42">
        <f>SUM(C24:C28)</f>
        <v/>
      </c>
      <c r="D29" s="42">
        <f>SUM(D24:D28)</f>
        <v/>
      </c>
      <c r="E29" s="43">
        <f>IFERROR(C29-D29,0)</f>
        <v/>
      </c>
      <c r="F29" s="44">
        <f>IFERROR(D29/C29,0)</f>
        <v/>
      </c>
      <c r="G29" s="45" t="inlineStr"/>
    </row>
    <row r="30" ht="22" customHeight="1">
      <c r="A30" s="25" t="inlineStr">
        <is>
          <t>HEALTH &amp; WELLNESS</t>
        </is>
      </c>
    </row>
    <row r="31" ht="18" customHeight="1">
      <c r="A31" s="28" t="inlineStr">
        <is>
          <t>HEALTH &amp; WELLNESS</t>
        </is>
      </c>
      <c r="B31" s="28" t="inlineStr">
        <is>
          <t>Health Insurance</t>
        </is>
      </c>
      <c r="C31" s="14" t="n">
        <v>0</v>
      </c>
      <c r="D31" s="14" t="n">
        <v>0</v>
      </c>
      <c r="E31" s="27">
        <f>IFERROR(C31-D31,0)</f>
        <v/>
      </c>
      <c r="F31" s="23">
        <f>IFERROR(D31/C31,0)</f>
        <v/>
      </c>
      <c r="G31" s="28" t="inlineStr"/>
    </row>
    <row r="32" ht="18" customHeight="1">
      <c r="A32" s="30" t="inlineStr">
        <is>
          <t>HEALTH &amp; WELLNESS</t>
        </is>
      </c>
      <c r="B32" s="30" t="inlineStr">
        <is>
          <t>Gym</t>
        </is>
      </c>
      <c r="C32" s="46" t="n">
        <v>0</v>
      </c>
      <c r="D32" s="46" t="n">
        <v>0</v>
      </c>
      <c r="E32" s="17">
        <f>IFERROR(C32-D32,0)</f>
        <v/>
      </c>
      <c r="F32" s="47">
        <f>IFERROR(D32/C32,0)</f>
        <v/>
      </c>
      <c r="G32" s="30" t="inlineStr"/>
    </row>
    <row r="33" ht="18" customHeight="1">
      <c r="A33" s="28" t="inlineStr">
        <is>
          <t>HEALTH &amp; WELLNESS</t>
        </is>
      </c>
      <c r="B33" s="28" t="inlineStr">
        <is>
          <t>Pharmacy</t>
        </is>
      </c>
      <c r="C33" s="14" t="n">
        <v>0</v>
      </c>
      <c r="D33" s="14" t="n">
        <v>0</v>
      </c>
      <c r="E33" s="27">
        <f>IFERROR(C33-D33,0)</f>
        <v/>
      </c>
      <c r="F33" s="23">
        <f>IFERROR(D33/C33,0)</f>
        <v/>
      </c>
      <c r="G33" s="28" t="inlineStr"/>
    </row>
    <row r="34" ht="18" customHeight="1">
      <c r="A34" s="30" t="inlineStr">
        <is>
          <t>HEALTH &amp; WELLNESS</t>
        </is>
      </c>
      <c r="B34" s="30" t="inlineStr">
        <is>
          <t>Doctor</t>
        </is>
      </c>
      <c r="C34" s="46" t="n">
        <v>0</v>
      </c>
      <c r="D34" s="46" t="n">
        <v>0</v>
      </c>
      <c r="E34" s="17">
        <f>IFERROR(C34-D34,0)</f>
        <v/>
      </c>
      <c r="F34" s="47">
        <f>IFERROR(D34/C34,0)</f>
        <v/>
      </c>
      <c r="G34" s="30" t="inlineStr"/>
    </row>
    <row r="35" ht="18" customHeight="1">
      <c r="A35" s="28" t="inlineStr">
        <is>
          <t>HEALTH &amp; WELLNESS</t>
        </is>
      </c>
      <c r="B35" s="28" t="inlineStr">
        <is>
          <t>Dental</t>
        </is>
      </c>
      <c r="C35" s="14" t="n">
        <v>0</v>
      </c>
      <c r="D35" s="14" t="n">
        <v>0</v>
      </c>
      <c r="E35" s="27">
        <f>IFERROR(C35-D35,0)</f>
        <v/>
      </c>
      <c r="F35" s="23">
        <f>IFERROR(D35/C35,0)</f>
        <v/>
      </c>
      <c r="G35" s="28" t="inlineStr"/>
    </row>
    <row r="36" ht="20" customHeight="1">
      <c r="A36" s="41" t="inlineStr">
        <is>
          <t>HEALTH &amp; WELLNESS TOTAL</t>
        </is>
      </c>
      <c r="C36" s="42">
        <f>SUM(C31:C35)</f>
        <v/>
      </c>
      <c r="D36" s="42">
        <f>SUM(D31:D35)</f>
        <v/>
      </c>
      <c r="E36" s="43">
        <f>IFERROR(C36-D36,0)</f>
        <v/>
      </c>
      <c r="F36" s="44">
        <f>IFERROR(D36/C36,0)</f>
        <v/>
      </c>
      <c r="G36" s="45" t="inlineStr"/>
    </row>
    <row r="37" ht="22" customHeight="1">
      <c r="A37" s="25" t="inlineStr">
        <is>
          <t>LIFESTYLE</t>
        </is>
      </c>
    </row>
    <row r="38" ht="18" customHeight="1">
      <c r="A38" s="28" t="inlineStr">
        <is>
          <t>LIFESTYLE</t>
        </is>
      </c>
      <c r="B38" s="28" t="inlineStr">
        <is>
          <t>Streaming Services</t>
        </is>
      </c>
      <c r="C38" s="14" t="n">
        <v>0</v>
      </c>
      <c r="D38" s="14" t="n">
        <v>0</v>
      </c>
      <c r="E38" s="27">
        <f>IFERROR(C38-D38,0)</f>
        <v/>
      </c>
      <c r="F38" s="23">
        <f>IFERROR(D38/C38,0)</f>
        <v/>
      </c>
      <c r="G38" s="28" t="inlineStr"/>
    </row>
    <row r="39" ht="18" customHeight="1">
      <c r="A39" s="30" t="inlineStr">
        <is>
          <t>LIFESTYLE</t>
        </is>
      </c>
      <c r="B39" s="30" t="inlineStr">
        <is>
          <t>Entertainment</t>
        </is>
      </c>
      <c r="C39" s="46" t="n">
        <v>0</v>
      </c>
      <c r="D39" s="46" t="n">
        <v>0</v>
      </c>
      <c r="E39" s="17">
        <f>IFERROR(C39-D39,0)</f>
        <v/>
      </c>
      <c r="F39" s="47">
        <f>IFERROR(D39/C39,0)</f>
        <v/>
      </c>
      <c r="G39" s="30" t="inlineStr"/>
    </row>
    <row r="40" ht="18" customHeight="1">
      <c r="A40" s="28" t="inlineStr">
        <is>
          <t>LIFESTYLE</t>
        </is>
      </c>
      <c r="B40" s="28" t="inlineStr">
        <is>
          <t>Hobbies</t>
        </is>
      </c>
      <c r="C40" s="14" t="n">
        <v>0</v>
      </c>
      <c r="D40" s="14" t="n">
        <v>0</v>
      </c>
      <c r="E40" s="27">
        <f>IFERROR(C40-D40,0)</f>
        <v/>
      </c>
      <c r="F40" s="23">
        <f>IFERROR(D40/C40,0)</f>
        <v/>
      </c>
      <c r="G40" s="28" t="inlineStr"/>
    </row>
    <row r="41" ht="18" customHeight="1">
      <c r="A41" s="30" t="inlineStr">
        <is>
          <t>LIFESTYLE</t>
        </is>
      </c>
      <c r="B41" s="30" t="inlineStr">
        <is>
          <t>Personal Care</t>
        </is>
      </c>
      <c r="C41" s="46" t="n">
        <v>0</v>
      </c>
      <c r="D41" s="46" t="n">
        <v>0</v>
      </c>
      <c r="E41" s="17">
        <f>IFERROR(C41-D41,0)</f>
        <v/>
      </c>
      <c r="F41" s="47">
        <f>IFERROR(D41/C41,0)</f>
        <v/>
      </c>
      <c r="G41" s="30" t="inlineStr"/>
    </row>
    <row r="42" ht="18" customHeight="1">
      <c r="A42" s="28" t="inlineStr">
        <is>
          <t>LIFESTYLE</t>
        </is>
      </c>
      <c r="B42" s="28" t="inlineStr">
        <is>
          <t>Books</t>
        </is>
      </c>
      <c r="C42" s="14" t="n">
        <v>0</v>
      </c>
      <c r="D42" s="14" t="n">
        <v>0</v>
      </c>
      <c r="E42" s="27">
        <f>IFERROR(C42-D42,0)</f>
        <v/>
      </c>
      <c r="F42" s="23">
        <f>IFERROR(D42/C42,0)</f>
        <v/>
      </c>
      <c r="G42" s="28" t="inlineStr"/>
    </row>
    <row r="43" ht="20" customHeight="1">
      <c r="A43" s="41" t="inlineStr">
        <is>
          <t>LIFESTYLE TOTAL</t>
        </is>
      </c>
      <c r="C43" s="42">
        <f>SUM(C38:C42)</f>
        <v/>
      </c>
      <c r="D43" s="42">
        <f>SUM(D38:D42)</f>
        <v/>
      </c>
      <c r="E43" s="43">
        <f>IFERROR(C43-D43,0)</f>
        <v/>
      </c>
      <c r="F43" s="44">
        <f>IFERROR(D43/C43,0)</f>
        <v/>
      </c>
      <c r="G43" s="45" t="inlineStr"/>
    </row>
    <row r="44" ht="22" customHeight="1">
      <c r="A44" s="25" t="inlineStr">
        <is>
          <t>PERSONAL</t>
        </is>
      </c>
    </row>
    <row r="45" ht="18" customHeight="1">
      <c r="A45" s="28" t="inlineStr">
        <is>
          <t>PERSONAL</t>
        </is>
      </c>
      <c r="B45" s="28" t="inlineStr">
        <is>
          <t>Clothing</t>
        </is>
      </c>
      <c r="C45" s="14" t="n">
        <v>0</v>
      </c>
      <c r="D45" s="14" t="n">
        <v>0</v>
      </c>
      <c r="E45" s="27">
        <f>IFERROR(C45-D45,0)</f>
        <v/>
      </c>
      <c r="F45" s="23">
        <f>IFERROR(D45/C45,0)</f>
        <v/>
      </c>
      <c r="G45" s="28" t="inlineStr"/>
    </row>
    <row r="46" ht="18" customHeight="1">
      <c r="A46" s="30" t="inlineStr">
        <is>
          <t>PERSONAL</t>
        </is>
      </c>
      <c r="B46" s="30" t="inlineStr">
        <is>
          <t>Gifts</t>
        </is>
      </c>
      <c r="C46" s="46" t="n">
        <v>0</v>
      </c>
      <c r="D46" s="46" t="n">
        <v>0</v>
      </c>
      <c r="E46" s="17">
        <f>IFERROR(C46-D46,0)</f>
        <v/>
      </c>
      <c r="F46" s="47">
        <f>IFERROR(D46/C46,0)</f>
        <v/>
      </c>
      <c r="G46" s="30" t="inlineStr"/>
    </row>
    <row r="47" ht="18" customHeight="1">
      <c r="A47" s="28" t="inlineStr">
        <is>
          <t>PERSONAL</t>
        </is>
      </c>
      <c r="B47" s="28" t="inlineStr">
        <is>
          <t>Education</t>
        </is>
      </c>
      <c r="C47" s="14" t="n">
        <v>0</v>
      </c>
      <c r="D47" s="14" t="n">
        <v>0</v>
      </c>
      <c r="E47" s="27">
        <f>IFERROR(C47-D47,0)</f>
        <v/>
      </c>
      <c r="F47" s="23">
        <f>IFERROR(D47/C47,0)</f>
        <v/>
      </c>
      <c r="G47" s="28" t="inlineStr"/>
    </row>
    <row r="48" ht="18" customHeight="1">
      <c r="A48" s="30" t="inlineStr">
        <is>
          <t>PERSONAL</t>
        </is>
      </c>
      <c r="B48" s="30" t="inlineStr">
        <is>
          <t>Pet Care</t>
        </is>
      </c>
      <c r="C48" s="46" t="n">
        <v>0</v>
      </c>
      <c r="D48" s="46" t="n">
        <v>0</v>
      </c>
      <c r="E48" s="17">
        <f>IFERROR(C48-D48,0)</f>
        <v/>
      </c>
      <c r="F48" s="47">
        <f>IFERROR(D48/C48,0)</f>
        <v/>
      </c>
      <c r="G48" s="30" t="inlineStr"/>
    </row>
    <row r="49" ht="18" customHeight="1">
      <c r="A49" s="28" t="inlineStr">
        <is>
          <t>PERSONAL</t>
        </is>
      </c>
      <c r="B49" s="28" t="inlineStr">
        <is>
          <t>Miscellaneous</t>
        </is>
      </c>
      <c r="C49" s="14" t="n">
        <v>0</v>
      </c>
      <c r="D49" s="14" t="n">
        <v>0</v>
      </c>
      <c r="E49" s="27">
        <f>IFERROR(C49-D49,0)</f>
        <v/>
      </c>
      <c r="F49" s="23">
        <f>IFERROR(D49/C49,0)</f>
        <v/>
      </c>
      <c r="G49" s="28" t="inlineStr"/>
    </row>
    <row r="50" ht="20" customHeight="1">
      <c r="A50" s="41" t="inlineStr">
        <is>
          <t>PERSONAL TOTAL</t>
        </is>
      </c>
      <c r="C50" s="42">
        <f>SUM(C45:C49)</f>
        <v/>
      </c>
      <c r="D50" s="42">
        <f>SUM(D45:D49)</f>
        <v/>
      </c>
      <c r="E50" s="43">
        <f>IFERROR(C50-D50,0)</f>
        <v/>
      </c>
      <c r="F50" s="44">
        <f>IFERROR(D50/C50,0)</f>
        <v/>
      </c>
      <c r="G50" s="45" t="inlineStr"/>
    </row>
    <row r="51" ht="22" customHeight="1">
      <c r="A51" s="25" t="inlineStr">
        <is>
          <t>SAVINGS &amp; INVESTMENTS</t>
        </is>
      </c>
    </row>
    <row r="52" ht="18" customHeight="1">
      <c r="A52" s="28" t="inlineStr">
        <is>
          <t>SAVINGS &amp; INVESTMENTS</t>
        </is>
      </c>
      <c r="B52" s="28" t="inlineStr">
        <is>
          <t>Emergency Fund</t>
        </is>
      </c>
      <c r="C52" s="14" t="n">
        <v>0</v>
      </c>
      <c r="D52" s="14" t="n">
        <v>0</v>
      </c>
      <c r="E52" s="27">
        <f>IFERROR(C52-D52,0)</f>
        <v/>
      </c>
      <c r="F52" s="23">
        <f>IFERROR(D52/C52,0)</f>
        <v/>
      </c>
      <c r="G52" s="28" t="inlineStr"/>
    </row>
    <row r="53" ht="18" customHeight="1">
      <c r="A53" s="30" t="inlineStr">
        <is>
          <t>SAVINGS &amp; INVESTMENTS</t>
        </is>
      </c>
      <c r="B53" s="30" t="inlineStr">
        <is>
          <t>Pension/IRA</t>
        </is>
      </c>
      <c r="C53" s="46" t="n">
        <v>0</v>
      </c>
      <c r="D53" s="46" t="n">
        <v>0</v>
      </c>
      <c r="E53" s="17">
        <f>IFERROR(C53-D53,0)</f>
        <v/>
      </c>
      <c r="F53" s="47">
        <f>IFERROR(D53/C53,0)</f>
        <v/>
      </c>
      <c r="G53" s="30" t="inlineStr"/>
    </row>
    <row r="54" ht="18" customHeight="1">
      <c r="A54" s="28" t="inlineStr">
        <is>
          <t>SAVINGS &amp; INVESTMENTS</t>
        </is>
      </c>
      <c r="B54" s="28" t="inlineStr">
        <is>
          <t>Stocks</t>
        </is>
      </c>
      <c r="C54" s="14" t="n">
        <v>0</v>
      </c>
      <c r="D54" s="14" t="n">
        <v>0</v>
      </c>
      <c r="E54" s="27">
        <f>IFERROR(C54-D54,0)</f>
        <v/>
      </c>
      <c r="F54" s="23">
        <f>IFERROR(D54/C54,0)</f>
        <v/>
      </c>
      <c r="G54" s="28" t="inlineStr"/>
    </row>
    <row r="55" ht="18" customHeight="1">
      <c r="A55" s="30" t="inlineStr">
        <is>
          <t>SAVINGS &amp; INVESTMENTS</t>
        </is>
      </c>
      <c r="B55" s="30" t="inlineStr">
        <is>
          <t>Vacation Fund</t>
        </is>
      </c>
      <c r="C55" s="46" t="n">
        <v>0</v>
      </c>
      <c r="D55" s="46" t="n">
        <v>0</v>
      </c>
      <c r="E55" s="17">
        <f>IFERROR(C55-D55,0)</f>
        <v/>
      </c>
      <c r="F55" s="47">
        <f>IFERROR(D55/C55,0)</f>
        <v/>
      </c>
      <c r="G55" s="30" t="inlineStr"/>
    </row>
    <row r="56" ht="18" customHeight="1">
      <c r="A56" s="28" t="inlineStr">
        <is>
          <t>SAVINGS &amp; INVESTMENTS</t>
        </is>
      </c>
      <c r="B56" s="28" t="inlineStr">
        <is>
          <t>Other Savings</t>
        </is>
      </c>
      <c r="C56" s="14" t="n">
        <v>0</v>
      </c>
      <c r="D56" s="14" t="n">
        <v>0</v>
      </c>
      <c r="E56" s="27">
        <f>IFERROR(C56-D56,0)</f>
        <v/>
      </c>
      <c r="F56" s="23">
        <f>IFERROR(D56/C56,0)</f>
        <v/>
      </c>
      <c r="G56" s="28" t="inlineStr"/>
    </row>
    <row r="57" ht="20" customHeight="1">
      <c r="A57" s="41" t="inlineStr">
        <is>
          <t>SAVINGS &amp; INVESTMENTS TOTAL</t>
        </is>
      </c>
      <c r="C57" s="42">
        <f>SUM(C52:C56)</f>
        <v/>
      </c>
      <c r="D57" s="42">
        <f>SUM(D52:D56)</f>
        <v/>
      </c>
      <c r="E57" s="43">
        <f>IFERROR(C57-D57,0)</f>
        <v/>
      </c>
      <c r="F57" s="44">
        <f>IFERROR(D57/C57,0)</f>
        <v/>
      </c>
      <c r="G57" s="45" t="inlineStr"/>
    </row>
    <row r="58" ht="22" customHeight="1">
      <c r="A58" s="25" t="inlineStr">
        <is>
          <t>DEBT PAYMENTS</t>
        </is>
      </c>
    </row>
    <row r="59" ht="18" customHeight="1">
      <c r="A59" s="28" t="inlineStr">
        <is>
          <t>DEBT PAYMENTS</t>
        </is>
      </c>
      <c r="B59" s="28" t="inlineStr">
        <is>
          <t>Credit Card 1</t>
        </is>
      </c>
      <c r="C59" s="14" t="n">
        <v>0</v>
      </c>
      <c r="D59" s="14" t="n">
        <v>0</v>
      </c>
      <c r="E59" s="27">
        <f>IFERROR(C59-D59,0)</f>
        <v/>
      </c>
      <c r="F59" s="23">
        <f>IFERROR(D59/C59,0)</f>
        <v/>
      </c>
      <c r="G59" s="28" t="inlineStr"/>
    </row>
    <row r="60" ht="18" customHeight="1">
      <c r="A60" s="30" t="inlineStr">
        <is>
          <t>DEBT PAYMENTS</t>
        </is>
      </c>
      <c r="B60" s="30" t="inlineStr">
        <is>
          <t>Credit Card 2</t>
        </is>
      </c>
      <c r="C60" s="46" t="n">
        <v>0</v>
      </c>
      <c r="D60" s="46" t="n">
        <v>0</v>
      </c>
      <c r="E60" s="17">
        <f>IFERROR(C60-D60,0)</f>
        <v/>
      </c>
      <c r="F60" s="47">
        <f>IFERROR(D60/C60,0)</f>
        <v/>
      </c>
      <c r="G60" s="30" t="inlineStr"/>
    </row>
    <row r="61" ht="18" customHeight="1">
      <c r="A61" s="28" t="inlineStr">
        <is>
          <t>DEBT PAYMENTS</t>
        </is>
      </c>
      <c r="B61" s="28" t="inlineStr">
        <is>
          <t>Student Loan</t>
        </is>
      </c>
      <c r="C61" s="14" t="n">
        <v>0</v>
      </c>
      <c r="D61" s="14" t="n">
        <v>0</v>
      </c>
      <c r="E61" s="27">
        <f>IFERROR(C61-D61,0)</f>
        <v/>
      </c>
      <c r="F61" s="23">
        <f>IFERROR(D61/C61,0)</f>
        <v/>
      </c>
      <c r="G61" s="28" t="inlineStr"/>
    </row>
    <row r="62" ht="18" customHeight="1">
      <c r="A62" s="30" t="inlineStr">
        <is>
          <t>DEBT PAYMENTS</t>
        </is>
      </c>
      <c r="B62" s="30" t="inlineStr">
        <is>
          <t>Car Loan</t>
        </is>
      </c>
      <c r="C62" s="46" t="n">
        <v>0</v>
      </c>
      <c r="D62" s="46" t="n">
        <v>0</v>
      </c>
      <c r="E62" s="17">
        <f>IFERROR(C62-D62,0)</f>
        <v/>
      </c>
      <c r="F62" s="47">
        <f>IFERROR(D62/C62,0)</f>
        <v/>
      </c>
      <c r="G62" s="30" t="inlineStr"/>
    </row>
    <row r="63" ht="18" customHeight="1">
      <c r="A63" s="28" t="inlineStr">
        <is>
          <t>DEBT PAYMENTS</t>
        </is>
      </c>
      <c r="B63" s="28" t="inlineStr">
        <is>
          <t>Other</t>
        </is>
      </c>
      <c r="C63" s="14" t="n">
        <v>0</v>
      </c>
      <c r="D63" s="14" t="n">
        <v>0</v>
      </c>
      <c r="E63" s="27">
        <f>IFERROR(C63-D63,0)</f>
        <v/>
      </c>
      <c r="F63" s="23">
        <f>IFERROR(D63/C63,0)</f>
        <v/>
      </c>
      <c r="G63" s="28" t="inlineStr"/>
    </row>
    <row r="64" ht="20" customHeight="1">
      <c r="A64" s="41" t="inlineStr">
        <is>
          <t>DEBT PAYMENTS TOTAL</t>
        </is>
      </c>
      <c r="C64" s="42">
        <f>SUM(C59:C63)</f>
        <v/>
      </c>
      <c r="D64" s="42">
        <f>SUM(D59:D63)</f>
        <v/>
      </c>
      <c r="E64" s="43">
        <f>IFERROR(C64-D64,0)</f>
        <v/>
      </c>
      <c r="F64" s="44">
        <f>IFERROR(D64/C64,0)</f>
        <v/>
      </c>
      <c r="G64" s="45" t="inlineStr"/>
    </row>
    <row r="65" ht="24" customHeight="1">
      <c r="A65" s="9" t="inlineStr">
        <is>
          <t>GRAND TOTAL EXPENSES</t>
        </is>
      </c>
      <c r="C65" s="48">
        <f>C15+C22+C29+C36+C43+C50+C57+C64</f>
        <v/>
      </c>
      <c r="D65" s="48">
        <f>D15+D22+D29+D36+D43+D50+D57+D64</f>
        <v/>
      </c>
      <c r="E65" s="49">
        <f>IFERROR(C65-D65,0)</f>
        <v/>
      </c>
      <c r="F65" s="50" t="inlineStr"/>
      <c r="G65" s="50" t="inlineStr"/>
    </row>
    <row r="66" ht="24" customHeight="1">
      <c r="A66" s="8" t="inlineStr">
        <is>
          <t>NET CASH FLOW</t>
        </is>
      </c>
      <c r="C66" s="51">
        <f>IFERROR(C8-C65,0)</f>
        <v/>
      </c>
      <c r="D66" s="51">
        <f>IFERROR(D8-D65,0)</f>
        <v/>
      </c>
      <c r="E66" s="52" t="inlineStr"/>
      <c r="F66" s="52" t="inlineStr"/>
      <c r="G66" s="52" t="inlineStr"/>
    </row>
    <row r="67" ht="22" customHeight="1">
      <c r="A67" s="53" t="inlineStr">
        <is>
          <t>BUDGET VS ACTUAL — CATEGORY OVERVIEW</t>
        </is>
      </c>
    </row>
    <row r="68" ht="18" customHeight="1">
      <c r="A68" s="12" t="inlineStr">
        <is>
          <t>HOUSING</t>
        </is>
      </c>
      <c r="B68" s="27">
        <f>C15</f>
        <v/>
      </c>
      <c r="C68" s="27">
        <f>D15</f>
        <v/>
      </c>
    </row>
    <row r="69" ht="18" customHeight="1">
      <c r="A69" s="15" t="inlineStr">
        <is>
          <t>TRANSPORT</t>
        </is>
      </c>
      <c r="B69" s="17">
        <f>C22</f>
        <v/>
      </c>
      <c r="C69" s="17">
        <f>D22</f>
        <v/>
      </c>
    </row>
    <row r="70" ht="18" customHeight="1">
      <c r="A70" s="12" t="inlineStr">
        <is>
          <t>FOOD &amp; DINING</t>
        </is>
      </c>
      <c r="B70" s="27">
        <f>C29</f>
        <v/>
      </c>
      <c r="C70" s="27">
        <f>D29</f>
        <v/>
      </c>
    </row>
    <row r="71" ht="18" customHeight="1">
      <c r="A71" s="15" t="inlineStr">
        <is>
          <t>HEALTH &amp; WELLNESS</t>
        </is>
      </c>
      <c r="B71" s="17">
        <f>C36</f>
        <v/>
      </c>
      <c r="C71" s="17">
        <f>D36</f>
        <v/>
      </c>
    </row>
    <row r="72" ht="18" customHeight="1">
      <c r="A72" s="12" t="inlineStr">
        <is>
          <t>LIFESTYLE</t>
        </is>
      </c>
      <c r="B72" s="27">
        <f>C43</f>
        <v/>
      </c>
      <c r="C72" s="27">
        <f>D43</f>
        <v/>
      </c>
    </row>
    <row r="73" ht="18" customHeight="1">
      <c r="A73" s="15" t="inlineStr">
        <is>
          <t>PERSONAL</t>
        </is>
      </c>
      <c r="B73" s="17">
        <f>C50</f>
        <v/>
      </c>
      <c r="C73" s="17">
        <f>D50</f>
        <v/>
      </c>
    </row>
    <row r="74" ht="18" customHeight="1">
      <c r="A74" s="12" t="inlineStr">
        <is>
          <t>SAVINGS &amp; INVESTMENTS</t>
        </is>
      </c>
      <c r="B74" s="27">
        <f>C57</f>
        <v/>
      </c>
      <c r="C74" s="27">
        <f>D57</f>
        <v/>
      </c>
    </row>
    <row r="75" ht="18" customHeight="1">
      <c r="A75" s="15" t="inlineStr">
        <is>
          <t>DEBT PAYMENTS</t>
        </is>
      </c>
      <c r="B75" s="17">
        <f>C64</f>
        <v/>
      </c>
      <c r="C75" s="17">
        <f>D64</f>
        <v/>
      </c>
    </row>
  </sheetData>
  <mergeCells count="23">
    <mergeCell ref="A15:B15"/>
    <mergeCell ref="A64:B64"/>
    <mergeCell ref="A4:G4"/>
    <mergeCell ref="A36:B36"/>
    <mergeCell ref="A44:G44"/>
    <mergeCell ref="A58:G58"/>
    <mergeCell ref="A67:D67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5C8A52"/>
    <outlinePr summaryBelow="1" summaryRight="1"/>
    <pageSetUpPr/>
  </sheetPr>
  <dimension ref="A1:G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20" customWidth="1" min="7" max="7"/>
  </cols>
  <sheetData>
    <row r="1" ht="48" customHeight="1">
      <c r="A1" s="1" t="inlineStr">
        <is>
          <t>AUGUST · MONTHLY BUDGET</t>
        </is>
      </c>
    </row>
    <row r="2" ht="20" customHeight="1">
      <c r="A2" s="2" t="inlineStr">
        <is>
          <t>Track your income and expenses for August</t>
        </is>
      </c>
    </row>
    <row r="3" ht="20" customHeight="1">
      <c r="A3" s="26" t="inlineStr">
        <is>
          <t>CATEGORY</t>
        </is>
      </c>
      <c r="B3" s="26" t="inlineStr">
        <is>
          <t>SUBCATEGORY</t>
        </is>
      </c>
      <c r="C3" s="26" t="inlineStr">
        <is>
          <t>BUDGETED</t>
        </is>
      </c>
      <c r="D3" s="26" t="inlineStr">
        <is>
          <t>ACTUAL</t>
        </is>
      </c>
      <c r="E3" s="26" t="inlineStr">
        <is>
          <t>DIFFERENCE</t>
        </is>
      </c>
      <c r="F3" s="26" t="inlineStr">
        <is>
          <t>% USED</t>
        </is>
      </c>
      <c r="G3" s="26" t="inlineStr">
        <is>
          <t>NOTES</t>
        </is>
      </c>
    </row>
    <row r="4" ht="22" customHeight="1">
      <c r="A4" s="9" t="inlineStr">
        <is>
          <t>INCOME</t>
        </is>
      </c>
    </row>
    <row r="5" ht="18" customHeight="1">
      <c r="A5" s="28" t="inlineStr">
        <is>
          <t>INCOME</t>
        </is>
      </c>
      <c r="B5" s="28" t="inlineStr">
        <is>
          <t>Primary Income</t>
        </is>
      </c>
      <c r="C5" s="14" t="n">
        <v>0</v>
      </c>
      <c r="D5" s="14" t="n">
        <v>0</v>
      </c>
      <c r="E5" s="27">
        <f>IFERROR(C5-D5,0)</f>
        <v/>
      </c>
      <c r="F5" s="23">
        <f>IFERROR(D5/C5,0)</f>
        <v/>
      </c>
      <c r="G5" s="28" t="inlineStr"/>
    </row>
    <row r="6" ht="18" customHeight="1">
      <c r="A6" s="31" t="inlineStr">
        <is>
          <t>INCOME</t>
        </is>
      </c>
      <c r="B6" s="31" t="inlineStr">
        <is>
          <t>Side Income</t>
        </is>
      </c>
      <c r="C6" s="20" t="n">
        <v>0</v>
      </c>
      <c r="D6" s="20" t="n">
        <v>0</v>
      </c>
      <c r="E6" s="39">
        <f>IFERROR(C6-D6,0)</f>
        <v/>
      </c>
      <c r="F6" s="40">
        <f>IFERROR(D6/C6,0)</f>
        <v/>
      </c>
      <c r="G6" s="31" t="inlineStr"/>
    </row>
    <row r="7" ht="18" customHeight="1">
      <c r="A7" s="28" t="inlineStr">
        <is>
          <t>INCOME</t>
        </is>
      </c>
      <c r="B7" s="28" t="inlineStr">
        <is>
          <t>Other Income</t>
        </is>
      </c>
      <c r="C7" s="14" t="n">
        <v>0</v>
      </c>
      <c r="D7" s="14" t="n">
        <v>0</v>
      </c>
      <c r="E7" s="27">
        <f>IFERROR(C7-D7,0)</f>
        <v/>
      </c>
      <c r="F7" s="23">
        <f>IFERROR(D7/C7,0)</f>
        <v/>
      </c>
      <c r="G7" s="28" t="inlineStr"/>
    </row>
    <row r="8" ht="20" customHeight="1">
      <c r="A8" s="41" t="inlineStr">
        <is>
          <t>TOTAL INCOME</t>
        </is>
      </c>
      <c r="C8" s="42">
        <f>SUM(C5:C7)</f>
        <v/>
      </c>
      <c r="D8" s="42">
        <f>SUM(D5:D7)</f>
        <v/>
      </c>
      <c r="E8" s="43">
        <f>IFERROR(C8-D8,0)</f>
        <v/>
      </c>
      <c r="F8" s="44">
        <f>IFERROR(D8/C8,0)</f>
        <v/>
      </c>
      <c r="G8" s="45" t="inlineStr"/>
    </row>
    <row r="9" ht="22" customHeight="1">
      <c r="A9" s="25" t="inlineStr">
        <is>
          <t>HOUSING</t>
        </is>
      </c>
    </row>
    <row r="10" ht="18" customHeight="1">
      <c r="A10" s="28" t="inlineStr">
        <is>
          <t>HOUSING</t>
        </is>
      </c>
      <c r="B10" s="28" t="inlineStr">
        <is>
          <t>Rent/Mortgage</t>
        </is>
      </c>
      <c r="C10" s="14" t="n">
        <v>0</v>
      </c>
      <c r="D10" s="14" t="n">
        <v>0</v>
      </c>
      <c r="E10" s="27">
        <f>IFERROR(C10-D10,0)</f>
        <v/>
      </c>
      <c r="F10" s="23">
        <f>IFERROR(D10/C10,0)</f>
        <v/>
      </c>
      <c r="G10" s="28" t="inlineStr"/>
    </row>
    <row r="11" ht="18" customHeight="1">
      <c r="A11" s="30" t="inlineStr">
        <is>
          <t>HOUSING</t>
        </is>
      </c>
      <c r="B11" s="30" t="inlineStr">
        <is>
          <t>Utilities</t>
        </is>
      </c>
      <c r="C11" s="46" t="n">
        <v>0</v>
      </c>
      <c r="D11" s="46" t="n">
        <v>0</v>
      </c>
      <c r="E11" s="17">
        <f>IFERROR(C11-D11,0)</f>
        <v/>
      </c>
      <c r="F11" s="47">
        <f>IFERROR(D11/C11,0)</f>
        <v/>
      </c>
      <c r="G11" s="30" t="inlineStr"/>
    </row>
    <row r="12" ht="18" customHeight="1">
      <c r="A12" s="28" t="inlineStr">
        <is>
          <t>HOUSING</t>
        </is>
      </c>
      <c r="B12" s="28" t="inlineStr">
        <is>
          <t>Electricity</t>
        </is>
      </c>
      <c r="C12" s="14" t="n">
        <v>0</v>
      </c>
      <c r="D12" s="14" t="n">
        <v>0</v>
      </c>
      <c r="E12" s="27">
        <f>IFERROR(C12-D12,0)</f>
        <v/>
      </c>
      <c r="F12" s="23">
        <f>IFERROR(D12/C12,0)</f>
        <v/>
      </c>
      <c r="G12" s="28" t="inlineStr"/>
    </row>
    <row r="13" ht="18" customHeight="1">
      <c r="A13" s="30" t="inlineStr">
        <is>
          <t>HOUSING</t>
        </is>
      </c>
      <c r="B13" s="30" t="inlineStr">
        <is>
          <t>Internet</t>
        </is>
      </c>
      <c r="C13" s="46" t="n">
        <v>0</v>
      </c>
      <c r="D13" s="46" t="n">
        <v>0</v>
      </c>
      <c r="E13" s="17">
        <f>IFERROR(C13-D13,0)</f>
        <v/>
      </c>
      <c r="F13" s="47">
        <f>IFERROR(D13/C13,0)</f>
        <v/>
      </c>
      <c r="G13" s="30" t="inlineStr"/>
    </row>
    <row r="14" ht="18" customHeight="1">
      <c r="A14" s="28" t="inlineStr">
        <is>
          <t>HOUSING</t>
        </is>
      </c>
      <c r="B14" s="28" t="inlineStr">
        <is>
          <t>Home Insurance</t>
        </is>
      </c>
      <c r="C14" s="14" t="n">
        <v>0</v>
      </c>
      <c r="D14" s="14" t="n">
        <v>0</v>
      </c>
      <c r="E14" s="27">
        <f>IFERROR(C14-D14,0)</f>
        <v/>
      </c>
      <c r="F14" s="23">
        <f>IFERROR(D14/C14,0)</f>
        <v/>
      </c>
      <c r="G14" s="28" t="inlineStr"/>
    </row>
    <row r="15" ht="20" customHeight="1">
      <c r="A15" s="41" t="inlineStr">
        <is>
          <t>HOUSING TOTAL</t>
        </is>
      </c>
      <c r="C15" s="42">
        <f>SUM(C10:C14)</f>
        <v/>
      </c>
      <c r="D15" s="42">
        <f>SUM(D10:D14)</f>
        <v/>
      </c>
      <c r="E15" s="43">
        <f>IFERROR(C15-D15,0)</f>
        <v/>
      </c>
      <c r="F15" s="44">
        <f>IFERROR(D15/C15,0)</f>
        <v/>
      </c>
      <c r="G15" s="45" t="inlineStr"/>
    </row>
    <row r="16" ht="22" customHeight="1">
      <c r="A16" s="25" t="inlineStr">
        <is>
          <t>TRANSPORT</t>
        </is>
      </c>
    </row>
    <row r="17" ht="18" customHeight="1">
      <c r="A17" s="28" t="inlineStr">
        <is>
          <t>TRANSPORT</t>
        </is>
      </c>
      <c r="B17" s="28" t="inlineStr">
        <is>
          <t>Car Payment</t>
        </is>
      </c>
      <c r="C17" s="14" t="n">
        <v>0</v>
      </c>
      <c r="D17" s="14" t="n">
        <v>0</v>
      </c>
      <c r="E17" s="27">
        <f>IFERROR(C17-D17,0)</f>
        <v/>
      </c>
      <c r="F17" s="23">
        <f>IFERROR(D17/C17,0)</f>
        <v/>
      </c>
      <c r="G17" s="28" t="inlineStr"/>
    </row>
    <row r="18" ht="18" customHeight="1">
      <c r="A18" s="30" t="inlineStr">
        <is>
          <t>TRANSPORT</t>
        </is>
      </c>
      <c r="B18" s="30" t="inlineStr">
        <is>
          <t>Fuel</t>
        </is>
      </c>
      <c r="C18" s="46" t="n">
        <v>0</v>
      </c>
      <c r="D18" s="46" t="n">
        <v>0</v>
      </c>
      <c r="E18" s="17">
        <f>IFERROR(C18-D18,0)</f>
        <v/>
      </c>
      <c r="F18" s="47">
        <f>IFERROR(D18/C18,0)</f>
        <v/>
      </c>
      <c r="G18" s="30" t="inlineStr"/>
    </row>
    <row r="19" ht="18" customHeight="1">
      <c r="A19" s="28" t="inlineStr">
        <is>
          <t>TRANSPORT</t>
        </is>
      </c>
      <c r="B19" s="28" t="inlineStr">
        <is>
          <t>Car Insurance</t>
        </is>
      </c>
      <c r="C19" s="14" t="n">
        <v>0</v>
      </c>
      <c r="D19" s="14" t="n">
        <v>0</v>
      </c>
      <c r="E19" s="27">
        <f>IFERROR(C19-D19,0)</f>
        <v/>
      </c>
      <c r="F19" s="23">
        <f>IFERROR(D19/C19,0)</f>
        <v/>
      </c>
      <c r="G19" s="28" t="inlineStr"/>
    </row>
    <row r="20" ht="18" customHeight="1">
      <c r="A20" s="30" t="inlineStr">
        <is>
          <t>TRANSPORT</t>
        </is>
      </c>
      <c r="B20" s="30" t="inlineStr">
        <is>
          <t>Parking</t>
        </is>
      </c>
      <c r="C20" s="46" t="n">
        <v>0</v>
      </c>
      <c r="D20" s="46" t="n">
        <v>0</v>
      </c>
      <c r="E20" s="17">
        <f>IFERROR(C20-D20,0)</f>
        <v/>
      </c>
      <c r="F20" s="47">
        <f>IFERROR(D20/C20,0)</f>
        <v/>
      </c>
      <c r="G20" s="30" t="inlineStr"/>
    </row>
    <row r="21" ht="18" customHeight="1">
      <c r="A21" s="28" t="inlineStr">
        <is>
          <t>TRANSPORT</t>
        </is>
      </c>
      <c r="B21" s="28" t="inlineStr">
        <is>
          <t>Public Transport</t>
        </is>
      </c>
      <c r="C21" s="14" t="n">
        <v>0</v>
      </c>
      <c r="D21" s="14" t="n">
        <v>0</v>
      </c>
      <c r="E21" s="27">
        <f>IFERROR(C21-D21,0)</f>
        <v/>
      </c>
      <c r="F21" s="23">
        <f>IFERROR(D21/C21,0)</f>
        <v/>
      </c>
      <c r="G21" s="28" t="inlineStr"/>
    </row>
    <row r="22" ht="20" customHeight="1">
      <c r="A22" s="41" t="inlineStr">
        <is>
          <t>TRANSPORT TOTAL</t>
        </is>
      </c>
      <c r="C22" s="42">
        <f>SUM(C17:C21)</f>
        <v/>
      </c>
      <c r="D22" s="42">
        <f>SUM(D17:D21)</f>
        <v/>
      </c>
      <c r="E22" s="43">
        <f>IFERROR(C22-D22,0)</f>
        <v/>
      </c>
      <c r="F22" s="44">
        <f>IFERROR(D22/C22,0)</f>
        <v/>
      </c>
      <c r="G22" s="45" t="inlineStr"/>
    </row>
    <row r="23" ht="22" customHeight="1">
      <c r="A23" s="25" t="inlineStr">
        <is>
          <t>FOOD &amp; DINING</t>
        </is>
      </c>
    </row>
    <row r="24" ht="18" customHeight="1">
      <c r="A24" s="28" t="inlineStr">
        <is>
          <t>FOOD &amp; DINING</t>
        </is>
      </c>
      <c r="B24" s="28" t="inlineStr">
        <is>
          <t>Groceries</t>
        </is>
      </c>
      <c r="C24" s="14" t="n">
        <v>0</v>
      </c>
      <c r="D24" s="14" t="n">
        <v>0</v>
      </c>
      <c r="E24" s="27">
        <f>IFERROR(C24-D24,0)</f>
        <v/>
      </c>
      <c r="F24" s="23">
        <f>IFERROR(D24/C24,0)</f>
        <v/>
      </c>
      <c r="G24" s="28" t="inlineStr"/>
    </row>
    <row r="25" ht="18" customHeight="1">
      <c r="A25" s="30" t="inlineStr">
        <is>
          <t>FOOD &amp; DINING</t>
        </is>
      </c>
      <c r="B25" s="30" t="inlineStr">
        <is>
          <t>Restaurants</t>
        </is>
      </c>
      <c r="C25" s="46" t="n">
        <v>0</v>
      </c>
      <c r="D25" s="46" t="n">
        <v>0</v>
      </c>
      <c r="E25" s="17">
        <f>IFERROR(C25-D25,0)</f>
        <v/>
      </c>
      <c r="F25" s="47">
        <f>IFERROR(D25/C25,0)</f>
        <v/>
      </c>
      <c r="G25" s="30" t="inlineStr"/>
    </row>
    <row r="26" ht="18" customHeight="1">
      <c r="A26" s="28" t="inlineStr">
        <is>
          <t>FOOD &amp; DINING</t>
        </is>
      </c>
      <c r="B26" s="28" t="inlineStr">
        <is>
          <t>Coffee</t>
        </is>
      </c>
      <c r="C26" s="14" t="n">
        <v>0</v>
      </c>
      <c r="D26" s="14" t="n">
        <v>0</v>
      </c>
      <c r="E26" s="27">
        <f>IFERROR(C26-D26,0)</f>
        <v/>
      </c>
      <c r="F26" s="23">
        <f>IFERROR(D26/C26,0)</f>
        <v/>
      </c>
      <c r="G26" s="28" t="inlineStr"/>
    </row>
    <row r="27" ht="18" customHeight="1">
      <c r="A27" s="30" t="inlineStr">
        <is>
          <t>FOOD &amp; DINING</t>
        </is>
      </c>
      <c r="B27" s="30" t="inlineStr">
        <is>
          <t>Food Delivery</t>
        </is>
      </c>
      <c r="C27" s="46" t="n">
        <v>0</v>
      </c>
      <c r="D27" s="46" t="n">
        <v>0</v>
      </c>
      <c r="E27" s="17">
        <f>IFERROR(C27-D27,0)</f>
        <v/>
      </c>
      <c r="F27" s="47">
        <f>IFERROR(D27/C27,0)</f>
        <v/>
      </c>
      <c r="G27" s="30" t="inlineStr"/>
    </row>
    <row r="28" ht="18" customHeight="1">
      <c r="A28" s="28" t="inlineStr">
        <is>
          <t>FOOD &amp; DINING</t>
        </is>
      </c>
      <c r="B28" s="28" t="inlineStr">
        <is>
          <t>Work Lunch</t>
        </is>
      </c>
      <c r="C28" s="14" t="n">
        <v>0</v>
      </c>
      <c r="D28" s="14" t="n">
        <v>0</v>
      </c>
      <c r="E28" s="27">
        <f>IFERROR(C28-D28,0)</f>
        <v/>
      </c>
      <c r="F28" s="23">
        <f>IFERROR(D28/C28,0)</f>
        <v/>
      </c>
      <c r="G28" s="28" t="inlineStr"/>
    </row>
    <row r="29" ht="20" customHeight="1">
      <c r="A29" s="41" t="inlineStr">
        <is>
          <t>FOOD &amp; DINING TOTAL</t>
        </is>
      </c>
      <c r="C29" s="42">
        <f>SUM(C24:C28)</f>
        <v/>
      </c>
      <c r="D29" s="42">
        <f>SUM(D24:D28)</f>
        <v/>
      </c>
      <c r="E29" s="43">
        <f>IFERROR(C29-D29,0)</f>
        <v/>
      </c>
      <c r="F29" s="44">
        <f>IFERROR(D29/C29,0)</f>
        <v/>
      </c>
      <c r="G29" s="45" t="inlineStr"/>
    </row>
    <row r="30" ht="22" customHeight="1">
      <c r="A30" s="25" t="inlineStr">
        <is>
          <t>HEALTH &amp; WELLNESS</t>
        </is>
      </c>
    </row>
    <row r="31" ht="18" customHeight="1">
      <c r="A31" s="28" t="inlineStr">
        <is>
          <t>HEALTH &amp; WELLNESS</t>
        </is>
      </c>
      <c r="B31" s="28" t="inlineStr">
        <is>
          <t>Health Insurance</t>
        </is>
      </c>
      <c r="C31" s="14" t="n">
        <v>0</v>
      </c>
      <c r="D31" s="14" t="n">
        <v>0</v>
      </c>
      <c r="E31" s="27">
        <f>IFERROR(C31-D31,0)</f>
        <v/>
      </c>
      <c r="F31" s="23">
        <f>IFERROR(D31/C31,0)</f>
        <v/>
      </c>
      <c r="G31" s="28" t="inlineStr"/>
    </row>
    <row r="32" ht="18" customHeight="1">
      <c r="A32" s="30" t="inlineStr">
        <is>
          <t>HEALTH &amp; WELLNESS</t>
        </is>
      </c>
      <c r="B32" s="30" t="inlineStr">
        <is>
          <t>Gym</t>
        </is>
      </c>
      <c r="C32" s="46" t="n">
        <v>0</v>
      </c>
      <c r="D32" s="46" t="n">
        <v>0</v>
      </c>
      <c r="E32" s="17">
        <f>IFERROR(C32-D32,0)</f>
        <v/>
      </c>
      <c r="F32" s="47">
        <f>IFERROR(D32/C32,0)</f>
        <v/>
      </c>
      <c r="G32" s="30" t="inlineStr"/>
    </row>
    <row r="33" ht="18" customHeight="1">
      <c r="A33" s="28" t="inlineStr">
        <is>
          <t>HEALTH &amp; WELLNESS</t>
        </is>
      </c>
      <c r="B33" s="28" t="inlineStr">
        <is>
          <t>Pharmacy</t>
        </is>
      </c>
      <c r="C33" s="14" t="n">
        <v>0</v>
      </c>
      <c r="D33" s="14" t="n">
        <v>0</v>
      </c>
      <c r="E33" s="27">
        <f>IFERROR(C33-D33,0)</f>
        <v/>
      </c>
      <c r="F33" s="23">
        <f>IFERROR(D33/C33,0)</f>
        <v/>
      </c>
      <c r="G33" s="28" t="inlineStr"/>
    </row>
    <row r="34" ht="18" customHeight="1">
      <c r="A34" s="30" t="inlineStr">
        <is>
          <t>HEALTH &amp; WELLNESS</t>
        </is>
      </c>
      <c r="B34" s="30" t="inlineStr">
        <is>
          <t>Doctor</t>
        </is>
      </c>
      <c r="C34" s="46" t="n">
        <v>0</v>
      </c>
      <c r="D34" s="46" t="n">
        <v>0</v>
      </c>
      <c r="E34" s="17">
        <f>IFERROR(C34-D34,0)</f>
        <v/>
      </c>
      <c r="F34" s="47">
        <f>IFERROR(D34/C34,0)</f>
        <v/>
      </c>
      <c r="G34" s="30" t="inlineStr"/>
    </row>
    <row r="35" ht="18" customHeight="1">
      <c r="A35" s="28" t="inlineStr">
        <is>
          <t>HEALTH &amp; WELLNESS</t>
        </is>
      </c>
      <c r="B35" s="28" t="inlineStr">
        <is>
          <t>Dental</t>
        </is>
      </c>
      <c r="C35" s="14" t="n">
        <v>0</v>
      </c>
      <c r="D35" s="14" t="n">
        <v>0</v>
      </c>
      <c r="E35" s="27">
        <f>IFERROR(C35-D35,0)</f>
        <v/>
      </c>
      <c r="F35" s="23">
        <f>IFERROR(D35/C35,0)</f>
        <v/>
      </c>
      <c r="G35" s="28" t="inlineStr"/>
    </row>
    <row r="36" ht="20" customHeight="1">
      <c r="A36" s="41" t="inlineStr">
        <is>
          <t>HEALTH &amp; WELLNESS TOTAL</t>
        </is>
      </c>
      <c r="C36" s="42">
        <f>SUM(C31:C35)</f>
        <v/>
      </c>
      <c r="D36" s="42">
        <f>SUM(D31:D35)</f>
        <v/>
      </c>
      <c r="E36" s="43">
        <f>IFERROR(C36-D36,0)</f>
        <v/>
      </c>
      <c r="F36" s="44">
        <f>IFERROR(D36/C36,0)</f>
        <v/>
      </c>
      <c r="G36" s="45" t="inlineStr"/>
    </row>
    <row r="37" ht="22" customHeight="1">
      <c r="A37" s="25" t="inlineStr">
        <is>
          <t>LIFESTYLE</t>
        </is>
      </c>
    </row>
    <row r="38" ht="18" customHeight="1">
      <c r="A38" s="28" t="inlineStr">
        <is>
          <t>LIFESTYLE</t>
        </is>
      </c>
      <c r="B38" s="28" t="inlineStr">
        <is>
          <t>Streaming Services</t>
        </is>
      </c>
      <c r="C38" s="14" t="n">
        <v>0</v>
      </c>
      <c r="D38" s="14" t="n">
        <v>0</v>
      </c>
      <c r="E38" s="27">
        <f>IFERROR(C38-D38,0)</f>
        <v/>
      </c>
      <c r="F38" s="23">
        <f>IFERROR(D38/C38,0)</f>
        <v/>
      </c>
      <c r="G38" s="28" t="inlineStr"/>
    </row>
    <row r="39" ht="18" customHeight="1">
      <c r="A39" s="30" t="inlineStr">
        <is>
          <t>LIFESTYLE</t>
        </is>
      </c>
      <c r="B39" s="30" t="inlineStr">
        <is>
          <t>Entertainment</t>
        </is>
      </c>
      <c r="C39" s="46" t="n">
        <v>0</v>
      </c>
      <c r="D39" s="46" t="n">
        <v>0</v>
      </c>
      <c r="E39" s="17">
        <f>IFERROR(C39-D39,0)</f>
        <v/>
      </c>
      <c r="F39" s="47">
        <f>IFERROR(D39/C39,0)</f>
        <v/>
      </c>
      <c r="G39" s="30" t="inlineStr"/>
    </row>
    <row r="40" ht="18" customHeight="1">
      <c r="A40" s="28" t="inlineStr">
        <is>
          <t>LIFESTYLE</t>
        </is>
      </c>
      <c r="B40" s="28" t="inlineStr">
        <is>
          <t>Hobbies</t>
        </is>
      </c>
      <c r="C40" s="14" t="n">
        <v>0</v>
      </c>
      <c r="D40" s="14" t="n">
        <v>0</v>
      </c>
      <c r="E40" s="27">
        <f>IFERROR(C40-D40,0)</f>
        <v/>
      </c>
      <c r="F40" s="23">
        <f>IFERROR(D40/C40,0)</f>
        <v/>
      </c>
      <c r="G40" s="28" t="inlineStr"/>
    </row>
    <row r="41" ht="18" customHeight="1">
      <c r="A41" s="30" t="inlineStr">
        <is>
          <t>LIFESTYLE</t>
        </is>
      </c>
      <c r="B41" s="30" t="inlineStr">
        <is>
          <t>Personal Care</t>
        </is>
      </c>
      <c r="C41" s="46" t="n">
        <v>0</v>
      </c>
      <c r="D41" s="46" t="n">
        <v>0</v>
      </c>
      <c r="E41" s="17">
        <f>IFERROR(C41-D41,0)</f>
        <v/>
      </c>
      <c r="F41" s="47">
        <f>IFERROR(D41/C41,0)</f>
        <v/>
      </c>
      <c r="G41" s="30" t="inlineStr"/>
    </row>
    <row r="42" ht="18" customHeight="1">
      <c r="A42" s="28" t="inlineStr">
        <is>
          <t>LIFESTYLE</t>
        </is>
      </c>
      <c r="B42" s="28" t="inlineStr">
        <is>
          <t>Books</t>
        </is>
      </c>
      <c r="C42" s="14" t="n">
        <v>0</v>
      </c>
      <c r="D42" s="14" t="n">
        <v>0</v>
      </c>
      <c r="E42" s="27">
        <f>IFERROR(C42-D42,0)</f>
        <v/>
      </c>
      <c r="F42" s="23">
        <f>IFERROR(D42/C42,0)</f>
        <v/>
      </c>
      <c r="G42" s="28" t="inlineStr"/>
    </row>
    <row r="43" ht="20" customHeight="1">
      <c r="A43" s="41" t="inlineStr">
        <is>
          <t>LIFESTYLE TOTAL</t>
        </is>
      </c>
      <c r="C43" s="42">
        <f>SUM(C38:C42)</f>
        <v/>
      </c>
      <c r="D43" s="42">
        <f>SUM(D38:D42)</f>
        <v/>
      </c>
      <c r="E43" s="43">
        <f>IFERROR(C43-D43,0)</f>
        <v/>
      </c>
      <c r="F43" s="44">
        <f>IFERROR(D43/C43,0)</f>
        <v/>
      </c>
      <c r="G43" s="45" t="inlineStr"/>
    </row>
    <row r="44" ht="22" customHeight="1">
      <c r="A44" s="25" t="inlineStr">
        <is>
          <t>PERSONAL</t>
        </is>
      </c>
    </row>
    <row r="45" ht="18" customHeight="1">
      <c r="A45" s="28" t="inlineStr">
        <is>
          <t>PERSONAL</t>
        </is>
      </c>
      <c r="B45" s="28" t="inlineStr">
        <is>
          <t>Clothing</t>
        </is>
      </c>
      <c r="C45" s="14" t="n">
        <v>0</v>
      </c>
      <c r="D45" s="14" t="n">
        <v>0</v>
      </c>
      <c r="E45" s="27">
        <f>IFERROR(C45-D45,0)</f>
        <v/>
      </c>
      <c r="F45" s="23">
        <f>IFERROR(D45/C45,0)</f>
        <v/>
      </c>
      <c r="G45" s="28" t="inlineStr"/>
    </row>
    <row r="46" ht="18" customHeight="1">
      <c r="A46" s="30" t="inlineStr">
        <is>
          <t>PERSONAL</t>
        </is>
      </c>
      <c r="B46" s="30" t="inlineStr">
        <is>
          <t>Gifts</t>
        </is>
      </c>
      <c r="C46" s="46" t="n">
        <v>0</v>
      </c>
      <c r="D46" s="46" t="n">
        <v>0</v>
      </c>
      <c r="E46" s="17">
        <f>IFERROR(C46-D46,0)</f>
        <v/>
      </c>
      <c r="F46" s="47">
        <f>IFERROR(D46/C46,0)</f>
        <v/>
      </c>
      <c r="G46" s="30" t="inlineStr"/>
    </row>
    <row r="47" ht="18" customHeight="1">
      <c r="A47" s="28" t="inlineStr">
        <is>
          <t>PERSONAL</t>
        </is>
      </c>
      <c r="B47" s="28" t="inlineStr">
        <is>
          <t>Education</t>
        </is>
      </c>
      <c r="C47" s="14" t="n">
        <v>0</v>
      </c>
      <c r="D47" s="14" t="n">
        <v>0</v>
      </c>
      <c r="E47" s="27">
        <f>IFERROR(C47-D47,0)</f>
        <v/>
      </c>
      <c r="F47" s="23">
        <f>IFERROR(D47/C47,0)</f>
        <v/>
      </c>
      <c r="G47" s="28" t="inlineStr"/>
    </row>
    <row r="48" ht="18" customHeight="1">
      <c r="A48" s="30" t="inlineStr">
        <is>
          <t>PERSONAL</t>
        </is>
      </c>
      <c r="B48" s="30" t="inlineStr">
        <is>
          <t>Pet Care</t>
        </is>
      </c>
      <c r="C48" s="46" t="n">
        <v>0</v>
      </c>
      <c r="D48" s="46" t="n">
        <v>0</v>
      </c>
      <c r="E48" s="17">
        <f>IFERROR(C48-D48,0)</f>
        <v/>
      </c>
      <c r="F48" s="47">
        <f>IFERROR(D48/C48,0)</f>
        <v/>
      </c>
      <c r="G48" s="30" t="inlineStr"/>
    </row>
    <row r="49" ht="18" customHeight="1">
      <c r="A49" s="28" t="inlineStr">
        <is>
          <t>PERSONAL</t>
        </is>
      </c>
      <c r="B49" s="28" t="inlineStr">
        <is>
          <t>Miscellaneous</t>
        </is>
      </c>
      <c r="C49" s="14" t="n">
        <v>0</v>
      </c>
      <c r="D49" s="14" t="n">
        <v>0</v>
      </c>
      <c r="E49" s="27">
        <f>IFERROR(C49-D49,0)</f>
        <v/>
      </c>
      <c r="F49" s="23">
        <f>IFERROR(D49/C49,0)</f>
        <v/>
      </c>
      <c r="G49" s="28" t="inlineStr"/>
    </row>
    <row r="50" ht="20" customHeight="1">
      <c r="A50" s="41" t="inlineStr">
        <is>
          <t>PERSONAL TOTAL</t>
        </is>
      </c>
      <c r="C50" s="42">
        <f>SUM(C45:C49)</f>
        <v/>
      </c>
      <c r="D50" s="42">
        <f>SUM(D45:D49)</f>
        <v/>
      </c>
      <c r="E50" s="43">
        <f>IFERROR(C50-D50,0)</f>
        <v/>
      </c>
      <c r="F50" s="44">
        <f>IFERROR(D50/C50,0)</f>
        <v/>
      </c>
      <c r="G50" s="45" t="inlineStr"/>
    </row>
    <row r="51" ht="22" customHeight="1">
      <c r="A51" s="25" t="inlineStr">
        <is>
          <t>SAVINGS &amp; INVESTMENTS</t>
        </is>
      </c>
    </row>
    <row r="52" ht="18" customHeight="1">
      <c r="A52" s="28" t="inlineStr">
        <is>
          <t>SAVINGS &amp; INVESTMENTS</t>
        </is>
      </c>
      <c r="B52" s="28" t="inlineStr">
        <is>
          <t>Emergency Fund</t>
        </is>
      </c>
      <c r="C52" s="14" t="n">
        <v>0</v>
      </c>
      <c r="D52" s="14" t="n">
        <v>0</v>
      </c>
      <c r="E52" s="27">
        <f>IFERROR(C52-D52,0)</f>
        <v/>
      </c>
      <c r="F52" s="23">
        <f>IFERROR(D52/C52,0)</f>
        <v/>
      </c>
      <c r="G52" s="28" t="inlineStr"/>
    </row>
    <row r="53" ht="18" customHeight="1">
      <c r="A53" s="30" t="inlineStr">
        <is>
          <t>SAVINGS &amp; INVESTMENTS</t>
        </is>
      </c>
      <c r="B53" s="30" t="inlineStr">
        <is>
          <t>Pension/IRA</t>
        </is>
      </c>
      <c r="C53" s="46" t="n">
        <v>0</v>
      </c>
      <c r="D53" s="46" t="n">
        <v>0</v>
      </c>
      <c r="E53" s="17">
        <f>IFERROR(C53-D53,0)</f>
        <v/>
      </c>
      <c r="F53" s="47">
        <f>IFERROR(D53/C53,0)</f>
        <v/>
      </c>
      <c r="G53" s="30" t="inlineStr"/>
    </row>
    <row r="54" ht="18" customHeight="1">
      <c r="A54" s="28" t="inlineStr">
        <is>
          <t>SAVINGS &amp; INVESTMENTS</t>
        </is>
      </c>
      <c r="B54" s="28" t="inlineStr">
        <is>
          <t>Stocks</t>
        </is>
      </c>
      <c r="C54" s="14" t="n">
        <v>0</v>
      </c>
      <c r="D54" s="14" t="n">
        <v>0</v>
      </c>
      <c r="E54" s="27">
        <f>IFERROR(C54-D54,0)</f>
        <v/>
      </c>
      <c r="F54" s="23">
        <f>IFERROR(D54/C54,0)</f>
        <v/>
      </c>
      <c r="G54" s="28" t="inlineStr"/>
    </row>
    <row r="55" ht="18" customHeight="1">
      <c r="A55" s="30" t="inlineStr">
        <is>
          <t>SAVINGS &amp; INVESTMENTS</t>
        </is>
      </c>
      <c r="B55" s="30" t="inlineStr">
        <is>
          <t>Vacation Fund</t>
        </is>
      </c>
      <c r="C55" s="46" t="n">
        <v>0</v>
      </c>
      <c r="D55" s="46" t="n">
        <v>0</v>
      </c>
      <c r="E55" s="17">
        <f>IFERROR(C55-D55,0)</f>
        <v/>
      </c>
      <c r="F55" s="47">
        <f>IFERROR(D55/C55,0)</f>
        <v/>
      </c>
      <c r="G55" s="30" t="inlineStr"/>
    </row>
    <row r="56" ht="18" customHeight="1">
      <c r="A56" s="28" t="inlineStr">
        <is>
          <t>SAVINGS &amp; INVESTMENTS</t>
        </is>
      </c>
      <c r="B56" s="28" t="inlineStr">
        <is>
          <t>Other Savings</t>
        </is>
      </c>
      <c r="C56" s="14" t="n">
        <v>0</v>
      </c>
      <c r="D56" s="14" t="n">
        <v>0</v>
      </c>
      <c r="E56" s="27">
        <f>IFERROR(C56-D56,0)</f>
        <v/>
      </c>
      <c r="F56" s="23">
        <f>IFERROR(D56/C56,0)</f>
        <v/>
      </c>
      <c r="G56" s="28" t="inlineStr"/>
    </row>
    <row r="57" ht="20" customHeight="1">
      <c r="A57" s="41" t="inlineStr">
        <is>
          <t>SAVINGS &amp; INVESTMENTS TOTAL</t>
        </is>
      </c>
      <c r="C57" s="42">
        <f>SUM(C52:C56)</f>
        <v/>
      </c>
      <c r="D57" s="42">
        <f>SUM(D52:D56)</f>
        <v/>
      </c>
      <c r="E57" s="43">
        <f>IFERROR(C57-D57,0)</f>
        <v/>
      </c>
      <c r="F57" s="44">
        <f>IFERROR(D57/C57,0)</f>
        <v/>
      </c>
      <c r="G57" s="45" t="inlineStr"/>
    </row>
    <row r="58" ht="22" customHeight="1">
      <c r="A58" s="25" t="inlineStr">
        <is>
          <t>DEBT PAYMENTS</t>
        </is>
      </c>
    </row>
    <row r="59" ht="18" customHeight="1">
      <c r="A59" s="28" t="inlineStr">
        <is>
          <t>DEBT PAYMENTS</t>
        </is>
      </c>
      <c r="B59" s="28" t="inlineStr">
        <is>
          <t>Credit Card 1</t>
        </is>
      </c>
      <c r="C59" s="14" t="n">
        <v>0</v>
      </c>
      <c r="D59" s="14" t="n">
        <v>0</v>
      </c>
      <c r="E59" s="27">
        <f>IFERROR(C59-D59,0)</f>
        <v/>
      </c>
      <c r="F59" s="23">
        <f>IFERROR(D59/C59,0)</f>
        <v/>
      </c>
      <c r="G59" s="28" t="inlineStr"/>
    </row>
    <row r="60" ht="18" customHeight="1">
      <c r="A60" s="30" t="inlineStr">
        <is>
          <t>DEBT PAYMENTS</t>
        </is>
      </c>
      <c r="B60" s="30" t="inlineStr">
        <is>
          <t>Credit Card 2</t>
        </is>
      </c>
      <c r="C60" s="46" t="n">
        <v>0</v>
      </c>
      <c r="D60" s="46" t="n">
        <v>0</v>
      </c>
      <c r="E60" s="17">
        <f>IFERROR(C60-D60,0)</f>
        <v/>
      </c>
      <c r="F60" s="47">
        <f>IFERROR(D60/C60,0)</f>
        <v/>
      </c>
      <c r="G60" s="30" t="inlineStr"/>
    </row>
    <row r="61" ht="18" customHeight="1">
      <c r="A61" s="28" t="inlineStr">
        <is>
          <t>DEBT PAYMENTS</t>
        </is>
      </c>
      <c r="B61" s="28" t="inlineStr">
        <is>
          <t>Student Loan</t>
        </is>
      </c>
      <c r="C61" s="14" t="n">
        <v>0</v>
      </c>
      <c r="D61" s="14" t="n">
        <v>0</v>
      </c>
      <c r="E61" s="27">
        <f>IFERROR(C61-D61,0)</f>
        <v/>
      </c>
      <c r="F61" s="23">
        <f>IFERROR(D61/C61,0)</f>
        <v/>
      </c>
      <c r="G61" s="28" t="inlineStr"/>
    </row>
    <row r="62" ht="18" customHeight="1">
      <c r="A62" s="30" t="inlineStr">
        <is>
          <t>DEBT PAYMENTS</t>
        </is>
      </c>
      <c r="B62" s="30" t="inlineStr">
        <is>
          <t>Car Loan</t>
        </is>
      </c>
      <c r="C62" s="46" t="n">
        <v>0</v>
      </c>
      <c r="D62" s="46" t="n">
        <v>0</v>
      </c>
      <c r="E62" s="17">
        <f>IFERROR(C62-D62,0)</f>
        <v/>
      </c>
      <c r="F62" s="47">
        <f>IFERROR(D62/C62,0)</f>
        <v/>
      </c>
      <c r="G62" s="30" t="inlineStr"/>
    </row>
    <row r="63" ht="18" customHeight="1">
      <c r="A63" s="28" t="inlineStr">
        <is>
          <t>DEBT PAYMENTS</t>
        </is>
      </c>
      <c r="B63" s="28" t="inlineStr">
        <is>
          <t>Other</t>
        </is>
      </c>
      <c r="C63" s="14" t="n">
        <v>0</v>
      </c>
      <c r="D63" s="14" t="n">
        <v>0</v>
      </c>
      <c r="E63" s="27">
        <f>IFERROR(C63-D63,0)</f>
        <v/>
      </c>
      <c r="F63" s="23">
        <f>IFERROR(D63/C63,0)</f>
        <v/>
      </c>
      <c r="G63" s="28" t="inlineStr"/>
    </row>
    <row r="64" ht="20" customHeight="1">
      <c r="A64" s="41" t="inlineStr">
        <is>
          <t>DEBT PAYMENTS TOTAL</t>
        </is>
      </c>
      <c r="C64" s="42">
        <f>SUM(C59:C63)</f>
        <v/>
      </c>
      <c r="D64" s="42">
        <f>SUM(D59:D63)</f>
        <v/>
      </c>
      <c r="E64" s="43">
        <f>IFERROR(C64-D64,0)</f>
        <v/>
      </c>
      <c r="F64" s="44">
        <f>IFERROR(D64/C64,0)</f>
        <v/>
      </c>
      <c r="G64" s="45" t="inlineStr"/>
    </row>
    <row r="65" ht="24" customHeight="1">
      <c r="A65" s="9" t="inlineStr">
        <is>
          <t>GRAND TOTAL EXPENSES</t>
        </is>
      </c>
      <c r="C65" s="48">
        <f>C15+C22+C29+C36+C43+C50+C57+C64</f>
        <v/>
      </c>
      <c r="D65" s="48">
        <f>D15+D22+D29+D36+D43+D50+D57+D64</f>
        <v/>
      </c>
      <c r="E65" s="49">
        <f>IFERROR(C65-D65,0)</f>
        <v/>
      </c>
      <c r="F65" s="50" t="inlineStr"/>
      <c r="G65" s="50" t="inlineStr"/>
    </row>
    <row r="66" ht="24" customHeight="1">
      <c r="A66" s="8" t="inlineStr">
        <is>
          <t>NET CASH FLOW</t>
        </is>
      </c>
      <c r="C66" s="51">
        <f>IFERROR(C8-C65,0)</f>
        <v/>
      </c>
      <c r="D66" s="51">
        <f>IFERROR(D8-D65,0)</f>
        <v/>
      </c>
      <c r="E66" s="52" t="inlineStr"/>
      <c r="F66" s="52" t="inlineStr"/>
      <c r="G66" s="52" t="inlineStr"/>
    </row>
    <row r="67" ht="22" customHeight="1">
      <c r="A67" s="53" t="inlineStr">
        <is>
          <t>BUDGET VS ACTUAL — CATEGORY OVERVIEW</t>
        </is>
      </c>
    </row>
    <row r="68" ht="18" customHeight="1">
      <c r="A68" s="12" t="inlineStr">
        <is>
          <t>HOUSING</t>
        </is>
      </c>
      <c r="B68" s="27">
        <f>C15</f>
        <v/>
      </c>
      <c r="C68" s="27">
        <f>D15</f>
        <v/>
      </c>
    </row>
    <row r="69" ht="18" customHeight="1">
      <c r="A69" s="15" t="inlineStr">
        <is>
          <t>TRANSPORT</t>
        </is>
      </c>
      <c r="B69" s="17">
        <f>C22</f>
        <v/>
      </c>
      <c r="C69" s="17">
        <f>D22</f>
        <v/>
      </c>
    </row>
    <row r="70" ht="18" customHeight="1">
      <c r="A70" s="12" t="inlineStr">
        <is>
          <t>FOOD &amp; DINING</t>
        </is>
      </c>
      <c r="B70" s="27">
        <f>C29</f>
        <v/>
      </c>
      <c r="C70" s="27">
        <f>D29</f>
        <v/>
      </c>
    </row>
    <row r="71" ht="18" customHeight="1">
      <c r="A71" s="15" t="inlineStr">
        <is>
          <t>HEALTH &amp; WELLNESS</t>
        </is>
      </c>
      <c r="B71" s="17">
        <f>C36</f>
        <v/>
      </c>
      <c r="C71" s="17">
        <f>D36</f>
        <v/>
      </c>
    </row>
    <row r="72" ht="18" customHeight="1">
      <c r="A72" s="12" t="inlineStr">
        <is>
          <t>LIFESTYLE</t>
        </is>
      </c>
      <c r="B72" s="27">
        <f>C43</f>
        <v/>
      </c>
      <c r="C72" s="27">
        <f>D43</f>
        <v/>
      </c>
    </row>
    <row r="73" ht="18" customHeight="1">
      <c r="A73" s="15" t="inlineStr">
        <is>
          <t>PERSONAL</t>
        </is>
      </c>
      <c r="B73" s="17">
        <f>C50</f>
        <v/>
      </c>
      <c r="C73" s="17">
        <f>D50</f>
        <v/>
      </c>
    </row>
    <row r="74" ht="18" customHeight="1">
      <c r="A74" s="12" t="inlineStr">
        <is>
          <t>SAVINGS &amp; INVESTMENTS</t>
        </is>
      </c>
      <c r="B74" s="27">
        <f>C57</f>
        <v/>
      </c>
      <c r="C74" s="27">
        <f>D57</f>
        <v/>
      </c>
    </row>
    <row r="75" ht="18" customHeight="1">
      <c r="A75" s="15" t="inlineStr">
        <is>
          <t>DEBT PAYMENTS</t>
        </is>
      </c>
      <c r="B75" s="17">
        <f>C64</f>
        <v/>
      </c>
      <c r="C75" s="17">
        <f>D64</f>
        <v/>
      </c>
    </row>
  </sheetData>
  <mergeCells count="23">
    <mergeCell ref="A15:B15"/>
    <mergeCell ref="A64:B64"/>
    <mergeCell ref="A4:G4"/>
    <mergeCell ref="A36:B36"/>
    <mergeCell ref="A44:G44"/>
    <mergeCell ref="A58:G58"/>
    <mergeCell ref="A67:D67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5C8A52"/>
    <outlinePr summaryBelow="1" summaryRight="1"/>
    <pageSetUpPr/>
  </sheetPr>
  <dimension ref="A1:G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20" customWidth="1" min="7" max="7"/>
  </cols>
  <sheetData>
    <row r="1" ht="48" customHeight="1">
      <c r="A1" s="1" t="inlineStr">
        <is>
          <t>SEPTEMBER · MONTHLY BUDGET</t>
        </is>
      </c>
    </row>
    <row r="2" ht="20" customHeight="1">
      <c r="A2" s="2" t="inlineStr">
        <is>
          <t>Track your income and expenses for September</t>
        </is>
      </c>
    </row>
    <row r="3" ht="20" customHeight="1">
      <c r="A3" s="26" t="inlineStr">
        <is>
          <t>CATEGORY</t>
        </is>
      </c>
      <c r="B3" s="26" t="inlineStr">
        <is>
          <t>SUBCATEGORY</t>
        </is>
      </c>
      <c r="C3" s="26" t="inlineStr">
        <is>
          <t>BUDGETED</t>
        </is>
      </c>
      <c r="D3" s="26" t="inlineStr">
        <is>
          <t>ACTUAL</t>
        </is>
      </c>
      <c r="E3" s="26" t="inlineStr">
        <is>
          <t>DIFFERENCE</t>
        </is>
      </c>
      <c r="F3" s="26" t="inlineStr">
        <is>
          <t>% USED</t>
        </is>
      </c>
      <c r="G3" s="26" t="inlineStr">
        <is>
          <t>NOTES</t>
        </is>
      </c>
    </row>
    <row r="4" ht="22" customHeight="1">
      <c r="A4" s="9" t="inlineStr">
        <is>
          <t>INCOME</t>
        </is>
      </c>
    </row>
    <row r="5" ht="18" customHeight="1">
      <c r="A5" s="28" t="inlineStr">
        <is>
          <t>INCOME</t>
        </is>
      </c>
      <c r="B5" s="28" t="inlineStr">
        <is>
          <t>Primary Income</t>
        </is>
      </c>
      <c r="C5" s="14" t="n">
        <v>0</v>
      </c>
      <c r="D5" s="14" t="n">
        <v>0</v>
      </c>
      <c r="E5" s="27">
        <f>IFERROR(C5-D5,0)</f>
        <v/>
      </c>
      <c r="F5" s="23">
        <f>IFERROR(D5/C5,0)</f>
        <v/>
      </c>
      <c r="G5" s="28" t="inlineStr"/>
    </row>
    <row r="6" ht="18" customHeight="1">
      <c r="A6" s="31" t="inlineStr">
        <is>
          <t>INCOME</t>
        </is>
      </c>
      <c r="B6" s="31" t="inlineStr">
        <is>
          <t>Side Income</t>
        </is>
      </c>
      <c r="C6" s="20" t="n">
        <v>0</v>
      </c>
      <c r="D6" s="20" t="n">
        <v>0</v>
      </c>
      <c r="E6" s="39">
        <f>IFERROR(C6-D6,0)</f>
        <v/>
      </c>
      <c r="F6" s="40">
        <f>IFERROR(D6/C6,0)</f>
        <v/>
      </c>
      <c r="G6" s="31" t="inlineStr"/>
    </row>
    <row r="7" ht="18" customHeight="1">
      <c r="A7" s="28" t="inlineStr">
        <is>
          <t>INCOME</t>
        </is>
      </c>
      <c r="B7" s="28" t="inlineStr">
        <is>
          <t>Other Income</t>
        </is>
      </c>
      <c r="C7" s="14" t="n">
        <v>0</v>
      </c>
      <c r="D7" s="14" t="n">
        <v>0</v>
      </c>
      <c r="E7" s="27">
        <f>IFERROR(C7-D7,0)</f>
        <v/>
      </c>
      <c r="F7" s="23">
        <f>IFERROR(D7/C7,0)</f>
        <v/>
      </c>
      <c r="G7" s="28" t="inlineStr"/>
    </row>
    <row r="8" ht="20" customHeight="1">
      <c r="A8" s="41" t="inlineStr">
        <is>
          <t>TOTAL INCOME</t>
        </is>
      </c>
      <c r="C8" s="42">
        <f>SUM(C5:C7)</f>
        <v/>
      </c>
      <c r="D8" s="42">
        <f>SUM(D5:D7)</f>
        <v/>
      </c>
      <c r="E8" s="43">
        <f>IFERROR(C8-D8,0)</f>
        <v/>
      </c>
      <c r="F8" s="44">
        <f>IFERROR(D8/C8,0)</f>
        <v/>
      </c>
      <c r="G8" s="45" t="inlineStr"/>
    </row>
    <row r="9" ht="22" customHeight="1">
      <c r="A9" s="25" t="inlineStr">
        <is>
          <t>HOUSING</t>
        </is>
      </c>
    </row>
    <row r="10" ht="18" customHeight="1">
      <c r="A10" s="28" t="inlineStr">
        <is>
          <t>HOUSING</t>
        </is>
      </c>
      <c r="B10" s="28" t="inlineStr">
        <is>
          <t>Rent/Mortgage</t>
        </is>
      </c>
      <c r="C10" s="14" t="n">
        <v>0</v>
      </c>
      <c r="D10" s="14" t="n">
        <v>0</v>
      </c>
      <c r="E10" s="27">
        <f>IFERROR(C10-D10,0)</f>
        <v/>
      </c>
      <c r="F10" s="23">
        <f>IFERROR(D10/C10,0)</f>
        <v/>
      </c>
      <c r="G10" s="28" t="inlineStr"/>
    </row>
    <row r="11" ht="18" customHeight="1">
      <c r="A11" s="30" t="inlineStr">
        <is>
          <t>HOUSING</t>
        </is>
      </c>
      <c r="B11" s="30" t="inlineStr">
        <is>
          <t>Utilities</t>
        </is>
      </c>
      <c r="C11" s="46" t="n">
        <v>0</v>
      </c>
      <c r="D11" s="46" t="n">
        <v>0</v>
      </c>
      <c r="E11" s="17">
        <f>IFERROR(C11-D11,0)</f>
        <v/>
      </c>
      <c r="F11" s="47">
        <f>IFERROR(D11/C11,0)</f>
        <v/>
      </c>
      <c r="G11" s="30" t="inlineStr"/>
    </row>
    <row r="12" ht="18" customHeight="1">
      <c r="A12" s="28" t="inlineStr">
        <is>
          <t>HOUSING</t>
        </is>
      </c>
      <c r="B12" s="28" t="inlineStr">
        <is>
          <t>Electricity</t>
        </is>
      </c>
      <c r="C12" s="14" t="n">
        <v>0</v>
      </c>
      <c r="D12" s="14" t="n">
        <v>0</v>
      </c>
      <c r="E12" s="27">
        <f>IFERROR(C12-D12,0)</f>
        <v/>
      </c>
      <c r="F12" s="23">
        <f>IFERROR(D12/C12,0)</f>
        <v/>
      </c>
      <c r="G12" s="28" t="inlineStr"/>
    </row>
    <row r="13" ht="18" customHeight="1">
      <c r="A13" s="30" t="inlineStr">
        <is>
          <t>HOUSING</t>
        </is>
      </c>
      <c r="B13" s="30" t="inlineStr">
        <is>
          <t>Internet</t>
        </is>
      </c>
      <c r="C13" s="46" t="n">
        <v>0</v>
      </c>
      <c r="D13" s="46" t="n">
        <v>0</v>
      </c>
      <c r="E13" s="17">
        <f>IFERROR(C13-D13,0)</f>
        <v/>
      </c>
      <c r="F13" s="47">
        <f>IFERROR(D13/C13,0)</f>
        <v/>
      </c>
      <c r="G13" s="30" t="inlineStr"/>
    </row>
    <row r="14" ht="18" customHeight="1">
      <c r="A14" s="28" t="inlineStr">
        <is>
          <t>HOUSING</t>
        </is>
      </c>
      <c r="B14" s="28" t="inlineStr">
        <is>
          <t>Home Insurance</t>
        </is>
      </c>
      <c r="C14" s="14" t="n">
        <v>0</v>
      </c>
      <c r="D14" s="14" t="n">
        <v>0</v>
      </c>
      <c r="E14" s="27">
        <f>IFERROR(C14-D14,0)</f>
        <v/>
      </c>
      <c r="F14" s="23">
        <f>IFERROR(D14/C14,0)</f>
        <v/>
      </c>
      <c r="G14" s="28" t="inlineStr"/>
    </row>
    <row r="15" ht="20" customHeight="1">
      <c r="A15" s="41" t="inlineStr">
        <is>
          <t>HOUSING TOTAL</t>
        </is>
      </c>
      <c r="C15" s="42">
        <f>SUM(C10:C14)</f>
        <v/>
      </c>
      <c r="D15" s="42">
        <f>SUM(D10:D14)</f>
        <v/>
      </c>
      <c r="E15" s="43">
        <f>IFERROR(C15-D15,0)</f>
        <v/>
      </c>
      <c r="F15" s="44">
        <f>IFERROR(D15/C15,0)</f>
        <v/>
      </c>
      <c r="G15" s="45" t="inlineStr"/>
    </row>
    <row r="16" ht="22" customHeight="1">
      <c r="A16" s="25" t="inlineStr">
        <is>
          <t>TRANSPORT</t>
        </is>
      </c>
    </row>
    <row r="17" ht="18" customHeight="1">
      <c r="A17" s="28" t="inlineStr">
        <is>
          <t>TRANSPORT</t>
        </is>
      </c>
      <c r="B17" s="28" t="inlineStr">
        <is>
          <t>Car Payment</t>
        </is>
      </c>
      <c r="C17" s="14" t="n">
        <v>0</v>
      </c>
      <c r="D17" s="14" t="n">
        <v>0</v>
      </c>
      <c r="E17" s="27">
        <f>IFERROR(C17-D17,0)</f>
        <v/>
      </c>
      <c r="F17" s="23">
        <f>IFERROR(D17/C17,0)</f>
        <v/>
      </c>
      <c r="G17" s="28" t="inlineStr"/>
    </row>
    <row r="18" ht="18" customHeight="1">
      <c r="A18" s="30" t="inlineStr">
        <is>
          <t>TRANSPORT</t>
        </is>
      </c>
      <c r="B18" s="30" t="inlineStr">
        <is>
          <t>Fuel</t>
        </is>
      </c>
      <c r="C18" s="46" t="n">
        <v>0</v>
      </c>
      <c r="D18" s="46" t="n">
        <v>0</v>
      </c>
      <c r="E18" s="17">
        <f>IFERROR(C18-D18,0)</f>
        <v/>
      </c>
      <c r="F18" s="47">
        <f>IFERROR(D18/C18,0)</f>
        <v/>
      </c>
      <c r="G18" s="30" t="inlineStr"/>
    </row>
    <row r="19" ht="18" customHeight="1">
      <c r="A19" s="28" t="inlineStr">
        <is>
          <t>TRANSPORT</t>
        </is>
      </c>
      <c r="B19" s="28" t="inlineStr">
        <is>
          <t>Car Insurance</t>
        </is>
      </c>
      <c r="C19" s="14" t="n">
        <v>0</v>
      </c>
      <c r="D19" s="14" t="n">
        <v>0</v>
      </c>
      <c r="E19" s="27">
        <f>IFERROR(C19-D19,0)</f>
        <v/>
      </c>
      <c r="F19" s="23">
        <f>IFERROR(D19/C19,0)</f>
        <v/>
      </c>
      <c r="G19" s="28" t="inlineStr"/>
    </row>
    <row r="20" ht="18" customHeight="1">
      <c r="A20" s="30" t="inlineStr">
        <is>
          <t>TRANSPORT</t>
        </is>
      </c>
      <c r="B20" s="30" t="inlineStr">
        <is>
          <t>Parking</t>
        </is>
      </c>
      <c r="C20" s="46" t="n">
        <v>0</v>
      </c>
      <c r="D20" s="46" t="n">
        <v>0</v>
      </c>
      <c r="E20" s="17">
        <f>IFERROR(C20-D20,0)</f>
        <v/>
      </c>
      <c r="F20" s="47">
        <f>IFERROR(D20/C20,0)</f>
        <v/>
      </c>
      <c r="G20" s="30" t="inlineStr"/>
    </row>
    <row r="21" ht="18" customHeight="1">
      <c r="A21" s="28" t="inlineStr">
        <is>
          <t>TRANSPORT</t>
        </is>
      </c>
      <c r="B21" s="28" t="inlineStr">
        <is>
          <t>Public Transport</t>
        </is>
      </c>
      <c r="C21" s="14" t="n">
        <v>0</v>
      </c>
      <c r="D21" s="14" t="n">
        <v>0</v>
      </c>
      <c r="E21" s="27">
        <f>IFERROR(C21-D21,0)</f>
        <v/>
      </c>
      <c r="F21" s="23">
        <f>IFERROR(D21/C21,0)</f>
        <v/>
      </c>
      <c r="G21" s="28" t="inlineStr"/>
    </row>
    <row r="22" ht="20" customHeight="1">
      <c r="A22" s="41" t="inlineStr">
        <is>
          <t>TRANSPORT TOTAL</t>
        </is>
      </c>
      <c r="C22" s="42">
        <f>SUM(C17:C21)</f>
        <v/>
      </c>
      <c r="D22" s="42">
        <f>SUM(D17:D21)</f>
        <v/>
      </c>
      <c r="E22" s="43">
        <f>IFERROR(C22-D22,0)</f>
        <v/>
      </c>
      <c r="F22" s="44">
        <f>IFERROR(D22/C22,0)</f>
        <v/>
      </c>
      <c r="G22" s="45" t="inlineStr"/>
    </row>
    <row r="23" ht="22" customHeight="1">
      <c r="A23" s="25" t="inlineStr">
        <is>
          <t>FOOD &amp; DINING</t>
        </is>
      </c>
    </row>
    <row r="24" ht="18" customHeight="1">
      <c r="A24" s="28" t="inlineStr">
        <is>
          <t>FOOD &amp; DINING</t>
        </is>
      </c>
      <c r="B24" s="28" t="inlineStr">
        <is>
          <t>Groceries</t>
        </is>
      </c>
      <c r="C24" s="14" t="n">
        <v>0</v>
      </c>
      <c r="D24" s="14" t="n">
        <v>0</v>
      </c>
      <c r="E24" s="27">
        <f>IFERROR(C24-D24,0)</f>
        <v/>
      </c>
      <c r="F24" s="23">
        <f>IFERROR(D24/C24,0)</f>
        <v/>
      </c>
      <c r="G24" s="28" t="inlineStr"/>
    </row>
    <row r="25" ht="18" customHeight="1">
      <c r="A25" s="30" t="inlineStr">
        <is>
          <t>FOOD &amp; DINING</t>
        </is>
      </c>
      <c r="B25" s="30" t="inlineStr">
        <is>
          <t>Restaurants</t>
        </is>
      </c>
      <c r="C25" s="46" t="n">
        <v>0</v>
      </c>
      <c r="D25" s="46" t="n">
        <v>0</v>
      </c>
      <c r="E25" s="17">
        <f>IFERROR(C25-D25,0)</f>
        <v/>
      </c>
      <c r="F25" s="47">
        <f>IFERROR(D25/C25,0)</f>
        <v/>
      </c>
      <c r="G25" s="30" t="inlineStr"/>
    </row>
    <row r="26" ht="18" customHeight="1">
      <c r="A26" s="28" t="inlineStr">
        <is>
          <t>FOOD &amp; DINING</t>
        </is>
      </c>
      <c r="B26" s="28" t="inlineStr">
        <is>
          <t>Coffee</t>
        </is>
      </c>
      <c r="C26" s="14" t="n">
        <v>0</v>
      </c>
      <c r="D26" s="14" t="n">
        <v>0</v>
      </c>
      <c r="E26" s="27">
        <f>IFERROR(C26-D26,0)</f>
        <v/>
      </c>
      <c r="F26" s="23">
        <f>IFERROR(D26/C26,0)</f>
        <v/>
      </c>
      <c r="G26" s="28" t="inlineStr"/>
    </row>
    <row r="27" ht="18" customHeight="1">
      <c r="A27" s="30" t="inlineStr">
        <is>
          <t>FOOD &amp; DINING</t>
        </is>
      </c>
      <c r="B27" s="30" t="inlineStr">
        <is>
          <t>Food Delivery</t>
        </is>
      </c>
      <c r="C27" s="46" t="n">
        <v>0</v>
      </c>
      <c r="D27" s="46" t="n">
        <v>0</v>
      </c>
      <c r="E27" s="17">
        <f>IFERROR(C27-D27,0)</f>
        <v/>
      </c>
      <c r="F27" s="47">
        <f>IFERROR(D27/C27,0)</f>
        <v/>
      </c>
      <c r="G27" s="30" t="inlineStr"/>
    </row>
    <row r="28" ht="18" customHeight="1">
      <c r="A28" s="28" t="inlineStr">
        <is>
          <t>FOOD &amp; DINING</t>
        </is>
      </c>
      <c r="B28" s="28" t="inlineStr">
        <is>
          <t>Work Lunch</t>
        </is>
      </c>
      <c r="C28" s="14" t="n">
        <v>0</v>
      </c>
      <c r="D28" s="14" t="n">
        <v>0</v>
      </c>
      <c r="E28" s="27">
        <f>IFERROR(C28-D28,0)</f>
        <v/>
      </c>
      <c r="F28" s="23">
        <f>IFERROR(D28/C28,0)</f>
        <v/>
      </c>
      <c r="G28" s="28" t="inlineStr"/>
    </row>
    <row r="29" ht="20" customHeight="1">
      <c r="A29" s="41" t="inlineStr">
        <is>
          <t>FOOD &amp; DINING TOTAL</t>
        </is>
      </c>
      <c r="C29" s="42">
        <f>SUM(C24:C28)</f>
        <v/>
      </c>
      <c r="D29" s="42">
        <f>SUM(D24:D28)</f>
        <v/>
      </c>
      <c r="E29" s="43">
        <f>IFERROR(C29-D29,0)</f>
        <v/>
      </c>
      <c r="F29" s="44">
        <f>IFERROR(D29/C29,0)</f>
        <v/>
      </c>
      <c r="G29" s="45" t="inlineStr"/>
    </row>
    <row r="30" ht="22" customHeight="1">
      <c r="A30" s="25" t="inlineStr">
        <is>
          <t>HEALTH &amp; WELLNESS</t>
        </is>
      </c>
    </row>
    <row r="31" ht="18" customHeight="1">
      <c r="A31" s="28" t="inlineStr">
        <is>
          <t>HEALTH &amp; WELLNESS</t>
        </is>
      </c>
      <c r="B31" s="28" t="inlineStr">
        <is>
          <t>Health Insurance</t>
        </is>
      </c>
      <c r="C31" s="14" t="n">
        <v>0</v>
      </c>
      <c r="D31" s="14" t="n">
        <v>0</v>
      </c>
      <c r="E31" s="27">
        <f>IFERROR(C31-D31,0)</f>
        <v/>
      </c>
      <c r="F31" s="23">
        <f>IFERROR(D31/C31,0)</f>
        <v/>
      </c>
      <c r="G31" s="28" t="inlineStr"/>
    </row>
    <row r="32" ht="18" customHeight="1">
      <c r="A32" s="30" t="inlineStr">
        <is>
          <t>HEALTH &amp; WELLNESS</t>
        </is>
      </c>
      <c r="B32" s="30" t="inlineStr">
        <is>
          <t>Gym</t>
        </is>
      </c>
      <c r="C32" s="46" t="n">
        <v>0</v>
      </c>
      <c r="D32" s="46" t="n">
        <v>0</v>
      </c>
      <c r="E32" s="17">
        <f>IFERROR(C32-D32,0)</f>
        <v/>
      </c>
      <c r="F32" s="47">
        <f>IFERROR(D32/C32,0)</f>
        <v/>
      </c>
      <c r="G32" s="30" t="inlineStr"/>
    </row>
    <row r="33" ht="18" customHeight="1">
      <c r="A33" s="28" t="inlineStr">
        <is>
          <t>HEALTH &amp; WELLNESS</t>
        </is>
      </c>
      <c r="B33" s="28" t="inlineStr">
        <is>
          <t>Pharmacy</t>
        </is>
      </c>
      <c r="C33" s="14" t="n">
        <v>0</v>
      </c>
      <c r="D33" s="14" t="n">
        <v>0</v>
      </c>
      <c r="E33" s="27">
        <f>IFERROR(C33-D33,0)</f>
        <v/>
      </c>
      <c r="F33" s="23">
        <f>IFERROR(D33/C33,0)</f>
        <v/>
      </c>
      <c r="G33" s="28" t="inlineStr"/>
    </row>
    <row r="34" ht="18" customHeight="1">
      <c r="A34" s="30" t="inlineStr">
        <is>
          <t>HEALTH &amp; WELLNESS</t>
        </is>
      </c>
      <c r="B34" s="30" t="inlineStr">
        <is>
          <t>Doctor</t>
        </is>
      </c>
      <c r="C34" s="46" t="n">
        <v>0</v>
      </c>
      <c r="D34" s="46" t="n">
        <v>0</v>
      </c>
      <c r="E34" s="17">
        <f>IFERROR(C34-D34,0)</f>
        <v/>
      </c>
      <c r="F34" s="47">
        <f>IFERROR(D34/C34,0)</f>
        <v/>
      </c>
      <c r="G34" s="30" t="inlineStr"/>
    </row>
    <row r="35" ht="18" customHeight="1">
      <c r="A35" s="28" t="inlineStr">
        <is>
          <t>HEALTH &amp; WELLNESS</t>
        </is>
      </c>
      <c r="B35" s="28" t="inlineStr">
        <is>
          <t>Dental</t>
        </is>
      </c>
      <c r="C35" s="14" t="n">
        <v>0</v>
      </c>
      <c r="D35" s="14" t="n">
        <v>0</v>
      </c>
      <c r="E35" s="27">
        <f>IFERROR(C35-D35,0)</f>
        <v/>
      </c>
      <c r="F35" s="23">
        <f>IFERROR(D35/C35,0)</f>
        <v/>
      </c>
      <c r="G35" s="28" t="inlineStr"/>
    </row>
    <row r="36" ht="20" customHeight="1">
      <c r="A36" s="41" t="inlineStr">
        <is>
          <t>HEALTH &amp; WELLNESS TOTAL</t>
        </is>
      </c>
      <c r="C36" s="42">
        <f>SUM(C31:C35)</f>
        <v/>
      </c>
      <c r="D36" s="42">
        <f>SUM(D31:D35)</f>
        <v/>
      </c>
      <c r="E36" s="43">
        <f>IFERROR(C36-D36,0)</f>
        <v/>
      </c>
      <c r="F36" s="44">
        <f>IFERROR(D36/C36,0)</f>
        <v/>
      </c>
      <c r="G36" s="45" t="inlineStr"/>
    </row>
    <row r="37" ht="22" customHeight="1">
      <c r="A37" s="25" t="inlineStr">
        <is>
          <t>LIFESTYLE</t>
        </is>
      </c>
    </row>
    <row r="38" ht="18" customHeight="1">
      <c r="A38" s="28" t="inlineStr">
        <is>
          <t>LIFESTYLE</t>
        </is>
      </c>
      <c r="B38" s="28" t="inlineStr">
        <is>
          <t>Streaming Services</t>
        </is>
      </c>
      <c r="C38" s="14" t="n">
        <v>0</v>
      </c>
      <c r="D38" s="14" t="n">
        <v>0</v>
      </c>
      <c r="E38" s="27">
        <f>IFERROR(C38-D38,0)</f>
        <v/>
      </c>
      <c r="F38" s="23">
        <f>IFERROR(D38/C38,0)</f>
        <v/>
      </c>
      <c r="G38" s="28" t="inlineStr"/>
    </row>
    <row r="39" ht="18" customHeight="1">
      <c r="A39" s="30" t="inlineStr">
        <is>
          <t>LIFESTYLE</t>
        </is>
      </c>
      <c r="B39" s="30" t="inlineStr">
        <is>
          <t>Entertainment</t>
        </is>
      </c>
      <c r="C39" s="46" t="n">
        <v>0</v>
      </c>
      <c r="D39" s="46" t="n">
        <v>0</v>
      </c>
      <c r="E39" s="17">
        <f>IFERROR(C39-D39,0)</f>
        <v/>
      </c>
      <c r="F39" s="47">
        <f>IFERROR(D39/C39,0)</f>
        <v/>
      </c>
      <c r="G39" s="30" t="inlineStr"/>
    </row>
    <row r="40" ht="18" customHeight="1">
      <c r="A40" s="28" t="inlineStr">
        <is>
          <t>LIFESTYLE</t>
        </is>
      </c>
      <c r="B40" s="28" t="inlineStr">
        <is>
          <t>Hobbies</t>
        </is>
      </c>
      <c r="C40" s="14" t="n">
        <v>0</v>
      </c>
      <c r="D40" s="14" t="n">
        <v>0</v>
      </c>
      <c r="E40" s="27">
        <f>IFERROR(C40-D40,0)</f>
        <v/>
      </c>
      <c r="F40" s="23">
        <f>IFERROR(D40/C40,0)</f>
        <v/>
      </c>
      <c r="G40" s="28" t="inlineStr"/>
    </row>
    <row r="41" ht="18" customHeight="1">
      <c r="A41" s="30" t="inlineStr">
        <is>
          <t>LIFESTYLE</t>
        </is>
      </c>
      <c r="B41" s="30" t="inlineStr">
        <is>
          <t>Personal Care</t>
        </is>
      </c>
      <c r="C41" s="46" t="n">
        <v>0</v>
      </c>
      <c r="D41" s="46" t="n">
        <v>0</v>
      </c>
      <c r="E41" s="17">
        <f>IFERROR(C41-D41,0)</f>
        <v/>
      </c>
      <c r="F41" s="47">
        <f>IFERROR(D41/C41,0)</f>
        <v/>
      </c>
      <c r="G41" s="30" t="inlineStr"/>
    </row>
    <row r="42" ht="18" customHeight="1">
      <c r="A42" s="28" t="inlineStr">
        <is>
          <t>LIFESTYLE</t>
        </is>
      </c>
      <c r="B42" s="28" t="inlineStr">
        <is>
          <t>Books</t>
        </is>
      </c>
      <c r="C42" s="14" t="n">
        <v>0</v>
      </c>
      <c r="D42" s="14" t="n">
        <v>0</v>
      </c>
      <c r="E42" s="27">
        <f>IFERROR(C42-D42,0)</f>
        <v/>
      </c>
      <c r="F42" s="23">
        <f>IFERROR(D42/C42,0)</f>
        <v/>
      </c>
      <c r="G42" s="28" t="inlineStr"/>
    </row>
    <row r="43" ht="20" customHeight="1">
      <c r="A43" s="41" t="inlineStr">
        <is>
          <t>LIFESTYLE TOTAL</t>
        </is>
      </c>
      <c r="C43" s="42">
        <f>SUM(C38:C42)</f>
        <v/>
      </c>
      <c r="D43" s="42">
        <f>SUM(D38:D42)</f>
        <v/>
      </c>
      <c r="E43" s="43">
        <f>IFERROR(C43-D43,0)</f>
        <v/>
      </c>
      <c r="F43" s="44">
        <f>IFERROR(D43/C43,0)</f>
        <v/>
      </c>
      <c r="G43" s="45" t="inlineStr"/>
    </row>
    <row r="44" ht="22" customHeight="1">
      <c r="A44" s="25" t="inlineStr">
        <is>
          <t>PERSONAL</t>
        </is>
      </c>
    </row>
    <row r="45" ht="18" customHeight="1">
      <c r="A45" s="28" t="inlineStr">
        <is>
          <t>PERSONAL</t>
        </is>
      </c>
      <c r="B45" s="28" t="inlineStr">
        <is>
          <t>Clothing</t>
        </is>
      </c>
      <c r="C45" s="14" t="n">
        <v>0</v>
      </c>
      <c r="D45" s="14" t="n">
        <v>0</v>
      </c>
      <c r="E45" s="27">
        <f>IFERROR(C45-D45,0)</f>
        <v/>
      </c>
      <c r="F45" s="23">
        <f>IFERROR(D45/C45,0)</f>
        <v/>
      </c>
      <c r="G45" s="28" t="inlineStr"/>
    </row>
    <row r="46" ht="18" customHeight="1">
      <c r="A46" s="30" t="inlineStr">
        <is>
          <t>PERSONAL</t>
        </is>
      </c>
      <c r="B46" s="30" t="inlineStr">
        <is>
          <t>Gifts</t>
        </is>
      </c>
      <c r="C46" s="46" t="n">
        <v>0</v>
      </c>
      <c r="D46" s="46" t="n">
        <v>0</v>
      </c>
      <c r="E46" s="17">
        <f>IFERROR(C46-D46,0)</f>
        <v/>
      </c>
      <c r="F46" s="47">
        <f>IFERROR(D46/C46,0)</f>
        <v/>
      </c>
      <c r="G46" s="30" t="inlineStr"/>
    </row>
    <row r="47" ht="18" customHeight="1">
      <c r="A47" s="28" t="inlineStr">
        <is>
          <t>PERSONAL</t>
        </is>
      </c>
      <c r="B47" s="28" t="inlineStr">
        <is>
          <t>Education</t>
        </is>
      </c>
      <c r="C47" s="14" t="n">
        <v>0</v>
      </c>
      <c r="D47" s="14" t="n">
        <v>0</v>
      </c>
      <c r="E47" s="27">
        <f>IFERROR(C47-D47,0)</f>
        <v/>
      </c>
      <c r="F47" s="23">
        <f>IFERROR(D47/C47,0)</f>
        <v/>
      </c>
      <c r="G47" s="28" t="inlineStr"/>
    </row>
    <row r="48" ht="18" customHeight="1">
      <c r="A48" s="30" t="inlineStr">
        <is>
          <t>PERSONAL</t>
        </is>
      </c>
      <c r="B48" s="30" t="inlineStr">
        <is>
          <t>Pet Care</t>
        </is>
      </c>
      <c r="C48" s="46" t="n">
        <v>0</v>
      </c>
      <c r="D48" s="46" t="n">
        <v>0</v>
      </c>
      <c r="E48" s="17">
        <f>IFERROR(C48-D48,0)</f>
        <v/>
      </c>
      <c r="F48" s="47">
        <f>IFERROR(D48/C48,0)</f>
        <v/>
      </c>
      <c r="G48" s="30" t="inlineStr"/>
    </row>
    <row r="49" ht="18" customHeight="1">
      <c r="A49" s="28" t="inlineStr">
        <is>
          <t>PERSONAL</t>
        </is>
      </c>
      <c r="B49" s="28" t="inlineStr">
        <is>
          <t>Miscellaneous</t>
        </is>
      </c>
      <c r="C49" s="14" t="n">
        <v>0</v>
      </c>
      <c r="D49" s="14" t="n">
        <v>0</v>
      </c>
      <c r="E49" s="27">
        <f>IFERROR(C49-D49,0)</f>
        <v/>
      </c>
      <c r="F49" s="23">
        <f>IFERROR(D49/C49,0)</f>
        <v/>
      </c>
      <c r="G49" s="28" t="inlineStr"/>
    </row>
    <row r="50" ht="20" customHeight="1">
      <c r="A50" s="41" t="inlineStr">
        <is>
          <t>PERSONAL TOTAL</t>
        </is>
      </c>
      <c r="C50" s="42">
        <f>SUM(C45:C49)</f>
        <v/>
      </c>
      <c r="D50" s="42">
        <f>SUM(D45:D49)</f>
        <v/>
      </c>
      <c r="E50" s="43">
        <f>IFERROR(C50-D50,0)</f>
        <v/>
      </c>
      <c r="F50" s="44">
        <f>IFERROR(D50/C50,0)</f>
        <v/>
      </c>
      <c r="G50" s="45" t="inlineStr"/>
    </row>
    <row r="51" ht="22" customHeight="1">
      <c r="A51" s="25" t="inlineStr">
        <is>
          <t>SAVINGS &amp; INVESTMENTS</t>
        </is>
      </c>
    </row>
    <row r="52" ht="18" customHeight="1">
      <c r="A52" s="28" t="inlineStr">
        <is>
          <t>SAVINGS &amp; INVESTMENTS</t>
        </is>
      </c>
      <c r="B52" s="28" t="inlineStr">
        <is>
          <t>Emergency Fund</t>
        </is>
      </c>
      <c r="C52" s="14" t="n">
        <v>0</v>
      </c>
      <c r="D52" s="14" t="n">
        <v>0</v>
      </c>
      <c r="E52" s="27">
        <f>IFERROR(C52-D52,0)</f>
        <v/>
      </c>
      <c r="F52" s="23">
        <f>IFERROR(D52/C52,0)</f>
        <v/>
      </c>
      <c r="G52" s="28" t="inlineStr"/>
    </row>
    <row r="53" ht="18" customHeight="1">
      <c r="A53" s="30" t="inlineStr">
        <is>
          <t>SAVINGS &amp; INVESTMENTS</t>
        </is>
      </c>
      <c r="B53" s="30" t="inlineStr">
        <is>
          <t>Pension/IRA</t>
        </is>
      </c>
      <c r="C53" s="46" t="n">
        <v>0</v>
      </c>
      <c r="D53" s="46" t="n">
        <v>0</v>
      </c>
      <c r="E53" s="17">
        <f>IFERROR(C53-D53,0)</f>
        <v/>
      </c>
      <c r="F53" s="47">
        <f>IFERROR(D53/C53,0)</f>
        <v/>
      </c>
      <c r="G53" s="30" t="inlineStr"/>
    </row>
    <row r="54" ht="18" customHeight="1">
      <c r="A54" s="28" t="inlineStr">
        <is>
          <t>SAVINGS &amp; INVESTMENTS</t>
        </is>
      </c>
      <c r="B54" s="28" t="inlineStr">
        <is>
          <t>Stocks</t>
        </is>
      </c>
      <c r="C54" s="14" t="n">
        <v>0</v>
      </c>
      <c r="D54" s="14" t="n">
        <v>0</v>
      </c>
      <c r="E54" s="27">
        <f>IFERROR(C54-D54,0)</f>
        <v/>
      </c>
      <c r="F54" s="23">
        <f>IFERROR(D54/C54,0)</f>
        <v/>
      </c>
      <c r="G54" s="28" t="inlineStr"/>
    </row>
    <row r="55" ht="18" customHeight="1">
      <c r="A55" s="30" t="inlineStr">
        <is>
          <t>SAVINGS &amp; INVESTMENTS</t>
        </is>
      </c>
      <c r="B55" s="30" t="inlineStr">
        <is>
          <t>Vacation Fund</t>
        </is>
      </c>
      <c r="C55" s="46" t="n">
        <v>0</v>
      </c>
      <c r="D55" s="46" t="n">
        <v>0</v>
      </c>
      <c r="E55" s="17">
        <f>IFERROR(C55-D55,0)</f>
        <v/>
      </c>
      <c r="F55" s="47">
        <f>IFERROR(D55/C55,0)</f>
        <v/>
      </c>
      <c r="G55" s="30" t="inlineStr"/>
    </row>
    <row r="56" ht="18" customHeight="1">
      <c r="A56" s="28" t="inlineStr">
        <is>
          <t>SAVINGS &amp; INVESTMENTS</t>
        </is>
      </c>
      <c r="B56" s="28" t="inlineStr">
        <is>
          <t>Other Savings</t>
        </is>
      </c>
      <c r="C56" s="14" t="n">
        <v>0</v>
      </c>
      <c r="D56" s="14" t="n">
        <v>0</v>
      </c>
      <c r="E56" s="27">
        <f>IFERROR(C56-D56,0)</f>
        <v/>
      </c>
      <c r="F56" s="23">
        <f>IFERROR(D56/C56,0)</f>
        <v/>
      </c>
      <c r="G56" s="28" t="inlineStr"/>
    </row>
    <row r="57" ht="20" customHeight="1">
      <c r="A57" s="41" t="inlineStr">
        <is>
          <t>SAVINGS &amp; INVESTMENTS TOTAL</t>
        </is>
      </c>
      <c r="C57" s="42">
        <f>SUM(C52:C56)</f>
        <v/>
      </c>
      <c r="D57" s="42">
        <f>SUM(D52:D56)</f>
        <v/>
      </c>
      <c r="E57" s="43">
        <f>IFERROR(C57-D57,0)</f>
        <v/>
      </c>
      <c r="F57" s="44">
        <f>IFERROR(D57/C57,0)</f>
        <v/>
      </c>
      <c r="G57" s="45" t="inlineStr"/>
    </row>
    <row r="58" ht="22" customHeight="1">
      <c r="A58" s="25" t="inlineStr">
        <is>
          <t>DEBT PAYMENTS</t>
        </is>
      </c>
    </row>
    <row r="59" ht="18" customHeight="1">
      <c r="A59" s="28" t="inlineStr">
        <is>
          <t>DEBT PAYMENTS</t>
        </is>
      </c>
      <c r="B59" s="28" t="inlineStr">
        <is>
          <t>Credit Card 1</t>
        </is>
      </c>
      <c r="C59" s="14" t="n">
        <v>0</v>
      </c>
      <c r="D59" s="14" t="n">
        <v>0</v>
      </c>
      <c r="E59" s="27">
        <f>IFERROR(C59-D59,0)</f>
        <v/>
      </c>
      <c r="F59" s="23">
        <f>IFERROR(D59/C59,0)</f>
        <v/>
      </c>
      <c r="G59" s="28" t="inlineStr"/>
    </row>
    <row r="60" ht="18" customHeight="1">
      <c r="A60" s="30" t="inlineStr">
        <is>
          <t>DEBT PAYMENTS</t>
        </is>
      </c>
      <c r="B60" s="30" t="inlineStr">
        <is>
          <t>Credit Card 2</t>
        </is>
      </c>
      <c r="C60" s="46" t="n">
        <v>0</v>
      </c>
      <c r="D60" s="46" t="n">
        <v>0</v>
      </c>
      <c r="E60" s="17">
        <f>IFERROR(C60-D60,0)</f>
        <v/>
      </c>
      <c r="F60" s="47">
        <f>IFERROR(D60/C60,0)</f>
        <v/>
      </c>
      <c r="G60" s="30" t="inlineStr"/>
    </row>
    <row r="61" ht="18" customHeight="1">
      <c r="A61" s="28" t="inlineStr">
        <is>
          <t>DEBT PAYMENTS</t>
        </is>
      </c>
      <c r="B61" s="28" t="inlineStr">
        <is>
          <t>Student Loan</t>
        </is>
      </c>
      <c r="C61" s="14" t="n">
        <v>0</v>
      </c>
      <c r="D61" s="14" t="n">
        <v>0</v>
      </c>
      <c r="E61" s="27">
        <f>IFERROR(C61-D61,0)</f>
        <v/>
      </c>
      <c r="F61" s="23">
        <f>IFERROR(D61/C61,0)</f>
        <v/>
      </c>
      <c r="G61" s="28" t="inlineStr"/>
    </row>
    <row r="62" ht="18" customHeight="1">
      <c r="A62" s="30" t="inlineStr">
        <is>
          <t>DEBT PAYMENTS</t>
        </is>
      </c>
      <c r="B62" s="30" t="inlineStr">
        <is>
          <t>Car Loan</t>
        </is>
      </c>
      <c r="C62" s="46" t="n">
        <v>0</v>
      </c>
      <c r="D62" s="46" t="n">
        <v>0</v>
      </c>
      <c r="E62" s="17">
        <f>IFERROR(C62-D62,0)</f>
        <v/>
      </c>
      <c r="F62" s="47">
        <f>IFERROR(D62/C62,0)</f>
        <v/>
      </c>
      <c r="G62" s="30" t="inlineStr"/>
    </row>
    <row r="63" ht="18" customHeight="1">
      <c r="A63" s="28" t="inlineStr">
        <is>
          <t>DEBT PAYMENTS</t>
        </is>
      </c>
      <c r="B63" s="28" t="inlineStr">
        <is>
          <t>Other</t>
        </is>
      </c>
      <c r="C63" s="14" t="n">
        <v>0</v>
      </c>
      <c r="D63" s="14" t="n">
        <v>0</v>
      </c>
      <c r="E63" s="27">
        <f>IFERROR(C63-D63,0)</f>
        <v/>
      </c>
      <c r="F63" s="23">
        <f>IFERROR(D63/C63,0)</f>
        <v/>
      </c>
      <c r="G63" s="28" t="inlineStr"/>
    </row>
    <row r="64" ht="20" customHeight="1">
      <c r="A64" s="41" t="inlineStr">
        <is>
          <t>DEBT PAYMENTS TOTAL</t>
        </is>
      </c>
      <c r="C64" s="42">
        <f>SUM(C59:C63)</f>
        <v/>
      </c>
      <c r="D64" s="42">
        <f>SUM(D59:D63)</f>
        <v/>
      </c>
      <c r="E64" s="43">
        <f>IFERROR(C64-D64,0)</f>
        <v/>
      </c>
      <c r="F64" s="44">
        <f>IFERROR(D64/C64,0)</f>
        <v/>
      </c>
      <c r="G64" s="45" t="inlineStr"/>
    </row>
    <row r="65" ht="24" customHeight="1">
      <c r="A65" s="9" t="inlineStr">
        <is>
          <t>GRAND TOTAL EXPENSES</t>
        </is>
      </c>
      <c r="C65" s="48">
        <f>C15+C22+C29+C36+C43+C50+C57+C64</f>
        <v/>
      </c>
      <c r="D65" s="48">
        <f>D15+D22+D29+D36+D43+D50+D57+D64</f>
        <v/>
      </c>
      <c r="E65" s="49">
        <f>IFERROR(C65-D65,0)</f>
        <v/>
      </c>
      <c r="F65" s="50" t="inlineStr"/>
      <c r="G65" s="50" t="inlineStr"/>
    </row>
    <row r="66" ht="24" customHeight="1">
      <c r="A66" s="8" t="inlineStr">
        <is>
          <t>NET CASH FLOW</t>
        </is>
      </c>
      <c r="C66" s="51">
        <f>IFERROR(C8-C65,0)</f>
        <v/>
      </c>
      <c r="D66" s="51">
        <f>IFERROR(D8-D65,0)</f>
        <v/>
      </c>
      <c r="E66" s="52" t="inlineStr"/>
      <c r="F66" s="52" t="inlineStr"/>
      <c r="G66" s="52" t="inlineStr"/>
    </row>
    <row r="67" ht="22" customHeight="1">
      <c r="A67" s="53" t="inlineStr">
        <is>
          <t>BUDGET VS ACTUAL — CATEGORY OVERVIEW</t>
        </is>
      </c>
    </row>
    <row r="68" ht="18" customHeight="1">
      <c r="A68" s="12" t="inlineStr">
        <is>
          <t>HOUSING</t>
        </is>
      </c>
      <c r="B68" s="27">
        <f>C15</f>
        <v/>
      </c>
      <c r="C68" s="27">
        <f>D15</f>
        <v/>
      </c>
    </row>
    <row r="69" ht="18" customHeight="1">
      <c r="A69" s="15" t="inlineStr">
        <is>
          <t>TRANSPORT</t>
        </is>
      </c>
      <c r="B69" s="17">
        <f>C22</f>
        <v/>
      </c>
      <c r="C69" s="17">
        <f>D22</f>
        <v/>
      </c>
    </row>
    <row r="70" ht="18" customHeight="1">
      <c r="A70" s="12" t="inlineStr">
        <is>
          <t>FOOD &amp; DINING</t>
        </is>
      </c>
      <c r="B70" s="27">
        <f>C29</f>
        <v/>
      </c>
      <c r="C70" s="27">
        <f>D29</f>
        <v/>
      </c>
    </row>
    <row r="71" ht="18" customHeight="1">
      <c r="A71" s="15" t="inlineStr">
        <is>
          <t>HEALTH &amp; WELLNESS</t>
        </is>
      </c>
      <c r="B71" s="17">
        <f>C36</f>
        <v/>
      </c>
      <c r="C71" s="17">
        <f>D36</f>
        <v/>
      </c>
    </row>
    <row r="72" ht="18" customHeight="1">
      <c r="A72" s="12" t="inlineStr">
        <is>
          <t>LIFESTYLE</t>
        </is>
      </c>
      <c r="B72" s="27">
        <f>C43</f>
        <v/>
      </c>
      <c r="C72" s="27">
        <f>D43</f>
        <v/>
      </c>
    </row>
    <row r="73" ht="18" customHeight="1">
      <c r="A73" s="15" t="inlineStr">
        <is>
          <t>PERSONAL</t>
        </is>
      </c>
      <c r="B73" s="17">
        <f>C50</f>
        <v/>
      </c>
      <c r="C73" s="17">
        <f>D50</f>
        <v/>
      </c>
    </row>
    <row r="74" ht="18" customHeight="1">
      <c r="A74" s="12" t="inlineStr">
        <is>
          <t>SAVINGS &amp; INVESTMENTS</t>
        </is>
      </c>
      <c r="B74" s="27">
        <f>C57</f>
        <v/>
      </c>
      <c r="C74" s="27">
        <f>D57</f>
        <v/>
      </c>
    </row>
    <row r="75" ht="18" customHeight="1">
      <c r="A75" s="15" t="inlineStr">
        <is>
          <t>DEBT PAYMENTS</t>
        </is>
      </c>
      <c r="B75" s="17">
        <f>C64</f>
        <v/>
      </c>
      <c r="C75" s="17">
        <f>D64</f>
        <v/>
      </c>
    </row>
  </sheetData>
  <mergeCells count="23">
    <mergeCell ref="A15:B15"/>
    <mergeCell ref="A64:B64"/>
    <mergeCell ref="A4:G4"/>
    <mergeCell ref="A36:B36"/>
    <mergeCell ref="A44:G44"/>
    <mergeCell ref="A58:G58"/>
    <mergeCell ref="A67:D67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5C8A52"/>
    <outlinePr summaryBelow="1" summaryRight="1"/>
    <pageSetUpPr/>
  </sheetPr>
  <dimension ref="A1:G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20" customWidth="1" min="7" max="7"/>
  </cols>
  <sheetData>
    <row r="1" ht="48" customHeight="1">
      <c r="A1" s="1" t="inlineStr">
        <is>
          <t>OCTOBER · MONTHLY BUDGET</t>
        </is>
      </c>
    </row>
    <row r="2" ht="20" customHeight="1">
      <c r="A2" s="2" t="inlineStr">
        <is>
          <t>Track your income and expenses for October</t>
        </is>
      </c>
    </row>
    <row r="3" ht="20" customHeight="1">
      <c r="A3" s="26" t="inlineStr">
        <is>
          <t>CATEGORY</t>
        </is>
      </c>
      <c r="B3" s="26" t="inlineStr">
        <is>
          <t>SUBCATEGORY</t>
        </is>
      </c>
      <c r="C3" s="26" t="inlineStr">
        <is>
          <t>BUDGETED</t>
        </is>
      </c>
      <c r="D3" s="26" t="inlineStr">
        <is>
          <t>ACTUAL</t>
        </is>
      </c>
      <c r="E3" s="26" t="inlineStr">
        <is>
          <t>DIFFERENCE</t>
        </is>
      </c>
      <c r="F3" s="26" t="inlineStr">
        <is>
          <t>% USED</t>
        </is>
      </c>
      <c r="G3" s="26" t="inlineStr">
        <is>
          <t>NOTES</t>
        </is>
      </c>
    </row>
    <row r="4" ht="22" customHeight="1">
      <c r="A4" s="9" t="inlineStr">
        <is>
          <t>INCOME</t>
        </is>
      </c>
    </row>
    <row r="5" ht="18" customHeight="1">
      <c r="A5" s="28" t="inlineStr">
        <is>
          <t>INCOME</t>
        </is>
      </c>
      <c r="B5" s="28" t="inlineStr">
        <is>
          <t>Primary Income</t>
        </is>
      </c>
      <c r="C5" s="14" t="n">
        <v>0</v>
      </c>
      <c r="D5" s="14" t="n">
        <v>0</v>
      </c>
      <c r="E5" s="27">
        <f>IFERROR(C5-D5,0)</f>
        <v/>
      </c>
      <c r="F5" s="23">
        <f>IFERROR(D5/C5,0)</f>
        <v/>
      </c>
      <c r="G5" s="28" t="inlineStr"/>
    </row>
    <row r="6" ht="18" customHeight="1">
      <c r="A6" s="31" t="inlineStr">
        <is>
          <t>INCOME</t>
        </is>
      </c>
      <c r="B6" s="31" t="inlineStr">
        <is>
          <t>Side Income</t>
        </is>
      </c>
      <c r="C6" s="20" t="n">
        <v>0</v>
      </c>
      <c r="D6" s="20" t="n">
        <v>0</v>
      </c>
      <c r="E6" s="39">
        <f>IFERROR(C6-D6,0)</f>
        <v/>
      </c>
      <c r="F6" s="40">
        <f>IFERROR(D6/C6,0)</f>
        <v/>
      </c>
      <c r="G6" s="31" t="inlineStr"/>
    </row>
    <row r="7" ht="18" customHeight="1">
      <c r="A7" s="28" t="inlineStr">
        <is>
          <t>INCOME</t>
        </is>
      </c>
      <c r="B7" s="28" t="inlineStr">
        <is>
          <t>Other Income</t>
        </is>
      </c>
      <c r="C7" s="14" t="n">
        <v>0</v>
      </c>
      <c r="D7" s="14" t="n">
        <v>0</v>
      </c>
      <c r="E7" s="27">
        <f>IFERROR(C7-D7,0)</f>
        <v/>
      </c>
      <c r="F7" s="23">
        <f>IFERROR(D7/C7,0)</f>
        <v/>
      </c>
      <c r="G7" s="28" t="inlineStr"/>
    </row>
    <row r="8" ht="20" customHeight="1">
      <c r="A8" s="41" t="inlineStr">
        <is>
          <t>TOTAL INCOME</t>
        </is>
      </c>
      <c r="C8" s="42">
        <f>SUM(C5:C7)</f>
        <v/>
      </c>
      <c r="D8" s="42">
        <f>SUM(D5:D7)</f>
        <v/>
      </c>
      <c r="E8" s="43">
        <f>IFERROR(C8-D8,0)</f>
        <v/>
      </c>
      <c r="F8" s="44">
        <f>IFERROR(D8/C8,0)</f>
        <v/>
      </c>
      <c r="G8" s="45" t="inlineStr"/>
    </row>
    <row r="9" ht="22" customHeight="1">
      <c r="A9" s="25" t="inlineStr">
        <is>
          <t>HOUSING</t>
        </is>
      </c>
    </row>
    <row r="10" ht="18" customHeight="1">
      <c r="A10" s="28" t="inlineStr">
        <is>
          <t>HOUSING</t>
        </is>
      </c>
      <c r="B10" s="28" t="inlineStr">
        <is>
          <t>Rent/Mortgage</t>
        </is>
      </c>
      <c r="C10" s="14" t="n">
        <v>0</v>
      </c>
      <c r="D10" s="14" t="n">
        <v>0</v>
      </c>
      <c r="E10" s="27">
        <f>IFERROR(C10-D10,0)</f>
        <v/>
      </c>
      <c r="F10" s="23">
        <f>IFERROR(D10/C10,0)</f>
        <v/>
      </c>
      <c r="G10" s="28" t="inlineStr"/>
    </row>
    <row r="11" ht="18" customHeight="1">
      <c r="A11" s="30" t="inlineStr">
        <is>
          <t>HOUSING</t>
        </is>
      </c>
      <c r="B11" s="30" t="inlineStr">
        <is>
          <t>Utilities</t>
        </is>
      </c>
      <c r="C11" s="46" t="n">
        <v>0</v>
      </c>
      <c r="D11" s="46" t="n">
        <v>0</v>
      </c>
      <c r="E11" s="17">
        <f>IFERROR(C11-D11,0)</f>
        <v/>
      </c>
      <c r="F11" s="47">
        <f>IFERROR(D11/C11,0)</f>
        <v/>
      </c>
      <c r="G11" s="30" t="inlineStr"/>
    </row>
    <row r="12" ht="18" customHeight="1">
      <c r="A12" s="28" t="inlineStr">
        <is>
          <t>HOUSING</t>
        </is>
      </c>
      <c r="B12" s="28" t="inlineStr">
        <is>
          <t>Electricity</t>
        </is>
      </c>
      <c r="C12" s="14" t="n">
        <v>0</v>
      </c>
      <c r="D12" s="14" t="n">
        <v>0</v>
      </c>
      <c r="E12" s="27">
        <f>IFERROR(C12-D12,0)</f>
        <v/>
      </c>
      <c r="F12" s="23">
        <f>IFERROR(D12/C12,0)</f>
        <v/>
      </c>
      <c r="G12" s="28" t="inlineStr"/>
    </row>
    <row r="13" ht="18" customHeight="1">
      <c r="A13" s="30" t="inlineStr">
        <is>
          <t>HOUSING</t>
        </is>
      </c>
      <c r="B13" s="30" t="inlineStr">
        <is>
          <t>Internet</t>
        </is>
      </c>
      <c r="C13" s="46" t="n">
        <v>0</v>
      </c>
      <c r="D13" s="46" t="n">
        <v>0</v>
      </c>
      <c r="E13" s="17">
        <f>IFERROR(C13-D13,0)</f>
        <v/>
      </c>
      <c r="F13" s="47">
        <f>IFERROR(D13/C13,0)</f>
        <v/>
      </c>
      <c r="G13" s="30" t="inlineStr"/>
    </row>
    <row r="14" ht="18" customHeight="1">
      <c r="A14" s="28" t="inlineStr">
        <is>
          <t>HOUSING</t>
        </is>
      </c>
      <c r="B14" s="28" t="inlineStr">
        <is>
          <t>Home Insurance</t>
        </is>
      </c>
      <c r="C14" s="14" t="n">
        <v>0</v>
      </c>
      <c r="D14" s="14" t="n">
        <v>0</v>
      </c>
      <c r="E14" s="27">
        <f>IFERROR(C14-D14,0)</f>
        <v/>
      </c>
      <c r="F14" s="23">
        <f>IFERROR(D14/C14,0)</f>
        <v/>
      </c>
      <c r="G14" s="28" t="inlineStr"/>
    </row>
    <row r="15" ht="20" customHeight="1">
      <c r="A15" s="41" t="inlineStr">
        <is>
          <t>HOUSING TOTAL</t>
        </is>
      </c>
      <c r="C15" s="42">
        <f>SUM(C10:C14)</f>
        <v/>
      </c>
      <c r="D15" s="42">
        <f>SUM(D10:D14)</f>
        <v/>
      </c>
      <c r="E15" s="43">
        <f>IFERROR(C15-D15,0)</f>
        <v/>
      </c>
      <c r="F15" s="44">
        <f>IFERROR(D15/C15,0)</f>
        <v/>
      </c>
      <c r="G15" s="45" t="inlineStr"/>
    </row>
    <row r="16" ht="22" customHeight="1">
      <c r="A16" s="25" t="inlineStr">
        <is>
          <t>TRANSPORT</t>
        </is>
      </c>
    </row>
    <row r="17" ht="18" customHeight="1">
      <c r="A17" s="28" t="inlineStr">
        <is>
          <t>TRANSPORT</t>
        </is>
      </c>
      <c r="B17" s="28" t="inlineStr">
        <is>
          <t>Car Payment</t>
        </is>
      </c>
      <c r="C17" s="14" t="n">
        <v>0</v>
      </c>
      <c r="D17" s="14" t="n">
        <v>0</v>
      </c>
      <c r="E17" s="27">
        <f>IFERROR(C17-D17,0)</f>
        <v/>
      </c>
      <c r="F17" s="23">
        <f>IFERROR(D17/C17,0)</f>
        <v/>
      </c>
      <c r="G17" s="28" t="inlineStr"/>
    </row>
    <row r="18" ht="18" customHeight="1">
      <c r="A18" s="30" t="inlineStr">
        <is>
          <t>TRANSPORT</t>
        </is>
      </c>
      <c r="B18" s="30" t="inlineStr">
        <is>
          <t>Fuel</t>
        </is>
      </c>
      <c r="C18" s="46" t="n">
        <v>0</v>
      </c>
      <c r="D18" s="46" t="n">
        <v>0</v>
      </c>
      <c r="E18" s="17">
        <f>IFERROR(C18-D18,0)</f>
        <v/>
      </c>
      <c r="F18" s="47">
        <f>IFERROR(D18/C18,0)</f>
        <v/>
      </c>
      <c r="G18" s="30" t="inlineStr"/>
    </row>
    <row r="19" ht="18" customHeight="1">
      <c r="A19" s="28" t="inlineStr">
        <is>
          <t>TRANSPORT</t>
        </is>
      </c>
      <c r="B19" s="28" t="inlineStr">
        <is>
          <t>Car Insurance</t>
        </is>
      </c>
      <c r="C19" s="14" t="n">
        <v>0</v>
      </c>
      <c r="D19" s="14" t="n">
        <v>0</v>
      </c>
      <c r="E19" s="27">
        <f>IFERROR(C19-D19,0)</f>
        <v/>
      </c>
      <c r="F19" s="23">
        <f>IFERROR(D19/C19,0)</f>
        <v/>
      </c>
      <c r="G19" s="28" t="inlineStr"/>
    </row>
    <row r="20" ht="18" customHeight="1">
      <c r="A20" s="30" t="inlineStr">
        <is>
          <t>TRANSPORT</t>
        </is>
      </c>
      <c r="B20" s="30" t="inlineStr">
        <is>
          <t>Parking</t>
        </is>
      </c>
      <c r="C20" s="46" t="n">
        <v>0</v>
      </c>
      <c r="D20" s="46" t="n">
        <v>0</v>
      </c>
      <c r="E20" s="17">
        <f>IFERROR(C20-D20,0)</f>
        <v/>
      </c>
      <c r="F20" s="47">
        <f>IFERROR(D20/C20,0)</f>
        <v/>
      </c>
      <c r="G20" s="30" t="inlineStr"/>
    </row>
    <row r="21" ht="18" customHeight="1">
      <c r="A21" s="28" t="inlineStr">
        <is>
          <t>TRANSPORT</t>
        </is>
      </c>
      <c r="B21" s="28" t="inlineStr">
        <is>
          <t>Public Transport</t>
        </is>
      </c>
      <c r="C21" s="14" t="n">
        <v>0</v>
      </c>
      <c r="D21" s="14" t="n">
        <v>0</v>
      </c>
      <c r="E21" s="27">
        <f>IFERROR(C21-D21,0)</f>
        <v/>
      </c>
      <c r="F21" s="23">
        <f>IFERROR(D21/C21,0)</f>
        <v/>
      </c>
      <c r="G21" s="28" t="inlineStr"/>
    </row>
    <row r="22" ht="20" customHeight="1">
      <c r="A22" s="41" t="inlineStr">
        <is>
          <t>TRANSPORT TOTAL</t>
        </is>
      </c>
      <c r="C22" s="42">
        <f>SUM(C17:C21)</f>
        <v/>
      </c>
      <c r="D22" s="42">
        <f>SUM(D17:D21)</f>
        <v/>
      </c>
      <c r="E22" s="43">
        <f>IFERROR(C22-D22,0)</f>
        <v/>
      </c>
      <c r="F22" s="44">
        <f>IFERROR(D22/C22,0)</f>
        <v/>
      </c>
      <c r="G22" s="45" t="inlineStr"/>
    </row>
    <row r="23" ht="22" customHeight="1">
      <c r="A23" s="25" t="inlineStr">
        <is>
          <t>FOOD &amp; DINING</t>
        </is>
      </c>
    </row>
    <row r="24" ht="18" customHeight="1">
      <c r="A24" s="28" t="inlineStr">
        <is>
          <t>FOOD &amp; DINING</t>
        </is>
      </c>
      <c r="B24" s="28" t="inlineStr">
        <is>
          <t>Groceries</t>
        </is>
      </c>
      <c r="C24" s="14" t="n">
        <v>0</v>
      </c>
      <c r="D24" s="14" t="n">
        <v>0</v>
      </c>
      <c r="E24" s="27">
        <f>IFERROR(C24-D24,0)</f>
        <v/>
      </c>
      <c r="F24" s="23">
        <f>IFERROR(D24/C24,0)</f>
        <v/>
      </c>
      <c r="G24" s="28" t="inlineStr"/>
    </row>
    <row r="25" ht="18" customHeight="1">
      <c r="A25" s="30" t="inlineStr">
        <is>
          <t>FOOD &amp; DINING</t>
        </is>
      </c>
      <c r="B25" s="30" t="inlineStr">
        <is>
          <t>Restaurants</t>
        </is>
      </c>
      <c r="C25" s="46" t="n">
        <v>0</v>
      </c>
      <c r="D25" s="46" t="n">
        <v>0</v>
      </c>
      <c r="E25" s="17">
        <f>IFERROR(C25-D25,0)</f>
        <v/>
      </c>
      <c r="F25" s="47">
        <f>IFERROR(D25/C25,0)</f>
        <v/>
      </c>
      <c r="G25" s="30" t="inlineStr"/>
    </row>
    <row r="26" ht="18" customHeight="1">
      <c r="A26" s="28" t="inlineStr">
        <is>
          <t>FOOD &amp; DINING</t>
        </is>
      </c>
      <c r="B26" s="28" t="inlineStr">
        <is>
          <t>Coffee</t>
        </is>
      </c>
      <c r="C26" s="14" t="n">
        <v>0</v>
      </c>
      <c r="D26" s="14" t="n">
        <v>0</v>
      </c>
      <c r="E26" s="27">
        <f>IFERROR(C26-D26,0)</f>
        <v/>
      </c>
      <c r="F26" s="23">
        <f>IFERROR(D26/C26,0)</f>
        <v/>
      </c>
      <c r="G26" s="28" t="inlineStr"/>
    </row>
    <row r="27" ht="18" customHeight="1">
      <c r="A27" s="30" t="inlineStr">
        <is>
          <t>FOOD &amp; DINING</t>
        </is>
      </c>
      <c r="B27" s="30" t="inlineStr">
        <is>
          <t>Food Delivery</t>
        </is>
      </c>
      <c r="C27" s="46" t="n">
        <v>0</v>
      </c>
      <c r="D27" s="46" t="n">
        <v>0</v>
      </c>
      <c r="E27" s="17">
        <f>IFERROR(C27-D27,0)</f>
        <v/>
      </c>
      <c r="F27" s="47">
        <f>IFERROR(D27/C27,0)</f>
        <v/>
      </c>
      <c r="G27" s="30" t="inlineStr"/>
    </row>
    <row r="28" ht="18" customHeight="1">
      <c r="A28" s="28" t="inlineStr">
        <is>
          <t>FOOD &amp; DINING</t>
        </is>
      </c>
      <c r="B28" s="28" t="inlineStr">
        <is>
          <t>Work Lunch</t>
        </is>
      </c>
      <c r="C28" s="14" t="n">
        <v>0</v>
      </c>
      <c r="D28" s="14" t="n">
        <v>0</v>
      </c>
      <c r="E28" s="27">
        <f>IFERROR(C28-D28,0)</f>
        <v/>
      </c>
      <c r="F28" s="23">
        <f>IFERROR(D28/C28,0)</f>
        <v/>
      </c>
      <c r="G28" s="28" t="inlineStr"/>
    </row>
    <row r="29" ht="20" customHeight="1">
      <c r="A29" s="41" t="inlineStr">
        <is>
          <t>FOOD &amp; DINING TOTAL</t>
        </is>
      </c>
      <c r="C29" s="42">
        <f>SUM(C24:C28)</f>
        <v/>
      </c>
      <c r="D29" s="42">
        <f>SUM(D24:D28)</f>
        <v/>
      </c>
      <c r="E29" s="43">
        <f>IFERROR(C29-D29,0)</f>
        <v/>
      </c>
      <c r="F29" s="44">
        <f>IFERROR(D29/C29,0)</f>
        <v/>
      </c>
      <c r="G29" s="45" t="inlineStr"/>
    </row>
    <row r="30" ht="22" customHeight="1">
      <c r="A30" s="25" t="inlineStr">
        <is>
          <t>HEALTH &amp; WELLNESS</t>
        </is>
      </c>
    </row>
    <row r="31" ht="18" customHeight="1">
      <c r="A31" s="28" t="inlineStr">
        <is>
          <t>HEALTH &amp; WELLNESS</t>
        </is>
      </c>
      <c r="B31" s="28" t="inlineStr">
        <is>
          <t>Health Insurance</t>
        </is>
      </c>
      <c r="C31" s="14" t="n">
        <v>0</v>
      </c>
      <c r="D31" s="14" t="n">
        <v>0</v>
      </c>
      <c r="E31" s="27">
        <f>IFERROR(C31-D31,0)</f>
        <v/>
      </c>
      <c r="F31" s="23">
        <f>IFERROR(D31/C31,0)</f>
        <v/>
      </c>
      <c r="G31" s="28" t="inlineStr"/>
    </row>
    <row r="32" ht="18" customHeight="1">
      <c r="A32" s="30" t="inlineStr">
        <is>
          <t>HEALTH &amp; WELLNESS</t>
        </is>
      </c>
      <c r="B32" s="30" t="inlineStr">
        <is>
          <t>Gym</t>
        </is>
      </c>
      <c r="C32" s="46" t="n">
        <v>0</v>
      </c>
      <c r="D32" s="46" t="n">
        <v>0</v>
      </c>
      <c r="E32" s="17">
        <f>IFERROR(C32-D32,0)</f>
        <v/>
      </c>
      <c r="F32" s="47">
        <f>IFERROR(D32/C32,0)</f>
        <v/>
      </c>
      <c r="G32" s="30" t="inlineStr"/>
    </row>
    <row r="33" ht="18" customHeight="1">
      <c r="A33" s="28" t="inlineStr">
        <is>
          <t>HEALTH &amp; WELLNESS</t>
        </is>
      </c>
      <c r="B33" s="28" t="inlineStr">
        <is>
          <t>Pharmacy</t>
        </is>
      </c>
      <c r="C33" s="14" t="n">
        <v>0</v>
      </c>
      <c r="D33" s="14" t="n">
        <v>0</v>
      </c>
      <c r="E33" s="27">
        <f>IFERROR(C33-D33,0)</f>
        <v/>
      </c>
      <c r="F33" s="23">
        <f>IFERROR(D33/C33,0)</f>
        <v/>
      </c>
      <c r="G33" s="28" t="inlineStr"/>
    </row>
    <row r="34" ht="18" customHeight="1">
      <c r="A34" s="30" t="inlineStr">
        <is>
          <t>HEALTH &amp; WELLNESS</t>
        </is>
      </c>
      <c r="B34" s="30" t="inlineStr">
        <is>
          <t>Doctor</t>
        </is>
      </c>
      <c r="C34" s="46" t="n">
        <v>0</v>
      </c>
      <c r="D34" s="46" t="n">
        <v>0</v>
      </c>
      <c r="E34" s="17">
        <f>IFERROR(C34-D34,0)</f>
        <v/>
      </c>
      <c r="F34" s="47">
        <f>IFERROR(D34/C34,0)</f>
        <v/>
      </c>
      <c r="G34" s="30" t="inlineStr"/>
    </row>
    <row r="35" ht="18" customHeight="1">
      <c r="A35" s="28" t="inlineStr">
        <is>
          <t>HEALTH &amp; WELLNESS</t>
        </is>
      </c>
      <c r="B35" s="28" t="inlineStr">
        <is>
          <t>Dental</t>
        </is>
      </c>
      <c r="C35" s="14" t="n">
        <v>0</v>
      </c>
      <c r="D35" s="14" t="n">
        <v>0</v>
      </c>
      <c r="E35" s="27">
        <f>IFERROR(C35-D35,0)</f>
        <v/>
      </c>
      <c r="F35" s="23">
        <f>IFERROR(D35/C35,0)</f>
        <v/>
      </c>
      <c r="G35" s="28" t="inlineStr"/>
    </row>
    <row r="36" ht="20" customHeight="1">
      <c r="A36" s="41" t="inlineStr">
        <is>
          <t>HEALTH &amp; WELLNESS TOTAL</t>
        </is>
      </c>
      <c r="C36" s="42">
        <f>SUM(C31:C35)</f>
        <v/>
      </c>
      <c r="D36" s="42">
        <f>SUM(D31:D35)</f>
        <v/>
      </c>
      <c r="E36" s="43">
        <f>IFERROR(C36-D36,0)</f>
        <v/>
      </c>
      <c r="F36" s="44">
        <f>IFERROR(D36/C36,0)</f>
        <v/>
      </c>
      <c r="G36" s="45" t="inlineStr"/>
    </row>
    <row r="37" ht="22" customHeight="1">
      <c r="A37" s="25" t="inlineStr">
        <is>
          <t>LIFESTYLE</t>
        </is>
      </c>
    </row>
    <row r="38" ht="18" customHeight="1">
      <c r="A38" s="28" t="inlineStr">
        <is>
          <t>LIFESTYLE</t>
        </is>
      </c>
      <c r="B38" s="28" t="inlineStr">
        <is>
          <t>Streaming Services</t>
        </is>
      </c>
      <c r="C38" s="14" t="n">
        <v>0</v>
      </c>
      <c r="D38" s="14" t="n">
        <v>0</v>
      </c>
      <c r="E38" s="27">
        <f>IFERROR(C38-D38,0)</f>
        <v/>
      </c>
      <c r="F38" s="23">
        <f>IFERROR(D38/C38,0)</f>
        <v/>
      </c>
      <c r="G38" s="28" t="inlineStr"/>
    </row>
    <row r="39" ht="18" customHeight="1">
      <c r="A39" s="30" t="inlineStr">
        <is>
          <t>LIFESTYLE</t>
        </is>
      </c>
      <c r="B39" s="30" t="inlineStr">
        <is>
          <t>Entertainment</t>
        </is>
      </c>
      <c r="C39" s="46" t="n">
        <v>0</v>
      </c>
      <c r="D39" s="46" t="n">
        <v>0</v>
      </c>
      <c r="E39" s="17">
        <f>IFERROR(C39-D39,0)</f>
        <v/>
      </c>
      <c r="F39" s="47">
        <f>IFERROR(D39/C39,0)</f>
        <v/>
      </c>
      <c r="G39" s="30" t="inlineStr"/>
    </row>
    <row r="40" ht="18" customHeight="1">
      <c r="A40" s="28" t="inlineStr">
        <is>
          <t>LIFESTYLE</t>
        </is>
      </c>
      <c r="B40" s="28" t="inlineStr">
        <is>
          <t>Hobbies</t>
        </is>
      </c>
      <c r="C40" s="14" t="n">
        <v>0</v>
      </c>
      <c r="D40" s="14" t="n">
        <v>0</v>
      </c>
      <c r="E40" s="27">
        <f>IFERROR(C40-D40,0)</f>
        <v/>
      </c>
      <c r="F40" s="23">
        <f>IFERROR(D40/C40,0)</f>
        <v/>
      </c>
      <c r="G40" s="28" t="inlineStr"/>
    </row>
    <row r="41" ht="18" customHeight="1">
      <c r="A41" s="30" t="inlineStr">
        <is>
          <t>LIFESTYLE</t>
        </is>
      </c>
      <c r="B41" s="30" t="inlineStr">
        <is>
          <t>Personal Care</t>
        </is>
      </c>
      <c r="C41" s="46" t="n">
        <v>0</v>
      </c>
      <c r="D41" s="46" t="n">
        <v>0</v>
      </c>
      <c r="E41" s="17">
        <f>IFERROR(C41-D41,0)</f>
        <v/>
      </c>
      <c r="F41" s="47">
        <f>IFERROR(D41/C41,0)</f>
        <v/>
      </c>
      <c r="G41" s="30" t="inlineStr"/>
    </row>
    <row r="42" ht="18" customHeight="1">
      <c r="A42" s="28" t="inlineStr">
        <is>
          <t>LIFESTYLE</t>
        </is>
      </c>
      <c r="B42" s="28" t="inlineStr">
        <is>
          <t>Books</t>
        </is>
      </c>
      <c r="C42" s="14" t="n">
        <v>0</v>
      </c>
      <c r="D42" s="14" t="n">
        <v>0</v>
      </c>
      <c r="E42" s="27">
        <f>IFERROR(C42-D42,0)</f>
        <v/>
      </c>
      <c r="F42" s="23">
        <f>IFERROR(D42/C42,0)</f>
        <v/>
      </c>
      <c r="G42" s="28" t="inlineStr"/>
    </row>
    <row r="43" ht="20" customHeight="1">
      <c r="A43" s="41" t="inlineStr">
        <is>
          <t>LIFESTYLE TOTAL</t>
        </is>
      </c>
      <c r="C43" s="42">
        <f>SUM(C38:C42)</f>
        <v/>
      </c>
      <c r="D43" s="42">
        <f>SUM(D38:D42)</f>
        <v/>
      </c>
      <c r="E43" s="43">
        <f>IFERROR(C43-D43,0)</f>
        <v/>
      </c>
      <c r="F43" s="44">
        <f>IFERROR(D43/C43,0)</f>
        <v/>
      </c>
      <c r="G43" s="45" t="inlineStr"/>
    </row>
    <row r="44" ht="22" customHeight="1">
      <c r="A44" s="25" t="inlineStr">
        <is>
          <t>PERSONAL</t>
        </is>
      </c>
    </row>
    <row r="45" ht="18" customHeight="1">
      <c r="A45" s="28" t="inlineStr">
        <is>
          <t>PERSONAL</t>
        </is>
      </c>
      <c r="B45" s="28" t="inlineStr">
        <is>
          <t>Clothing</t>
        </is>
      </c>
      <c r="C45" s="14" t="n">
        <v>0</v>
      </c>
      <c r="D45" s="14" t="n">
        <v>0</v>
      </c>
      <c r="E45" s="27">
        <f>IFERROR(C45-D45,0)</f>
        <v/>
      </c>
      <c r="F45" s="23">
        <f>IFERROR(D45/C45,0)</f>
        <v/>
      </c>
      <c r="G45" s="28" t="inlineStr"/>
    </row>
    <row r="46" ht="18" customHeight="1">
      <c r="A46" s="30" t="inlineStr">
        <is>
          <t>PERSONAL</t>
        </is>
      </c>
      <c r="B46" s="30" t="inlineStr">
        <is>
          <t>Gifts</t>
        </is>
      </c>
      <c r="C46" s="46" t="n">
        <v>0</v>
      </c>
      <c r="D46" s="46" t="n">
        <v>0</v>
      </c>
      <c r="E46" s="17">
        <f>IFERROR(C46-D46,0)</f>
        <v/>
      </c>
      <c r="F46" s="47">
        <f>IFERROR(D46/C46,0)</f>
        <v/>
      </c>
      <c r="G46" s="30" t="inlineStr"/>
    </row>
    <row r="47" ht="18" customHeight="1">
      <c r="A47" s="28" t="inlineStr">
        <is>
          <t>PERSONAL</t>
        </is>
      </c>
      <c r="B47" s="28" t="inlineStr">
        <is>
          <t>Education</t>
        </is>
      </c>
      <c r="C47" s="14" t="n">
        <v>0</v>
      </c>
      <c r="D47" s="14" t="n">
        <v>0</v>
      </c>
      <c r="E47" s="27">
        <f>IFERROR(C47-D47,0)</f>
        <v/>
      </c>
      <c r="F47" s="23">
        <f>IFERROR(D47/C47,0)</f>
        <v/>
      </c>
      <c r="G47" s="28" t="inlineStr"/>
    </row>
    <row r="48" ht="18" customHeight="1">
      <c r="A48" s="30" t="inlineStr">
        <is>
          <t>PERSONAL</t>
        </is>
      </c>
      <c r="B48" s="30" t="inlineStr">
        <is>
          <t>Pet Care</t>
        </is>
      </c>
      <c r="C48" s="46" t="n">
        <v>0</v>
      </c>
      <c r="D48" s="46" t="n">
        <v>0</v>
      </c>
      <c r="E48" s="17">
        <f>IFERROR(C48-D48,0)</f>
        <v/>
      </c>
      <c r="F48" s="47">
        <f>IFERROR(D48/C48,0)</f>
        <v/>
      </c>
      <c r="G48" s="30" t="inlineStr"/>
    </row>
    <row r="49" ht="18" customHeight="1">
      <c r="A49" s="28" t="inlineStr">
        <is>
          <t>PERSONAL</t>
        </is>
      </c>
      <c r="B49" s="28" t="inlineStr">
        <is>
          <t>Miscellaneous</t>
        </is>
      </c>
      <c r="C49" s="14" t="n">
        <v>0</v>
      </c>
      <c r="D49" s="14" t="n">
        <v>0</v>
      </c>
      <c r="E49" s="27">
        <f>IFERROR(C49-D49,0)</f>
        <v/>
      </c>
      <c r="F49" s="23">
        <f>IFERROR(D49/C49,0)</f>
        <v/>
      </c>
      <c r="G49" s="28" t="inlineStr"/>
    </row>
    <row r="50" ht="20" customHeight="1">
      <c r="A50" s="41" t="inlineStr">
        <is>
          <t>PERSONAL TOTAL</t>
        </is>
      </c>
      <c r="C50" s="42">
        <f>SUM(C45:C49)</f>
        <v/>
      </c>
      <c r="D50" s="42">
        <f>SUM(D45:D49)</f>
        <v/>
      </c>
      <c r="E50" s="43">
        <f>IFERROR(C50-D50,0)</f>
        <v/>
      </c>
      <c r="F50" s="44">
        <f>IFERROR(D50/C50,0)</f>
        <v/>
      </c>
      <c r="G50" s="45" t="inlineStr"/>
    </row>
    <row r="51" ht="22" customHeight="1">
      <c r="A51" s="25" t="inlineStr">
        <is>
          <t>SAVINGS &amp; INVESTMENTS</t>
        </is>
      </c>
    </row>
    <row r="52" ht="18" customHeight="1">
      <c r="A52" s="28" t="inlineStr">
        <is>
          <t>SAVINGS &amp; INVESTMENTS</t>
        </is>
      </c>
      <c r="B52" s="28" t="inlineStr">
        <is>
          <t>Emergency Fund</t>
        </is>
      </c>
      <c r="C52" s="14" t="n">
        <v>0</v>
      </c>
      <c r="D52" s="14" t="n">
        <v>0</v>
      </c>
      <c r="E52" s="27">
        <f>IFERROR(C52-D52,0)</f>
        <v/>
      </c>
      <c r="F52" s="23">
        <f>IFERROR(D52/C52,0)</f>
        <v/>
      </c>
      <c r="G52" s="28" t="inlineStr"/>
    </row>
    <row r="53" ht="18" customHeight="1">
      <c r="A53" s="30" t="inlineStr">
        <is>
          <t>SAVINGS &amp; INVESTMENTS</t>
        </is>
      </c>
      <c r="B53" s="30" t="inlineStr">
        <is>
          <t>Pension/IRA</t>
        </is>
      </c>
      <c r="C53" s="46" t="n">
        <v>0</v>
      </c>
      <c r="D53" s="46" t="n">
        <v>0</v>
      </c>
      <c r="E53" s="17">
        <f>IFERROR(C53-D53,0)</f>
        <v/>
      </c>
      <c r="F53" s="47">
        <f>IFERROR(D53/C53,0)</f>
        <v/>
      </c>
      <c r="G53" s="30" t="inlineStr"/>
    </row>
    <row r="54" ht="18" customHeight="1">
      <c r="A54" s="28" t="inlineStr">
        <is>
          <t>SAVINGS &amp; INVESTMENTS</t>
        </is>
      </c>
      <c r="B54" s="28" t="inlineStr">
        <is>
          <t>Stocks</t>
        </is>
      </c>
      <c r="C54" s="14" t="n">
        <v>0</v>
      </c>
      <c r="D54" s="14" t="n">
        <v>0</v>
      </c>
      <c r="E54" s="27">
        <f>IFERROR(C54-D54,0)</f>
        <v/>
      </c>
      <c r="F54" s="23">
        <f>IFERROR(D54/C54,0)</f>
        <v/>
      </c>
      <c r="G54" s="28" t="inlineStr"/>
    </row>
    <row r="55" ht="18" customHeight="1">
      <c r="A55" s="30" t="inlineStr">
        <is>
          <t>SAVINGS &amp; INVESTMENTS</t>
        </is>
      </c>
      <c r="B55" s="30" t="inlineStr">
        <is>
          <t>Vacation Fund</t>
        </is>
      </c>
      <c r="C55" s="46" t="n">
        <v>0</v>
      </c>
      <c r="D55" s="46" t="n">
        <v>0</v>
      </c>
      <c r="E55" s="17">
        <f>IFERROR(C55-D55,0)</f>
        <v/>
      </c>
      <c r="F55" s="47">
        <f>IFERROR(D55/C55,0)</f>
        <v/>
      </c>
      <c r="G55" s="30" t="inlineStr"/>
    </row>
    <row r="56" ht="18" customHeight="1">
      <c r="A56" s="28" t="inlineStr">
        <is>
          <t>SAVINGS &amp; INVESTMENTS</t>
        </is>
      </c>
      <c r="B56" s="28" t="inlineStr">
        <is>
          <t>Other Savings</t>
        </is>
      </c>
      <c r="C56" s="14" t="n">
        <v>0</v>
      </c>
      <c r="D56" s="14" t="n">
        <v>0</v>
      </c>
      <c r="E56" s="27">
        <f>IFERROR(C56-D56,0)</f>
        <v/>
      </c>
      <c r="F56" s="23">
        <f>IFERROR(D56/C56,0)</f>
        <v/>
      </c>
      <c r="G56" s="28" t="inlineStr"/>
    </row>
    <row r="57" ht="20" customHeight="1">
      <c r="A57" s="41" t="inlineStr">
        <is>
          <t>SAVINGS &amp; INVESTMENTS TOTAL</t>
        </is>
      </c>
      <c r="C57" s="42">
        <f>SUM(C52:C56)</f>
        <v/>
      </c>
      <c r="D57" s="42">
        <f>SUM(D52:D56)</f>
        <v/>
      </c>
      <c r="E57" s="43">
        <f>IFERROR(C57-D57,0)</f>
        <v/>
      </c>
      <c r="F57" s="44">
        <f>IFERROR(D57/C57,0)</f>
        <v/>
      </c>
      <c r="G57" s="45" t="inlineStr"/>
    </row>
    <row r="58" ht="22" customHeight="1">
      <c r="A58" s="25" t="inlineStr">
        <is>
          <t>DEBT PAYMENTS</t>
        </is>
      </c>
    </row>
    <row r="59" ht="18" customHeight="1">
      <c r="A59" s="28" t="inlineStr">
        <is>
          <t>DEBT PAYMENTS</t>
        </is>
      </c>
      <c r="B59" s="28" t="inlineStr">
        <is>
          <t>Credit Card 1</t>
        </is>
      </c>
      <c r="C59" s="14" t="n">
        <v>0</v>
      </c>
      <c r="D59" s="14" t="n">
        <v>0</v>
      </c>
      <c r="E59" s="27">
        <f>IFERROR(C59-D59,0)</f>
        <v/>
      </c>
      <c r="F59" s="23">
        <f>IFERROR(D59/C59,0)</f>
        <v/>
      </c>
      <c r="G59" s="28" t="inlineStr"/>
    </row>
    <row r="60" ht="18" customHeight="1">
      <c r="A60" s="30" t="inlineStr">
        <is>
          <t>DEBT PAYMENTS</t>
        </is>
      </c>
      <c r="B60" s="30" t="inlineStr">
        <is>
          <t>Credit Card 2</t>
        </is>
      </c>
      <c r="C60" s="46" t="n">
        <v>0</v>
      </c>
      <c r="D60" s="46" t="n">
        <v>0</v>
      </c>
      <c r="E60" s="17">
        <f>IFERROR(C60-D60,0)</f>
        <v/>
      </c>
      <c r="F60" s="47">
        <f>IFERROR(D60/C60,0)</f>
        <v/>
      </c>
      <c r="G60" s="30" t="inlineStr"/>
    </row>
    <row r="61" ht="18" customHeight="1">
      <c r="A61" s="28" t="inlineStr">
        <is>
          <t>DEBT PAYMENTS</t>
        </is>
      </c>
      <c r="B61" s="28" t="inlineStr">
        <is>
          <t>Student Loan</t>
        </is>
      </c>
      <c r="C61" s="14" t="n">
        <v>0</v>
      </c>
      <c r="D61" s="14" t="n">
        <v>0</v>
      </c>
      <c r="E61" s="27">
        <f>IFERROR(C61-D61,0)</f>
        <v/>
      </c>
      <c r="F61" s="23">
        <f>IFERROR(D61/C61,0)</f>
        <v/>
      </c>
      <c r="G61" s="28" t="inlineStr"/>
    </row>
    <row r="62" ht="18" customHeight="1">
      <c r="A62" s="30" t="inlineStr">
        <is>
          <t>DEBT PAYMENTS</t>
        </is>
      </c>
      <c r="B62" s="30" t="inlineStr">
        <is>
          <t>Car Loan</t>
        </is>
      </c>
      <c r="C62" s="46" t="n">
        <v>0</v>
      </c>
      <c r="D62" s="46" t="n">
        <v>0</v>
      </c>
      <c r="E62" s="17">
        <f>IFERROR(C62-D62,0)</f>
        <v/>
      </c>
      <c r="F62" s="47">
        <f>IFERROR(D62/C62,0)</f>
        <v/>
      </c>
      <c r="G62" s="30" t="inlineStr"/>
    </row>
    <row r="63" ht="18" customHeight="1">
      <c r="A63" s="28" t="inlineStr">
        <is>
          <t>DEBT PAYMENTS</t>
        </is>
      </c>
      <c r="B63" s="28" t="inlineStr">
        <is>
          <t>Other</t>
        </is>
      </c>
      <c r="C63" s="14" t="n">
        <v>0</v>
      </c>
      <c r="D63" s="14" t="n">
        <v>0</v>
      </c>
      <c r="E63" s="27">
        <f>IFERROR(C63-D63,0)</f>
        <v/>
      </c>
      <c r="F63" s="23">
        <f>IFERROR(D63/C63,0)</f>
        <v/>
      </c>
      <c r="G63" s="28" t="inlineStr"/>
    </row>
    <row r="64" ht="20" customHeight="1">
      <c r="A64" s="41" t="inlineStr">
        <is>
          <t>DEBT PAYMENTS TOTAL</t>
        </is>
      </c>
      <c r="C64" s="42">
        <f>SUM(C59:C63)</f>
        <v/>
      </c>
      <c r="D64" s="42">
        <f>SUM(D59:D63)</f>
        <v/>
      </c>
      <c r="E64" s="43">
        <f>IFERROR(C64-D64,0)</f>
        <v/>
      </c>
      <c r="F64" s="44">
        <f>IFERROR(D64/C64,0)</f>
        <v/>
      </c>
      <c r="G64" s="45" t="inlineStr"/>
    </row>
    <row r="65" ht="24" customHeight="1">
      <c r="A65" s="9" t="inlineStr">
        <is>
          <t>GRAND TOTAL EXPENSES</t>
        </is>
      </c>
      <c r="C65" s="48">
        <f>C15+C22+C29+C36+C43+C50+C57+C64</f>
        <v/>
      </c>
      <c r="D65" s="48">
        <f>D15+D22+D29+D36+D43+D50+D57+D64</f>
        <v/>
      </c>
      <c r="E65" s="49">
        <f>IFERROR(C65-D65,0)</f>
        <v/>
      </c>
      <c r="F65" s="50" t="inlineStr"/>
      <c r="G65" s="50" t="inlineStr"/>
    </row>
    <row r="66" ht="24" customHeight="1">
      <c r="A66" s="8" t="inlineStr">
        <is>
          <t>NET CASH FLOW</t>
        </is>
      </c>
      <c r="C66" s="51">
        <f>IFERROR(C8-C65,0)</f>
        <v/>
      </c>
      <c r="D66" s="51">
        <f>IFERROR(D8-D65,0)</f>
        <v/>
      </c>
      <c r="E66" s="52" t="inlineStr"/>
      <c r="F66" s="52" t="inlineStr"/>
      <c r="G66" s="52" t="inlineStr"/>
    </row>
    <row r="67" ht="22" customHeight="1">
      <c r="A67" s="53" t="inlineStr">
        <is>
          <t>BUDGET VS ACTUAL — CATEGORY OVERVIEW</t>
        </is>
      </c>
    </row>
    <row r="68" ht="18" customHeight="1">
      <c r="A68" s="12" t="inlineStr">
        <is>
          <t>HOUSING</t>
        </is>
      </c>
      <c r="B68" s="27">
        <f>C15</f>
        <v/>
      </c>
      <c r="C68" s="27">
        <f>D15</f>
        <v/>
      </c>
    </row>
    <row r="69" ht="18" customHeight="1">
      <c r="A69" s="15" t="inlineStr">
        <is>
          <t>TRANSPORT</t>
        </is>
      </c>
      <c r="B69" s="17">
        <f>C22</f>
        <v/>
      </c>
      <c r="C69" s="17">
        <f>D22</f>
        <v/>
      </c>
    </row>
    <row r="70" ht="18" customHeight="1">
      <c r="A70" s="12" t="inlineStr">
        <is>
          <t>FOOD &amp; DINING</t>
        </is>
      </c>
      <c r="B70" s="27">
        <f>C29</f>
        <v/>
      </c>
      <c r="C70" s="27">
        <f>D29</f>
        <v/>
      </c>
    </row>
    <row r="71" ht="18" customHeight="1">
      <c r="A71" s="15" t="inlineStr">
        <is>
          <t>HEALTH &amp; WELLNESS</t>
        </is>
      </c>
      <c r="B71" s="17">
        <f>C36</f>
        <v/>
      </c>
      <c r="C71" s="17">
        <f>D36</f>
        <v/>
      </c>
    </row>
    <row r="72" ht="18" customHeight="1">
      <c r="A72" s="12" t="inlineStr">
        <is>
          <t>LIFESTYLE</t>
        </is>
      </c>
      <c r="B72" s="27">
        <f>C43</f>
        <v/>
      </c>
      <c r="C72" s="27">
        <f>D43</f>
        <v/>
      </c>
    </row>
    <row r="73" ht="18" customHeight="1">
      <c r="A73" s="15" t="inlineStr">
        <is>
          <t>PERSONAL</t>
        </is>
      </c>
      <c r="B73" s="17">
        <f>C50</f>
        <v/>
      </c>
      <c r="C73" s="17">
        <f>D50</f>
        <v/>
      </c>
    </row>
    <row r="74" ht="18" customHeight="1">
      <c r="A74" s="12" t="inlineStr">
        <is>
          <t>SAVINGS &amp; INVESTMENTS</t>
        </is>
      </c>
      <c r="B74" s="27">
        <f>C57</f>
        <v/>
      </c>
      <c r="C74" s="27">
        <f>D57</f>
        <v/>
      </c>
    </row>
    <row r="75" ht="18" customHeight="1">
      <c r="A75" s="15" t="inlineStr">
        <is>
          <t>DEBT PAYMENTS</t>
        </is>
      </c>
      <c r="B75" s="17">
        <f>C64</f>
        <v/>
      </c>
      <c r="C75" s="17">
        <f>D64</f>
        <v/>
      </c>
    </row>
  </sheetData>
  <mergeCells count="23">
    <mergeCell ref="A15:B15"/>
    <mergeCell ref="A64:B64"/>
    <mergeCell ref="A4:G4"/>
    <mergeCell ref="A36:B36"/>
    <mergeCell ref="A44:G44"/>
    <mergeCell ref="A58:G58"/>
    <mergeCell ref="A67:D67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5C8A52"/>
    <outlinePr summaryBelow="1" summaryRight="1"/>
    <pageSetUpPr/>
  </sheetPr>
  <dimension ref="A1:G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20" customWidth="1" min="7" max="7"/>
  </cols>
  <sheetData>
    <row r="1" ht="48" customHeight="1">
      <c r="A1" s="1" t="inlineStr">
        <is>
          <t>NOVEMBER · MONTHLY BUDGET</t>
        </is>
      </c>
    </row>
    <row r="2" ht="20" customHeight="1">
      <c r="A2" s="2" t="inlineStr">
        <is>
          <t>Track your income and expenses for November</t>
        </is>
      </c>
    </row>
    <row r="3" ht="20" customHeight="1">
      <c r="A3" s="26" t="inlineStr">
        <is>
          <t>CATEGORY</t>
        </is>
      </c>
      <c r="B3" s="26" t="inlineStr">
        <is>
          <t>SUBCATEGORY</t>
        </is>
      </c>
      <c r="C3" s="26" t="inlineStr">
        <is>
          <t>BUDGETED</t>
        </is>
      </c>
      <c r="D3" s="26" t="inlineStr">
        <is>
          <t>ACTUAL</t>
        </is>
      </c>
      <c r="E3" s="26" t="inlineStr">
        <is>
          <t>DIFFERENCE</t>
        </is>
      </c>
      <c r="F3" s="26" t="inlineStr">
        <is>
          <t>% USED</t>
        </is>
      </c>
      <c r="G3" s="26" t="inlineStr">
        <is>
          <t>NOTES</t>
        </is>
      </c>
    </row>
    <row r="4" ht="22" customHeight="1">
      <c r="A4" s="9" t="inlineStr">
        <is>
          <t>INCOME</t>
        </is>
      </c>
    </row>
    <row r="5" ht="18" customHeight="1">
      <c r="A5" s="28" t="inlineStr">
        <is>
          <t>INCOME</t>
        </is>
      </c>
      <c r="B5" s="28" t="inlineStr">
        <is>
          <t>Primary Income</t>
        </is>
      </c>
      <c r="C5" s="14" t="n">
        <v>0</v>
      </c>
      <c r="D5" s="14" t="n">
        <v>0</v>
      </c>
      <c r="E5" s="27">
        <f>IFERROR(C5-D5,0)</f>
        <v/>
      </c>
      <c r="F5" s="23">
        <f>IFERROR(D5/C5,0)</f>
        <v/>
      </c>
      <c r="G5" s="28" t="inlineStr"/>
    </row>
    <row r="6" ht="18" customHeight="1">
      <c r="A6" s="31" t="inlineStr">
        <is>
          <t>INCOME</t>
        </is>
      </c>
      <c r="B6" s="31" t="inlineStr">
        <is>
          <t>Side Income</t>
        </is>
      </c>
      <c r="C6" s="20" t="n">
        <v>0</v>
      </c>
      <c r="D6" s="20" t="n">
        <v>0</v>
      </c>
      <c r="E6" s="39">
        <f>IFERROR(C6-D6,0)</f>
        <v/>
      </c>
      <c r="F6" s="40">
        <f>IFERROR(D6/C6,0)</f>
        <v/>
      </c>
      <c r="G6" s="31" t="inlineStr"/>
    </row>
    <row r="7" ht="18" customHeight="1">
      <c r="A7" s="28" t="inlineStr">
        <is>
          <t>INCOME</t>
        </is>
      </c>
      <c r="B7" s="28" t="inlineStr">
        <is>
          <t>Other Income</t>
        </is>
      </c>
      <c r="C7" s="14" t="n">
        <v>0</v>
      </c>
      <c r="D7" s="14" t="n">
        <v>0</v>
      </c>
      <c r="E7" s="27">
        <f>IFERROR(C7-D7,0)</f>
        <v/>
      </c>
      <c r="F7" s="23">
        <f>IFERROR(D7/C7,0)</f>
        <v/>
      </c>
      <c r="G7" s="28" t="inlineStr"/>
    </row>
    <row r="8" ht="20" customHeight="1">
      <c r="A8" s="41" t="inlineStr">
        <is>
          <t>TOTAL INCOME</t>
        </is>
      </c>
      <c r="C8" s="42">
        <f>SUM(C5:C7)</f>
        <v/>
      </c>
      <c r="D8" s="42">
        <f>SUM(D5:D7)</f>
        <v/>
      </c>
      <c r="E8" s="43">
        <f>IFERROR(C8-D8,0)</f>
        <v/>
      </c>
      <c r="F8" s="44">
        <f>IFERROR(D8/C8,0)</f>
        <v/>
      </c>
      <c r="G8" s="45" t="inlineStr"/>
    </row>
    <row r="9" ht="22" customHeight="1">
      <c r="A9" s="25" t="inlineStr">
        <is>
          <t>HOUSING</t>
        </is>
      </c>
    </row>
    <row r="10" ht="18" customHeight="1">
      <c r="A10" s="28" t="inlineStr">
        <is>
          <t>HOUSING</t>
        </is>
      </c>
      <c r="B10" s="28" t="inlineStr">
        <is>
          <t>Rent/Mortgage</t>
        </is>
      </c>
      <c r="C10" s="14" t="n">
        <v>0</v>
      </c>
      <c r="D10" s="14" t="n">
        <v>0</v>
      </c>
      <c r="E10" s="27">
        <f>IFERROR(C10-D10,0)</f>
        <v/>
      </c>
      <c r="F10" s="23">
        <f>IFERROR(D10/C10,0)</f>
        <v/>
      </c>
      <c r="G10" s="28" t="inlineStr"/>
    </row>
    <row r="11" ht="18" customHeight="1">
      <c r="A11" s="30" t="inlineStr">
        <is>
          <t>HOUSING</t>
        </is>
      </c>
      <c r="B11" s="30" t="inlineStr">
        <is>
          <t>Utilities</t>
        </is>
      </c>
      <c r="C11" s="46" t="n">
        <v>0</v>
      </c>
      <c r="D11" s="46" t="n">
        <v>0</v>
      </c>
      <c r="E11" s="17">
        <f>IFERROR(C11-D11,0)</f>
        <v/>
      </c>
      <c r="F11" s="47">
        <f>IFERROR(D11/C11,0)</f>
        <v/>
      </c>
      <c r="G11" s="30" t="inlineStr"/>
    </row>
    <row r="12" ht="18" customHeight="1">
      <c r="A12" s="28" t="inlineStr">
        <is>
          <t>HOUSING</t>
        </is>
      </c>
      <c r="B12" s="28" t="inlineStr">
        <is>
          <t>Electricity</t>
        </is>
      </c>
      <c r="C12" s="14" t="n">
        <v>0</v>
      </c>
      <c r="D12" s="14" t="n">
        <v>0</v>
      </c>
      <c r="E12" s="27">
        <f>IFERROR(C12-D12,0)</f>
        <v/>
      </c>
      <c r="F12" s="23">
        <f>IFERROR(D12/C12,0)</f>
        <v/>
      </c>
      <c r="G12" s="28" t="inlineStr"/>
    </row>
    <row r="13" ht="18" customHeight="1">
      <c r="A13" s="30" t="inlineStr">
        <is>
          <t>HOUSING</t>
        </is>
      </c>
      <c r="B13" s="30" t="inlineStr">
        <is>
          <t>Internet</t>
        </is>
      </c>
      <c r="C13" s="46" t="n">
        <v>0</v>
      </c>
      <c r="D13" s="46" t="n">
        <v>0</v>
      </c>
      <c r="E13" s="17">
        <f>IFERROR(C13-D13,0)</f>
        <v/>
      </c>
      <c r="F13" s="47">
        <f>IFERROR(D13/C13,0)</f>
        <v/>
      </c>
      <c r="G13" s="30" t="inlineStr"/>
    </row>
    <row r="14" ht="18" customHeight="1">
      <c r="A14" s="28" t="inlineStr">
        <is>
          <t>HOUSING</t>
        </is>
      </c>
      <c r="B14" s="28" t="inlineStr">
        <is>
          <t>Home Insurance</t>
        </is>
      </c>
      <c r="C14" s="14" t="n">
        <v>0</v>
      </c>
      <c r="D14" s="14" t="n">
        <v>0</v>
      </c>
      <c r="E14" s="27">
        <f>IFERROR(C14-D14,0)</f>
        <v/>
      </c>
      <c r="F14" s="23">
        <f>IFERROR(D14/C14,0)</f>
        <v/>
      </c>
      <c r="G14" s="28" t="inlineStr"/>
    </row>
    <row r="15" ht="20" customHeight="1">
      <c r="A15" s="41" t="inlineStr">
        <is>
          <t>HOUSING TOTAL</t>
        </is>
      </c>
      <c r="C15" s="42">
        <f>SUM(C10:C14)</f>
        <v/>
      </c>
      <c r="D15" s="42">
        <f>SUM(D10:D14)</f>
        <v/>
      </c>
      <c r="E15" s="43">
        <f>IFERROR(C15-D15,0)</f>
        <v/>
      </c>
      <c r="F15" s="44">
        <f>IFERROR(D15/C15,0)</f>
        <v/>
      </c>
      <c r="G15" s="45" t="inlineStr"/>
    </row>
    <row r="16" ht="22" customHeight="1">
      <c r="A16" s="25" t="inlineStr">
        <is>
          <t>TRANSPORT</t>
        </is>
      </c>
    </row>
    <row r="17" ht="18" customHeight="1">
      <c r="A17" s="28" t="inlineStr">
        <is>
          <t>TRANSPORT</t>
        </is>
      </c>
      <c r="B17" s="28" t="inlineStr">
        <is>
          <t>Car Payment</t>
        </is>
      </c>
      <c r="C17" s="14" t="n">
        <v>0</v>
      </c>
      <c r="D17" s="14" t="n">
        <v>0</v>
      </c>
      <c r="E17" s="27">
        <f>IFERROR(C17-D17,0)</f>
        <v/>
      </c>
      <c r="F17" s="23">
        <f>IFERROR(D17/C17,0)</f>
        <v/>
      </c>
      <c r="G17" s="28" t="inlineStr"/>
    </row>
    <row r="18" ht="18" customHeight="1">
      <c r="A18" s="30" t="inlineStr">
        <is>
          <t>TRANSPORT</t>
        </is>
      </c>
      <c r="B18" s="30" t="inlineStr">
        <is>
          <t>Fuel</t>
        </is>
      </c>
      <c r="C18" s="46" t="n">
        <v>0</v>
      </c>
      <c r="D18" s="46" t="n">
        <v>0</v>
      </c>
      <c r="E18" s="17">
        <f>IFERROR(C18-D18,0)</f>
        <v/>
      </c>
      <c r="F18" s="47">
        <f>IFERROR(D18/C18,0)</f>
        <v/>
      </c>
      <c r="G18" s="30" t="inlineStr"/>
    </row>
    <row r="19" ht="18" customHeight="1">
      <c r="A19" s="28" t="inlineStr">
        <is>
          <t>TRANSPORT</t>
        </is>
      </c>
      <c r="B19" s="28" t="inlineStr">
        <is>
          <t>Car Insurance</t>
        </is>
      </c>
      <c r="C19" s="14" t="n">
        <v>0</v>
      </c>
      <c r="D19" s="14" t="n">
        <v>0</v>
      </c>
      <c r="E19" s="27">
        <f>IFERROR(C19-D19,0)</f>
        <v/>
      </c>
      <c r="F19" s="23">
        <f>IFERROR(D19/C19,0)</f>
        <v/>
      </c>
      <c r="G19" s="28" t="inlineStr"/>
    </row>
    <row r="20" ht="18" customHeight="1">
      <c r="A20" s="30" t="inlineStr">
        <is>
          <t>TRANSPORT</t>
        </is>
      </c>
      <c r="B20" s="30" t="inlineStr">
        <is>
          <t>Parking</t>
        </is>
      </c>
      <c r="C20" s="46" t="n">
        <v>0</v>
      </c>
      <c r="D20" s="46" t="n">
        <v>0</v>
      </c>
      <c r="E20" s="17">
        <f>IFERROR(C20-D20,0)</f>
        <v/>
      </c>
      <c r="F20" s="47">
        <f>IFERROR(D20/C20,0)</f>
        <v/>
      </c>
      <c r="G20" s="30" t="inlineStr"/>
    </row>
    <row r="21" ht="18" customHeight="1">
      <c r="A21" s="28" t="inlineStr">
        <is>
          <t>TRANSPORT</t>
        </is>
      </c>
      <c r="B21" s="28" t="inlineStr">
        <is>
          <t>Public Transport</t>
        </is>
      </c>
      <c r="C21" s="14" t="n">
        <v>0</v>
      </c>
      <c r="D21" s="14" t="n">
        <v>0</v>
      </c>
      <c r="E21" s="27">
        <f>IFERROR(C21-D21,0)</f>
        <v/>
      </c>
      <c r="F21" s="23">
        <f>IFERROR(D21/C21,0)</f>
        <v/>
      </c>
      <c r="G21" s="28" t="inlineStr"/>
    </row>
    <row r="22" ht="20" customHeight="1">
      <c r="A22" s="41" t="inlineStr">
        <is>
          <t>TRANSPORT TOTAL</t>
        </is>
      </c>
      <c r="C22" s="42">
        <f>SUM(C17:C21)</f>
        <v/>
      </c>
      <c r="D22" s="42">
        <f>SUM(D17:D21)</f>
        <v/>
      </c>
      <c r="E22" s="43">
        <f>IFERROR(C22-D22,0)</f>
        <v/>
      </c>
      <c r="F22" s="44">
        <f>IFERROR(D22/C22,0)</f>
        <v/>
      </c>
      <c r="G22" s="45" t="inlineStr"/>
    </row>
    <row r="23" ht="22" customHeight="1">
      <c r="A23" s="25" t="inlineStr">
        <is>
          <t>FOOD &amp; DINING</t>
        </is>
      </c>
    </row>
    <row r="24" ht="18" customHeight="1">
      <c r="A24" s="28" t="inlineStr">
        <is>
          <t>FOOD &amp; DINING</t>
        </is>
      </c>
      <c r="B24" s="28" t="inlineStr">
        <is>
          <t>Groceries</t>
        </is>
      </c>
      <c r="C24" s="14" t="n">
        <v>0</v>
      </c>
      <c r="D24" s="14" t="n">
        <v>0</v>
      </c>
      <c r="E24" s="27">
        <f>IFERROR(C24-D24,0)</f>
        <v/>
      </c>
      <c r="F24" s="23">
        <f>IFERROR(D24/C24,0)</f>
        <v/>
      </c>
      <c r="G24" s="28" t="inlineStr"/>
    </row>
    <row r="25" ht="18" customHeight="1">
      <c r="A25" s="30" t="inlineStr">
        <is>
          <t>FOOD &amp; DINING</t>
        </is>
      </c>
      <c r="B25" s="30" t="inlineStr">
        <is>
          <t>Restaurants</t>
        </is>
      </c>
      <c r="C25" s="46" t="n">
        <v>0</v>
      </c>
      <c r="D25" s="46" t="n">
        <v>0</v>
      </c>
      <c r="E25" s="17">
        <f>IFERROR(C25-D25,0)</f>
        <v/>
      </c>
      <c r="F25" s="47">
        <f>IFERROR(D25/C25,0)</f>
        <v/>
      </c>
      <c r="G25" s="30" t="inlineStr"/>
    </row>
    <row r="26" ht="18" customHeight="1">
      <c r="A26" s="28" t="inlineStr">
        <is>
          <t>FOOD &amp; DINING</t>
        </is>
      </c>
      <c r="B26" s="28" t="inlineStr">
        <is>
          <t>Coffee</t>
        </is>
      </c>
      <c r="C26" s="14" t="n">
        <v>0</v>
      </c>
      <c r="D26" s="14" t="n">
        <v>0</v>
      </c>
      <c r="E26" s="27">
        <f>IFERROR(C26-D26,0)</f>
        <v/>
      </c>
      <c r="F26" s="23">
        <f>IFERROR(D26/C26,0)</f>
        <v/>
      </c>
      <c r="G26" s="28" t="inlineStr"/>
    </row>
    <row r="27" ht="18" customHeight="1">
      <c r="A27" s="30" t="inlineStr">
        <is>
          <t>FOOD &amp; DINING</t>
        </is>
      </c>
      <c r="B27" s="30" t="inlineStr">
        <is>
          <t>Food Delivery</t>
        </is>
      </c>
      <c r="C27" s="46" t="n">
        <v>0</v>
      </c>
      <c r="D27" s="46" t="n">
        <v>0</v>
      </c>
      <c r="E27" s="17">
        <f>IFERROR(C27-D27,0)</f>
        <v/>
      </c>
      <c r="F27" s="47">
        <f>IFERROR(D27/C27,0)</f>
        <v/>
      </c>
      <c r="G27" s="30" t="inlineStr"/>
    </row>
    <row r="28" ht="18" customHeight="1">
      <c r="A28" s="28" t="inlineStr">
        <is>
          <t>FOOD &amp; DINING</t>
        </is>
      </c>
      <c r="B28" s="28" t="inlineStr">
        <is>
          <t>Work Lunch</t>
        </is>
      </c>
      <c r="C28" s="14" t="n">
        <v>0</v>
      </c>
      <c r="D28" s="14" t="n">
        <v>0</v>
      </c>
      <c r="E28" s="27">
        <f>IFERROR(C28-D28,0)</f>
        <v/>
      </c>
      <c r="F28" s="23">
        <f>IFERROR(D28/C28,0)</f>
        <v/>
      </c>
      <c r="G28" s="28" t="inlineStr"/>
    </row>
    <row r="29" ht="20" customHeight="1">
      <c r="A29" s="41" t="inlineStr">
        <is>
          <t>FOOD &amp; DINING TOTAL</t>
        </is>
      </c>
      <c r="C29" s="42">
        <f>SUM(C24:C28)</f>
        <v/>
      </c>
      <c r="D29" s="42">
        <f>SUM(D24:D28)</f>
        <v/>
      </c>
      <c r="E29" s="43">
        <f>IFERROR(C29-D29,0)</f>
        <v/>
      </c>
      <c r="F29" s="44">
        <f>IFERROR(D29/C29,0)</f>
        <v/>
      </c>
      <c r="G29" s="45" t="inlineStr"/>
    </row>
    <row r="30" ht="22" customHeight="1">
      <c r="A30" s="25" t="inlineStr">
        <is>
          <t>HEALTH &amp; WELLNESS</t>
        </is>
      </c>
    </row>
    <row r="31" ht="18" customHeight="1">
      <c r="A31" s="28" t="inlineStr">
        <is>
          <t>HEALTH &amp; WELLNESS</t>
        </is>
      </c>
      <c r="B31" s="28" t="inlineStr">
        <is>
          <t>Health Insurance</t>
        </is>
      </c>
      <c r="C31" s="14" t="n">
        <v>0</v>
      </c>
      <c r="D31" s="14" t="n">
        <v>0</v>
      </c>
      <c r="E31" s="27">
        <f>IFERROR(C31-D31,0)</f>
        <v/>
      </c>
      <c r="F31" s="23">
        <f>IFERROR(D31/C31,0)</f>
        <v/>
      </c>
      <c r="G31" s="28" t="inlineStr"/>
    </row>
    <row r="32" ht="18" customHeight="1">
      <c r="A32" s="30" t="inlineStr">
        <is>
          <t>HEALTH &amp; WELLNESS</t>
        </is>
      </c>
      <c r="B32" s="30" t="inlineStr">
        <is>
          <t>Gym</t>
        </is>
      </c>
      <c r="C32" s="46" t="n">
        <v>0</v>
      </c>
      <c r="D32" s="46" t="n">
        <v>0</v>
      </c>
      <c r="E32" s="17">
        <f>IFERROR(C32-D32,0)</f>
        <v/>
      </c>
      <c r="F32" s="47">
        <f>IFERROR(D32/C32,0)</f>
        <v/>
      </c>
      <c r="G32" s="30" t="inlineStr"/>
    </row>
    <row r="33" ht="18" customHeight="1">
      <c r="A33" s="28" t="inlineStr">
        <is>
          <t>HEALTH &amp; WELLNESS</t>
        </is>
      </c>
      <c r="B33" s="28" t="inlineStr">
        <is>
          <t>Pharmacy</t>
        </is>
      </c>
      <c r="C33" s="14" t="n">
        <v>0</v>
      </c>
      <c r="D33" s="14" t="n">
        <v>0</v>
      </c>
      <c r="E33" s="27">
        <f>IFERROR(C33-D33,0)</f>
        <v/>
      </c>
      <c r="F33" s="23">
        <f>IFERROR(D33/C33,0)</f>
        <v/>
      </c>
      <c r="G33" s="28" t="inlineStr"/>
    </row>
    <row r="34" ht="18" customHeight="1">
      <c r="A34" s="30" t="inlineStr">
        <is>
          <t>HEALTH &amp; WELLNESS</t>
        </is>
      </c>
      <c r="B34" s="30" t="inlineStr">
        <is>
          <t>Doctor</t>
        </is>
      </c>
      <c r="C34" s="46" t="n">
        <v>0</v>
      </c>
      <c r="D34" s="46" t="n">
        <v>0</v>
      </c>
      <c r="E34" s="17">
        <f>IFERROR(C34-D34,0)</f>
        <v/>
      </c>
      <c r="F34" s="47">
        <f>IFERROR(D34/C34,0)</f>
        <v/>
      </c>
      <c r="G34" s="30" t="inlineStr"/>
    </row>
    <row r="35" ht="18" customHeight="1">
      <c r="A35" s="28" t="inlineStr">
        <is>
          <t>HEALTH &amp; WELLNESS</t>
        </is>
      </c>
      <c r="B35" s="28" t="inlineStr">
        <is>
          <t>Dental</t>
        </is>
      </c>
      <c r="C35" s="14" t="n">
        <v>0</v>
      </c>
      <c r="D35" s="14" t="n">
        <v>0</v>
      </c>
      <c r="E35" s="27">
        <f>IFERROR(C35-D35,0)</f>
        <v/>
      </c>
      <c r="F35" s="23">
        <f>IFERROR(D35/C35,0)</f>
        <v/>
      </c>
      <c r="G35" s="28" t="inlineStr"/>
    </row>
    <row r="36" ht="20" customHeight="1">
      <c r="A36" s="41" t="inlineStr">
        <is>
          <t>HEALTH &amp; WELLNESS TOTAL</t>
        </is>
      </c>
      <c r="C36" s="42">
        <f>SUM(C31:C35)</f>
        <v/>
      </c>
      <c r="D36" s="42">
        <f>SUM(D31:D35)</f>
        <v/>
      </c>
      <c r="E36" s="43">
        <f>IFERROR(C36-D36,0)</f>
        <v/>
      </c>
      <c r="F36" s="44">
        <f>IFERROR(D36/C36,0)</f>
        <v/>
      </c>
      <c r="G36" s="45" t="inlineStr"/>
    </row>
    <row r="37" ht="22" customHeight="1">
      <c r="A37" s="25" t="inlineStr">
        <is>
          <t>LIFESTYLE</t>
        </is>
      </c>
    </row>
    <row r="38" ht="18" customHeight="1">
      <c r="A38" s="28" t="inlineStr">
        <is>
          <t>LIFESTYLE</t>
        </is>
      </c>
      <c r="B38" s="28" t="inlineStr">
        <is>
          <t>Streaming Services</t>
        </is>
      </c>
      <c r="C38" s="14" t="n">
        <v>0</v>
      </c>
      <c r="D38" s="14" t="n">
        <v>0</v>
      </c>
      <c r="E38" s="27">
        <f>IFERROR(C38-D38,0)</f>
        <v/>
      </c>
      <c r="F38" s="23">
        <f>IFERROR(D38/C38,0)</f>
        <v/>
      </c>
      <c r="G38" s="28" t="inlineStr"/>
    </row>
    <row r="39" ht="18" customHeight="1">
      <c r="A39" s="30" t="inlineStr">
        <is>
          <t>LIFESTYLE</t>
        </is>
      </c>
      <c r="B39" s="30" t="inlineStr">
        <is>
          <t>Entertainment</t>
        </is>
      </c>
      <c r="C39" s="46" t="n">
        <v>0</v>
      </c>
      <c r="D39" s="46" t="n">
        <v>0</v>
      </c>
      <c r="E39" s="17">
        <f>IFERROR(C39-D39,0)</f>
        <v/>
      </c>
      <c r="F39" s="47">
        <f>IFERROR(D39/C39,0)</f>
        <v/>
      </c>
      <c r="G39" s="30" t="inlineStr"/>
    </row>
    <row r="40" ht="18" customHeight="1">
      <c r="A40" s="28" t="inlineStr">
        <is>
          <t>LIFESTYLE</t>
        </is>
      </c>
      <c r="B40" s="28" t="inlineStr">
        <is>
          <t>Hobbies</t>
        </is>
      </c>
      <c r="C40" s="14" t="n">
        <v>0</v>
      </c>
      <c r="D40" s="14" t="n">
        <v>0</v>
      </c>
      <c r="E40" s="27">
        <f>IFERROR(C40-D40,0)</f>
        <v/>
      </c>
      <c r="F40" s="23">
        <f>IFERROR(D40/C40,0)</f>
        <v/>
      </c>
      <c r="G40" s="28" t="inlineStr"/>
    </row>
    <row r="41" ht="18" customHeight="1">
      <c r="A41" s="30" t="inlineStr">
        <is>
          <t>LIFESTYLE</t>
        </is>
      </c>
      <c r="B41" s="30" t="inlineStr">
        <is>
          <t>Personal Care</t>
        </is>
      </c>
      <c r="C41" s="46" t="n">
        <v>0</v>
      </c>
      <c r="D41" s="46" t="n">
        <v>0</v>
      </c>
      <c r="E41" s="17">
        <f>IFERROR(C41-D41,0)</f>
        <v/>
      </c>
      <c r="F41" s="47">
        <f>IFERROR(D41/C41,0)</f>
        <v/>
      </c>
      <c r="G41" s="30" t="inlineStr"/>
    </row>
    <row r="42" ht="18" customHeight="1">
      <c r="A42" s="28" t="inlineStr">
        <is>
          <t>LIFESTYLE</t>
        </is>
      </c>
      <c r="B42" s="28" t="inlineStr">
        <is>
          <t>Books</t>
        </is>
      </c>
      <c r="C42" s="14" t="n">
        <v>0</v>
      </c>
      <c r="D42" s="14" t="n">
        <v>0</v>
      </c>
      <c r="E42" s="27">
        <f>IFERROR(C42-D42,0)</f>
        <v/>
      </c>
      <c r="F42" s="23">
        <f>IFERROR(D42/C42,0)</f>
        <v/>
      </c>
      <c r="G42" s="28" t="inlineStr"/>
    </row>
    <row r="43" ht="20" customHeight="1">
      <c r="A43" s="41" t="inlineStr">
        <is>
          <t>LIFESTYLE TOTAL</t>
        </is>
      </c>
      <c r="C43" s="42">
        <f>SUM(C38:C42)</f>
        <v/>
      </c>
      <c r="D43" s="42">
        <f>SUM(D38:D42)</f>
        <v/>
      </c>
      <c r="E43" s="43">
        <f>IFERROR(C43-D43,0)</f>
        <v/>
      </c>
      <c r="F43" s="44">
        <f>IFERROR(D43/C43,0)</f>
        <v/>
      </c>
      <c r="G43" s="45" t="inlineStr"/>
    </row>
    <row r="44" ht="22" customHeight="1">
      <c r="A44" s="25" t="inlineStr">
        <is>
          <t>PERSONAL</t>
        </is>
      </c>
    </row>
    <row r="45" ht="18" customHeight="1">
      <c r="A45" s="28" t="inlineStr">
        <is>
          <t>PERSONAL</t>
        </is>
      </c>
      <c r="B45" s="28" t="inlineStr">
        <is>
          <t>Clothing</t>
        </is>
      </c>
      <c r="C45" s="14" t="n">
        <v>0</v>
      </c>
      <c r="D45" s="14" t="n">
        <v>0</v>
      </c>
      <c r="E45" s="27">
        <f>IFERROR(C45-D45,0)</f>
        <v/>
      </c>
      <c r="F45" s="23">
        <f>IFERROR(D45/C45,0)</f>
        <v/>
      </c>
      <c r="G45" s="28" t="inlineStr"/>
    </row>
    <row r="46" ht="18" customHeight="1">
      <c r="A46" s="30" t="inlineStr">
        <is>
          <t>PERSONAL</t>
        </is>
      </c>
      <c r="B46" s="30" t="inlineStr">
        <is>
          <t>Gifts</t>
        </is>
      </c>
      <c r="C46" s="46" t="n">
        <v>0</v>
      </c>
      <c r="D46" s="46" t="n">
        <v>0</v>
      </c>
      <c r="E46" s="17">
        <f>IFERROR(C46-D46,0)</f>
        <v/>
      </c>
      <c r="F46" s="47">
        <f>IFERROR(D46/C46,0)</f>
        <v/>
      </c>
      <c r="G46" s="30" t="inlineStr"/>
    </row>
    <row r="47" ht="18" customHeight="1">
      <c r="A47" s="28" t="inlineStr">
        <is>
          <t>PERSONAL</t>
        </is>
      </c>
      <c r="B47" s="28" t="inlineStr">
        <is>
          <t>Education</t>
        </is>
      </c>
      <c r="C47" s="14" t="n">
        <v>0</v>
      </c>
      <c r="D47" s="14" t="n">
        <v>0</v>
      </c>
      <c r="E47" s="27">
        <f>IFERROR(C47-D47,0)</f>
        <v/>
      </c>
      <c r="F47" s="23">
        <f>IFERROR(D47/C47,0)</f>
        <v/>
      </c>
      <c r="G47" s="28" t="inlineStr"/>
    </row>
    <row r="48" ht="18" customHeight="1">
      <c r="A48" s="30" t="inlineStr">
        <is>
          <t>PERSONAL</t>
        </is>
      </c>
      <c r="B48" s="30" t="inlineStr">
        <is>
          <t>Pet Care</t>
        </is>
      </c>
      <c r="C48" s="46" t="n">
        <v>0</v>
      </c>
      <c r="D48" s="46" t="n">
        <v>0</v>
      </c>
      <c r="E48" s="17">
        <f>IFERROR(C48-D48,0)</f>
        <v/>
      </c>
      <c r="F48" s="47">
        <f>IFERROR(D48/C48,0)</f>
        <v/>
      </c>
      <c r="G48" s="30" t="inlineStr"/>
    </row>
    <row r="49" ht="18" customHeight="1">
      <c r="A49" s="28" t="inlineStr">
        <is>
          <t>PERSONAL</t>
        </is>
      </c>
      <c r="B49" s="28" t="inlineStr">
        <is>
          <t>Miscellaneous</t>
        </is>
      </c>
      <c r="C49" s="14" t="n">
        <v>0</v>
      </c>
      <c r="D49" s="14" t="n">
        <v>0</v>
      </c>
      <c r="E49" s="27">
        <f>IFERROR(C49-D49,0)</f>
        <v/>
      </c>
      <c r="F49" s="23">
        <f>IFERROR(D49/C49,0)</f>
        <v/>
      </c>
      <c r="G49" s="28" t="inlineStr"/>
    </row>
    <row r="50" ht="20" customHeight="1">
      <c r="A50" s="41" t="inlineStr">
        <is>
          <t>PERSONAL TOTAL</t>
        </is>
      </c>
      <c r="C50" s="42">
        <f>SUM(C45:C49)</f>
        <v/>
      </c>
      <c r="D50" s="42">
        <f>SUM(D45:D49)</f>
        <v/>
      </c>
      <c r="E50" s="43">
        <f>IFERROR(C50-D50,0)</f>
        <v/>
      </c>
      <c r="F50" s="44">
        <f>IFERROR(D50/C50,0)</f>
        <v/>
      </c>
      <c r="G50" s="45" t="inlineStr"/>
    </row>
    <row r="51" ht="22" customHeight="1">
      <c r="A51" s="25" t="inlineStr">
        <is>
          <t>SAVINGS &amp; INVESTMENTS</t>
        </is>
      </c>
    </row>
    <row r="52" ht="18" customHeight="1">
      <c r="A52" s="28" t="inlineStr">
        <is>
          <t>SAVINGS &amp; INVESTMENTS</t>
        </is>
      </c>
      <c r="B52" s="28" t="inlineStr">
        <is>
          <t>Emergency Fund</t>
        </is>
      </c>
      <c r="C52" s="14" t="n">
        <v>0</v>
      </c>
      <c r="D52" s="14" t="n">
        <v>0</v>
      </c>
      <c r="E52" s="27">
        <f>IFERROR(C52-D52,0)</f>
        <v/>
      </c>
      <c r="F52" s="23">
        <f>IFERROR(D52/C52,0)</f>
        <v/>
      </c>
      <c r="G52" s="28" t="inlineStr"/>
    </row>
    <row r="53" ht="18" customHeight="1">
      <c r="A53" s="30" t="inlineStr">
        <is>
          <t>SAVINGS &amp; INVESTMENTS</t>
        </is>
      </c>
      <c r="B53" s="30" t="inlineStr">
        <is>
          <t>Pension/IRA</t>
        </is>
      </c>
      <c r="C53" s="46" t="n">
        <v>0</v>
      </c>
      <c r="D53" s="46" t="n">
        <v>0</v>
      </c>
      <c r="E53" s="17">
        <f>IFERROR(C53-D53,0)</f>
        <v/>
      </c>
      <c r="F53" s="47">
        <f>IFERROR(D53/C53,0)</f>
        <v/>
      </c>
      <c r="G53" s="30" t="inlineStr"/>
    </row>
    <row r="54" ht="18" customHeight="1">
      <c r="A54" s="28" t="inlineStr">
        <is>
          <t>SAVINGS &amp; INVESTMENTS</t>
        </is>
      </c>
      <c r="B54" s="28" t="inlineStr">
        <is>
          <t>Stocks</t>
        </is>
      </c>
      <c r="C54" s="14" t="n">
        <v>0</v>
      </c>
      <c r="D54" s="14" t="n">
        <v>0</v>
      </c>
      <c r="E54" s="27">
        <f>IFERROR(C54-D54,0)</f>
        <v/>
      </c>
      <c r="F54" s="23">
        <f>IFERROR(D54/C54,0)</f>
        <v/>
      </c>
      <c r="G54" s="28" t="inlineStr"/>
    </row>
    <row r="55" ht="18" customHeight="1">
      <c r="A55" s="30" t="inlineStr">
        <is>
          <t>SAVINGS &amp; INVESTMENTS</t>
        </is>
      </c>
      <c r="B55" s="30" t="inlineStr">
        <is>
          <t>Vacation Fund</t>
        </is>
      </c>
      <c r="C55" s="46" t="n">
        <v>0</v>
      </c>
      <c r="D55" s="46" t="n">
        <v>0</v>
      </c>
      <c r="E55" s="17">
        <f>IFERROR(C55-D55,0)</f>
        <v/>
      </c>
      <c r="F55" s="47">
        <f>IFERROR(D55/C55,0)</f>
        <v/>
      </c>
      <c r="G55" s="30" t="inlineStr"/>
    </row>
    <row r="56" ht="18" customHeight="1">
      <c r="A56" s="28" t="inlineStr">
        <is>
          <t>SAVINGS &amp; INVESTMENTS</t>
        </is>
      </c>
      <c r="B56" s="28" t="inlineStr">
        <is>
          <t>Other Savings</t>
        </is>
      </c>
      <c r="C56" s="14" t="n">
        <v>0</v>
      </c>
      <c r="D56" s="14" t="n">
        <v>0</v>
      </c>
      <c r="E56" s="27">
        <f>IFERROR(C56-D56,0)</f>
        <v/>
      </c>
      <c r="F56" s="23">
        <f>IFERROR(D56/C56,0)</f>
        <v/>
      </c>
      <c r="G56" s="28" t="inlineStr"/>
    </row>
    <row r="57" ht="20" customHeight="1">
      <c r="A57" s="41" t="inlineStr">
        <is>
          <t>SAVINGS &amp; INVESTMENTS TOTAL</t>
        </is>
      </c>
      <c r="C57" s="42">
        <f>SUM(C52:C56)</f>
        <v/>
      </c>
      <c r="D57" s="42">
        <f>SUM(D52:D56)</f>
        <v/>
      </c>
      <c r="E57" s="43">
        <f>IFERROR(C57-D57,0)</f>
        <v/>
      </c>
      <c r="F57" s="44">
        <f>IFERROR(D57/C57,0)</f>
        <v/>
      </c>
      <c r="G57" s="45" t="inlineStr"/>
    </row>
    <row r="58" ht="22" customHeight="1">
      <c r="A58" s="25" t="inlineStr">
        <is>
          <t>DEBT PAYMENTS</t>
        </is>
      </c>
    </row>
    <row r="59" ht="18" customHeight="1">
      <c r="A59" s="28" t="inlineStr">
        <is>
          <t>DEBT PAYMENTS</t>
        </is>
      </c>
      <c r="B59" s="28" t="inlineStr">
        <is>
          <t>Credit Card 1</t>
        </is>
      </c>
      <c r="C59" s="14" t="n">
        <v>0</v>
      </c>
      <c r="D59" s="14" t="n">
        <v>0</v>
      </c>
      <c r="E59" s="27">
        <f>IFERROR(C59-D59,0)</f>
        <v/>
      </c>
      <c r="F59" s="23">
        <f>IFERROR(D59/C59,0)</f>
        <v/>
      </c>
      <c r="G59" s="28" t="inlineStr"/>
    </row>
    <row r="60" ht="18" customHeight="1">
      <c r="A60" s="30" t="inlineStr">
        <is>
          <t>DEBT PAYMENTS</t>
        </is>
      </c>
      <c r="B60" s="30" t="inlineStr">
        <is>
          <t>Credit Card 2</t>
        </is>
      </c>
      <c r="C60" s="46" t="n">
        <v>0</v>
      </c>
      <c r="D60" s="46" t="n">
        <v>0</v>
      </c>
      <c r="E60" s="17">
        <f>IFERROR(C60-D60,0)</f>
        <v/>
      </c>
      <c r="F60" s="47">
        <f>IFERROR(D60/C60,0)</f>
        <v/>
      </c>
      <c r="G60" s="30" t="inlineStr"/>
    </row>
    <row r="61" ht="18" customHeight="1">
      <c r="A61" s="28" t="inlineStr">
        <is>
          <t>DEBT PAYMENTS</t>
        </is>
      </c>
      <c r="B61" s="28" t="inlineStr">
        <is>
          <t>Student Loan</t>
        </is>
      </c>
      <c r="C61" s="14" t="n">
        <v>0</v>
      </c>
      <c r="D61" s="14" t="n">
        <v>0</v>
      </c>
      <c r="E61" s="27">
        <f>IFERROR(C61-D61,0)</f>
        <v/>
      </c>
      <c r="F61" s="23">
        <f>IFERROR(D61/C61,0)</f>
        <v/>
      </c>
      <c r="G61" s="28" t="inlineStr"/>
    </row>
    <row r="62" ht="18" customHeight="1">
      <c r="A62" s="30" t="inlineStr">
        <is>
          <t>DEBT PAYMENTS</t>
        </is>
      </c>
      <c r="B62" s="30" t="inlineStr">
        <is>
          <t>Car Loan</t>
        </is>
      </c>
      <c r="C62" s="46" t="n">
        <v>0</v>
      </c>
      <c r="D62" s="46" t="n">
        <v>0</v>
      </c>
      <c r="E62" s="17">
        <f>IFERROR(C62-D62,0)</f>
        <v/>
      </c>
      <c r="F62" s="47">
        <f>IFERROR(D62/C62,0)</f>
        <v/>
      </c>
      <c r="G62" s="30" t="inlineStr"/>
    </row>
    <row r="63" ht="18" customHeight="1">
      <c r="A63" s="28" t="inlineStr">
        <is>
          <t>DEBT PAYMENTS</t>
        </is>
      </c>
      <c r="B63" s="28" t="inlineStr">
        <is>
          <t>Other</t>
        </is>
      </c>
      <c r="C63" s="14" t="n">
        <v>0</v>
      </c>
      <c r="D63" s="14" t="n">
        <v>0</v>
      </c>
      <c r="E63" s="27">
        <f>IFERROR(C63-D63,0)</f>
        <v/>
      </c>
      <c r="F63" s="23">
        <f>IFERROR(D63/C63,0)</f>
        <v/>
      </c>
      <c r="G63" s="28" t="inlineStr"/>
    </row>
    <row r="64" ht="20" customHeight="1">
      <c r="A64" s="41" t="inlineStr">
        <is>
          <t>DEBT PAYMENTS TOTAL</t>
        </is>
      </c>
      <c r="C64" s="42">
        <f>SUM(C59:C63)</f>
        <v/>
      </c>
      <c r="D64" s="42">
        <f>SUM(D59:D63)</f>
        <v/>
      </c>
      <c r="E64" s="43">
        <f>IFERROR(C64-D64,0)</f>
        <v/>
      </c>
      <c r="F64" s="44">
        <f>IFERROR(D64/C64,0)</f>
        <v/>
      </c>
      <c r="G64" s="45" t="inlineStr"/>
    </row>
    <row r="65" ht="24" customHeight="1">
      <c r="A65" s="9" t="inlineStr">
        <is>
          <t>GRAND TOTAL EXPENSES</t>
        </is>
      </c>
      <c r="C65" s="48">
        <f>C15+C22+C29+C36+C43+C50+C57+C64</f>
        <v/>
      </c>
      <c r="D65" s="48">
        <f>D15+D22+D29+D36+D43+D50+D57+D64</f>
        <v/>
      </c>
      <c r="E65" s="49">
        <f>IFERROR(C65-D65,0)</f>
        <v/>
      </c>
      <c r="F65" s="50" t="inlineStr"/>
      <c r="G65" s="50" t="inlineStr"/>
    </row>
    <row r="66" ht="24" customHeight="1">
      <c r="A66" s="8" t="inlineStr">
        <is>
          <t>NET CASH FLOW</t>
        </is>
      </c>
      <c r="C66" s="51">
        <f>IFERROR(C8-C65,0)</f>
        <v/>
      </c>
      <c r="D66" s="51">
        <f>IFERROR(D8-D65,0)</f>
        <v/>
      </c>
      <c r="E66" s="52" t="inlineStr"/>
      <c r="F66" s="52" t="inlineStr"/>
      <c r="G66" s="52" t="inlineStr"/>
    </row>
    <row r="67" ht="22" customHeight="1">
      <c r="A67" s="53" t="inlineStr">
        <is>
          <t>BUDGET VS ACTUAL — CATEGORY OVERVIEW</t>
        </is>
      </c>
    </row>
    <row r="68" ht="18" customHeight="1">
      <c r="A68" s="12" t="inlineStr">
        <is>
          <t>HOUSING</t>
        </is>
      </c>
      <c r="B68" s="27">
        <f>C15</f>
        <v/>
      </c>
      <c r="C68" s="27">
        <f>D15</f>
        <v/>
      </c>
    </row>
    <row r="69" ht="18" customHeight="1">
      <c r="A69" s="15" t="inlineStr">
        <is>
          <t>TRANSPORT</t>
        </is>
      </c>
      <c r="B69" s="17">
        <f>C22</f>
        <v/>
      </c>
      <c r="C69" s="17">
        <f>D22</f>
        <v/>
      </c>
    </row>
    <row r="70" ht="18" customHeight="1">
      <c r="A70" s="12" t="inlineStr">
        <is>
          <t>FOOD &amp; DINING</t>
        </is>
      </c>
      <c r="B70" s="27">
        <f>C29</f>
        <v/>
      </c>
      <c r="C70" s="27">
        <f>D29</f>
        <v/>
      </c>
    </row>
    <row r="71" ht="18" customHeight="1">
      <c r="A71" s="15" t="inlineStr">
        <is>
          <t>HEALTH &amp; WELLNESS</t>
        </is>
      </c>
      <c r="B71" s="17">
        <f>C36</f>
        <v/>
      </c>
      <c r="C71" s="17">
        <f>D36</f>
        <v/>
      </c>
    </row>
    <row r="72" ht="18" customHeight="1">
      <c r="A72" s="12" t="inlineStr">
        <is>
          <t>LIFESTYLE</t>
        </is>
      </c>
      <c r="B72" s="27">
        <f>C43</f>
        <v/>
      </c>
      <c r="C72" s="27">
        <f>D43</f>
        <v/>
      </c>
    </row>
    <row r="73" ht="18" customHeight="1">
      <c r="A73" s="15" t="inlineStr">
        <is>
          <t>PERSONAL</t>
        </is>
      </c>
      <c r="B73" s="17">
        <f>C50</f>
        <v/>
      </c>
      <c r="C73" s="17">
        <f>D50</f>
        <v/>
      </c>
    </row>
    <row r="74" ht="18" customHeight="1">
      <c r="A74" s="12" t="inlineStr">
        <is>
          <t>SAVINGS &amp; INVESTMENTS</t>
        </is>
      </c>
      <c r="B74" s="27">
        <f>C57</f>
        <v/>
      </c>
      <c r="C74" s="27">
        <f>D57</f>
        <v/>
      </c>
    </row>
    <row r="75" ht="18" customHeight="1">
      <c r="A75" s="15" t="inlineStr">
        <is>
          <t>DEBT PAYMENTS</t>
        </is>
      </c>
      <c r="B75" s="17">
        <f>C64</f>
        <v/>
      </c>
      <c r="C75" s="17">
        <f>D64</f>
        <v/>
      </c>
    </row>
  </sheetData>
  <mergeCells count="23">
    <mergeCell ref="A15:B15"/>
    <mergeCell ref="A64:B64"/>
    <mergeCell ref="A4:G4"/>
    <mergeCell ref="A36:B36"/>
    <mergeCell ref="A44:G44"/>
    <mergeCell ref="A58:G58"/>
    <mergeCell ref="A67:D67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5C8A52"/>
    <outlinePr summaryBelow="1" summaryRight="1"/>
    <pageSetUpPr/>
  </sheetPr>
  <dimension ref="A1:G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20" customWidth="1" min="7" max="7"/>
  </cols>
  <sheetData>
    <row r="1" ht="48" customHeight="1">
      <c r="A1" s="1" t="inlineStr">
        <is>
          <t>DECEMBER · MONTHLY BUDGET</t>
        </is>
      </c>
    </row>
    <row r="2" ht="20" customHeight="1">
      <c r="A2" s="2" t="inlineStr">
        <is>
          <t>Track your income and expenses for December</t>
        </is>
      </c>
    </row>
    <row r="3" ht="20" customHeight="1">
      <c r="A3" s="26" t="inlineStr">
        <is>
          <t>CATEGORY</t>
        </is>
      </c>
      <c r="B3" s="26" t="inlineStr">
        <is>
          <t>SUBCATEGORY</t>
        </is>
      </c>
      <c r="C3" s="26" t="inlineStr">
        <is>
          <t>BUDGETED</t>
        </is>
      </c>
      <c r="D3" s="26" t="inlineStr">
        <is>
          <t>ACTUAL</t>
        </is>
      </c>
      <c r="E3" s="26" t="inlineStr">
        <is>
          <t>DIFFERENCE</t>
        </is>
      </c>
      <c r="F3" s="26" t="inlineStr">
        <is>
          <t>% USED</t>
        </is>
      </c>
      <c r="G3" s="26" t="inlineStr">
        <is>
          <t>NOTES</t>
        </is>
      </c>
    </row>
    <row r="4" ht="22" customHeight="1">
      <c r="A4" s="9" t="inlineStr">
        <is>
          <t>INCOME</t>
        </is>
      </c>
    </row>
    <row r="5" ht="18" customHeight="1">
      <c r="A5" s="28" t="inlineStr">
        <is>
          <t>INCOME</t>
        </is>
      </c>
      <c r="B5" s="28" t="inlineStr">
        <is>
          <t>Primary Income</t>
        </is>
      </c>
      <c r="C5" s="14" t="n">
        <v>0</v>
      </c>
      <c r="D5" s="14" t="n">
        <v>0</v>
      </c>
      <c r="E5" s="27">
        <f>IFERROR(C5-D5,0)</f>
        <v/>
      </c>
      <c r="F5" s="23">
        <f>IFERROR(D5/C5,0)</f>
        <v/>
      </c>
      <c r="G5" s="28" t="inlineStr"/>
    </row>
    <row r="6" ht="18" customHeight="1">
      <c r="A6" s="31" t="inlineStr">
        <is>
          <t>INCOME</t>
        </is>
      </c>
      <c r="B6" s="31" t="inlineStr">
        <is>
          <t>Side Income</t>
        </is>
      </c>
      <c r="C6" s="20" t="n">
        <v>0</v>
      </c>
      <c r="D6" s="20" t="n">
        <v>0</v>
      </c>
      <c r="E6" s="39">
        <f>IFERROR(C6-D6,0)</f>
        <v/>
      </c>
      <c r="F6" s="40">
        <f>IFERROR(D6/C6,0)</f>
        <v/>
      </c>
      <c r="G6" s="31" t="inlineStr"/>
    </row>
    <row r="7" ht="18" customHeight="1">
      <c r="A7" s="28" t="inlineStr">
        <is>
          <t>INCOME</t>
        </is>
      </c>
      <c r="B7" s="28" t="inlineStr">
        <is>
          <t>Other Income</t>
        </is>
      </c>
      <c r="C7" s="14" t="n">
        <v>0</v>
      </c>
      <c r="D7" s="14" t="n">
        <v>0</v>
      </c>
      <c r="E7" s="27">
        <f>IFERROR(C7-D7,0)</f>
        <v/>
      </c>
      <c r="F7" s="23">
        <f>IFERROR(D7/C7,0)</f>
        <v/>
      </c>
      <c r="G7" s="28" t="inlineStr"/>
    </row>
    <row r="8" ht="20" customHeight="1">
      <c r="A8" s="41" t="inlineStr">
        <is>
          <t>TOTAL INCOME</t>
        </is>
      </c>
      <c r="C8" s="42">
        <f>SUM(C5:C7)</f>
        <v/>
      </c>
      <c r="D8" s="42">
        <f>SUM(D5:D7)</f>
        <v/>
      </c>
      <c r="E8" s="43">
        <f>IFERROR(C8-D8,0)</f>
        <v/>
      </c>
      <c r="F8" s="44">
        <f>IFERROR(D8/C8,0)</f>
        <v/>
      </c>
      <c r="G8" s="45" t="inlineStr"/>
    </row>
    <row r="9" ht="22" customHeight="1">
      <c r="A9" s="25" t="inlineStr">
        <is>
          <t>HOUSING</t>
        </is>
      </c>
    </row>
    <row r="10" ht="18" customHeight="1">
      <c r="A10" s="28" t="inlineStr">
        <is>
          <t>HOUSING</t>
        </is>
      </c>
      <c r="B10" s="28" t="inlineStr">
        <is>
          <t>Rent/Mortgage</t>
        </is>
      </c>
      <c r="C10" s="14" t="n">
        <v>0</v>
      </c>
      <c r="D10" s="14" t="n">
        <v>0</v>
      </c>
      <c r="E10" s="27">
        <f>IFERROR(C10-D10,0)</f>
        <v/>
      </c>
      <c r="F10" s="23">
        <f>IFERROR(D10/C10,0)</f>
        <v/>
      </c>
      <c r="G10" s="28" t="inlineStr"/>
    </row>
    <row r="11" ht="18" customHeight="1">
      <c r="A11" s="30" t="inlineStr">
        <is>
          <t>HOUSING</t>
        </is>
      </c>
      <c r="B11" s="30" t="inlineStr">
        <is>
          <t>Utilities</t>
        </is>
      </c>
      <c r="C11" s="46" t="n">
        <v>0</v>
      </c>
      <c r="D11" s="46" t="n">
        <v>0</v>
      </c>
      <c r="E11" s="17">
        <f>IFERROR(C11-D11,0)</f>
        <v/>
      </c>
      <c r="F11" s="47">
        <f>IFERROR(D11/C11,0)</f>
        <v/>
      </c>
      <c r="G11" s="30" t="inlineStr"/>
    </row>
    <row r="12" ht="18" customHeight="1">
      <c r="A12" s="28" t="inlineStr">
        <is>
          <t>HOUSING</t>
        </is>
      </c>
      <c r="B12" s="28" t="inlineStr">
        <is>
          <t>Electricity</t>
        </is>
      </c>
      <c r="C12" s="14" t="n">
        <v>0</v>
      </c>
      <c r="D12" s="14" t="n">
        <v>0</v>
      </c>
      <c r="E12" s="27">
        <f>IFERROR(C12-D12,0)</f>
        <v/>
      </c>
      <c r="F12" s="23">
        <f>IFERROR(D12/C12,0)</f>
        <v/>
      </c>
      <c r="G12" s="28" t="inlineStr"/>
    </row>
    <row r="13" ht="18" customHeight="1">
      <c r="A13" s="30" t="inlineStr">
        <is>
          <t>HOUSING</t>
        </is>
      </c>
      <c r="B13" s="30" t="inlineStr">
        <is>
          <t>Internet</t>
        </is>
      </c>
      <c r="C13" s="46" t="n">
        <v>0</v>
      </c>
      <c r="D13" s="46" t="n">
        <v>0</v>
      </c>
      <c r="E13" s="17">
        <f>IFERROR(C13-D13,0)</f>
        <v/>
      </c>
      <c r="F13" s="47">
        <f>IFERROR(D13/C13,0)</f>
        <v/>
      </c>
      <c r="G13" s="30" t="inlineStr"/>
    </row>
    <row r="14" ht="18" customHeight="1">
      <c r="A14" s="28" t="inlineStr">
        <is>
          <t>HOUSING</t>
        </is>
      </c>
      <c r="B14" s="28" t="inlineStr">
        <is>
          <t>Home Insurance</t>
        </is>
      </c>
      <c r="C14" s="14" t="n">
        <v>0</v>
      </c>
      <c r="D14" s="14" t="n">
        <v>0</v>
      </c>
      <c r="E14" s="27">
        <f>IFERROR(C14-D14,0)</f>
        <v/>
      </c>
      <c r="F14" s="23">
        <f>IFERROR(D14/C14,0)</f>
        <v/>
      </c>
      <c r="G14" s="28" t="inlineStr"/>
    </row>
    <row r="15" ht="20" customHeight="1">
      <c r="A15" s="41" t="inlineStr">
        <is>
          <t>HOUSING TOTAL</t>
        </is>
      </c>
      <c r="C15" s="42">
        <f>SUM(C10:C14)</f>
        <v/>
      </c>
      <c r="D15" s="42">
        <f>SUM(D10:D14)</f>
        <v/>
      </c>
      <c r="E15" s="43">
        <f>IFERROR(C15-D15,0)</f>
        <v/>
      </c>
      <c r="F15" s="44">
        <f>IFERROR(D15/C15,0)</f>
        <v/>
      </c>
      <c r="G15" s="45" t="inlineStr"/>
    </row>
    <row r="16" ht="22" customHeight="1">
      <c r="A16" s="25" t="inlineStr">
        <is>
          <t>TRANSPORT</t>
        </is>
      </c>
    </row>
    <row r="17" ht="18" customHeight="1">
      <c r="A17" s="28" t="inlineStr">
        <is>
          <t>TRANSPORT</t>
        </is>
      </c>
      <c r="B17" s="28" t="inlineStr">
        <is>
          <t>Car Payment</t>
        </is>
      </c>
      <c r="C17" s="14" t="n">
        <v>0</v>
      </c>
      <c r="D17" s="14" t="n">
        <v>0</v>
      </c>
      <c r="E17" s="27">
        <f>IFERROR(C17-D17,0)</f>
        <v/>
      </c>
      <c r="F17" s="23">
        <f>IFERROR(D17/C17,0)</f>
        <v/>
      </c>
      <c r="G17" s="28" t="inlineStr"/>
    </row>
    <row r="18" ht="18" customHeight="1">
      <c r="A18" s="30" t="inlineStr">
        <is>
          <t>TRANSPORT</t>
        </is>
      </c>
      <c r="B18" s="30" t="inlineStr">
        <is>
          <t>Fuel</t>
        </is>
      </c>
      <c r="C18" s="46" t="n">
        <v>0</v>
      </c>
      <c r="D18" s="46" t="n">
        <v>0</v>
      </c>
      <c r="E18" s="17">
        <f>IFERROR(C18-D18,0)</f>
        <v/>
      </c>
      <c r="F18" s="47">
        <f>IFERROR(D18/C18,0)</f>
        <v/>
      </c>
      <c r="G18" s="30" t="inlineStr"/>
    </row>
    <row r="19" ht="18" customHeight="1">
      <c r="A19" s="28" t="inlineStr">
        <is>
          <t>TRANSPORT</t>
        </is>
      </c>
      <c r="B19" s="28" t="inlineStr">
        <is>
          <t>Car Insurance</t>
        </is>
      </c>
      <c r="C19" s="14" t="n">
        <v>0</v>
      </c>
      <c r="D19" s="14" t="n">
        <v>0</v>
      </c>
      <c r="E19" s="27">
        <f>IFERROR(C19-D19,0)</f>
        <v/>
      </c>
      <c r="F19" s="23">
        <f>IFERROR(D19/C19,0)</f>
        <v/>
      </c>
      <c r="G19" s="28" t="inlineStr"/>
    </row>
    <row r="20" ht="18" customHeight="1">
      <c r="A20" s="30" t="inlineStr">
        <is>
          <t>TRANSPORT</t>
        </is>
      </c>
      <c r="B20" s="30" t="inlineStr">
        <is>
          <t>Parking</t>
        </is>
      </c>
      <c r="C20" s="46" t="n">
        <v>0</v>
      </c>
      <c r="D20" s="46" t="n">
        <v>0</v>
      </c>
      <c r="E20" s="17">
        <f>IFERROR(C20-D20,0)</f>
        <v/>
      </c>
      <c r="F20" s="47">
        <f>IFERROR(D20/C20,0)</f>
        <v/>
      </c>
      <c r="G20" s="30" t="inlineStr"/>
    </row>
    <row r="21" ht="18" customHeight="1">
      <c r="A21" s="28" t="inlineStr">
        <is>
          <t>TRANSPORT</t>
        </is>
      </c>
      <c r="B21" s="28" t="inlineStr">
        <is>
          <t>Public Transport</t>
        </is>
      </c>
      <c r="C21" s="14" t="n">
        <v>0</v>
      </c>
      <c r="D21" s="14" t="n">
        <v>0</v>
      </c>
      <c r="E21" s="27">
        <f>IFERROR(C21-D21,0)</f>
        <v/>
      </c>
      <c r="F21" s="23">
        <f>IFERROR(D21/C21,0)</f>
        <v/>
      </c>
      <c r="G21" s="28" t="inlineStr"/>
    </row>
    <row r="22" ht="20" customHeight="1">
      <c r="A22" s="41" t="inlineStr">
        <is>
          <t>TRANSPORT TOTAL</t>
        </is>
      </c>
      <c r="C22" s="42">
        <f>SUM(C17:C21)</f>
        <v/>
      </c>
      <c r="D22" s="42">
        <f>SUM(D17:D21)</f>
        <v/>
      </c>
      <c r="E22" s="43">
        <f>IFERROR(C22-D22,0)</f>
        <v/>
      </c>
      <c r="F22" s="44">
        <f>IFERROR(D22/C22,0)</f>
        <v/>
      </c>
      <c r="G22" s="45" t="inlineStr"/>
    </row>
    <row r="23" ht="22" customHeight="1">
      <c r="A23" s="25" t="inlineStr">
        <is>
          <t>FOOD &amp; DINING</t>
        </is>
      </c>
    </row>
    <row r="24" ht="18" customHeight="1">
      <c r="A24" s="28" t="inlineStr">
        <is>
          <t>FOOD &amp; DINING</t>
        </is>
      </c>
      <c r="B24" s="28" t="inlineStr">
        <is>
          <t>Groceries</t>
        </is>
      </c>
      <c r="C24" s="14" t="n">
        <v>0</v>
      </c>
      <c r="D24" s="14" t="n">
        <v>0</v>
      </c>
      <c r="E24" s="27">
        <f>IFERROR(C24-D24,0)</f>
        <v/>
      </c>
      <c r="F24" s="23">
        <f>IFERROR(D24/C24,0)</f>
        <v/>
      </c>
      <c r="G24" s="28" t="inlineStr"/>
    </row>
    <row r="25" ht="18" customHeight="1">
      <c r="A25" s="30" t="inlineStr">
        <is>
          <t>FOOD &amp; DINING</t>
        </is>
      </c>
      <c r="B25" s="30" t="inlineStr">
        <is>
          <t>Restaurants</t>
        </is>
      </c>
      <c r="C25" s="46" t="n">
        <v>0</v>
      </c>
      <c r="D25" s="46" t="n">
        <v>0</v>
      </c>
      <c r="E25" s="17">
        <f>IFERROR(C25-D25,0)</f>
        <v/>
      </c>
      <c r="F25" s="47">
        <f>IFERROR(D25/C25,0)</f>
        <v/>
      </c>
      <c r="G25" s="30" t="inlineStr"/>
    </row>
    <row r="26" ht="18" customHeight="1">
      <c r="A26" s="28" t="inlineStr">
        <is>
          <t>FOOD &amp; DINING</t>
        </is>
      </c>
      <c r="B26" s="28" t="inlineStr">
        <is>
          <t>Coffee</t>
        </is>
      </c>
      <c r="C26" s="14" t="n">
        <v>0</v>
      </c>
      <c r="D26" s="14" t="n">
        <v>0</v>
      </c>
      <c r="E26" s="27">
        <f>IFERROR(C26-D26,0)</f>
        <v/>
      </c>
      <c r="F26" s="23">
        <f>IFERROR(D26/C26,0)</f>
        <v/>
      </c>
      <c r="G26" s="28" t="inlineStr"/>
    </row>
    <row r="27" ht="18" customHeight="1">
      <c r="A27" s="30" t="inlineStr">
        <is>
          <t>FOOD &amp; DINING</t>
        </is>
      </c>
      <c r="B27" s="30" t="inlineStr">
        <is>
          <t>Food Delivery</t>
        </is>
      </c>
      <c r="C27" s="46" t="n">
        <v>0</v>
      </c>
      <c r="D27" s="46" t="n">
        <v>0</v>
      </c>
      <c r="E27" s="17">
        <f>IFERROR(C27-D27,0)</f>
        <v/>
      </c>
      <c r="F27" s="47">
        <f>IFERROR(D27/C27,0)</f>
        <v/>
      </c>
      <c r="G27" s="30" t="inlineStr"/>
    </row>
    <row r="28" ht="18" customHeight="1">
      <c r="A28" s="28" t="inlineStr">
        <is>
          <t>FOOD &amp; DINING</t>
        </is>
      </c>
      <c r="B28" s="28" t="inlineStr">
        <is>
          <t>Work Lunch</t>
        </is>
      </c>
      <c r="C28" s="14" t="n">
        <v>0</v>
      </c>
      <c r="D28" s="14" t="n">
        <v>0</v>
      </c>
      <c r="E28" s="27">
        <f>IFERROR(C28-D28,0)</f>
        <v/>
      </c>
      <c r="F28" s="23">
        <f>IFERROR(D28/C28,0)</f>
        <v/>
      </c>
      <c r="G28" s="28" t="inlineStr"/>
    </row>
    <row r="29" ht="20" customHeight="1">
      <c r="A29" s="41" t="inlineStr">
        <is>
          <t>FOOD &amp; DINING TOTAL</t>
        </is>
      </c>
      <c r="C29" s="42">
        <f>SUM(C24:C28)</f>
        <v/>
      </c>
      <c r="D29" s="42">
        <f>SUM(D24:D28)</f>
        <v/>
      </c>
      <c r="E29" s="43">
        <f>IFERROR(C29-D29,0)</f>
        <v/>
      </c>
      <c r="F29" s="44">
        <f>IFERROR(D29/C29,0)</f>
        <v/>
      </c>
      <c r="G29" s="45" t="inlineStr"/>
    </row>
    <row r="30" ht="22" customHeight="1">
      <c r="A30" s="25" t="inlineStr">
        <is>
          <t>HEALTH &amp; WELLNESS</t>
        </is>
      </c>
    </row>
    <row r="31" ht="18" customHeight="1">
      <c r="A31" s="28" t="inlineStr">
        <is>
          <t>HEALTH &amp; WELLNESS</t>
        </is>
      </c>
      <c r="B31" s="28" t="inlineStr">
        <is>
          <t>Health Insurance</t>
        </is>
      </c>
      <c r="C31" s="14" t="n">
        <v>0</v>
      </c>
      <c r="D31" s="14" t="n">
        <v>0</v>
      </c>
      <c r="E31" s="27">
        <f>IFERROR(C31-D31,0)</f>
        <v/>
      </c>
      <c r="F31" s="23">
        <f>IFERROR(D31/C31,0)</f>
        <v/>
      </c>
      <c r="G31" s="28" t="inlineStr"/>
    </row>
    <row r="32" ht="18" customHeight="1">
      <c r="A32" s="30" t="inlineStr">
        <is>
          <t>HEALTH &amp; WELLNESS</t>
        </is>
      </c>
      <c r="B32" s="30" t="inlineStr">
        <is>
          <t>Gym</t>
        </is>
      </c>
      <c r="C32" s="46" t="n">
        <v>0</v>
      </c>
      <c r="D32" s="46" t="n">
        <v>0</v>
      </c>
      <c r="E32" s="17">
        <f>IFERROR(C32-D32,0)</f>
        <v/>
      </c>
      <c r="F32" s="47">
        <f>IFERROR(D32/C32,0)</f>
        <v/>
      </c>
      <c r="G32" s="30" t="inlineStr"/>
    </row>
    <row r="33" ht="18" customHeight="1">
      <c r="A33" s="28" t="inlineStr">
        <is>
          <t>HEALTH &amp; WELLNESS</t>
        </is>
      </c>
      <c r="B33" s="28" t="inlineStr">
        <is>
          <t>Pharmacy</t>
        </is>
      </c>
      <c r="C33" s="14" t="n">
        <v>0</v>
      </c>
      <c r="D33" s="14" t="n">
        <v>0</v>
      </c>
      <c r="E33" s="27">
        <f>IFERROR(C33-D33,0)</f>
        <v/>
      </c>
      <c r="F33" s="23">
        <f>IFERROR(D33/C33,0)</f>
        <v/>
      </c>
      <c r="G33" s="28" t="inlineStr"/>
    </row>
    <row r="34" ht="18" customHeight="1">
      <c r="A34" s="30" t="inlineStr">
        <is>
          <t>HEALTH &amp; WELLNESS</t>
        </is>
      </c>
      <c r="B34" s="30" t="inlineStr">
        <is>
          <t>Doctor</t>
        </is>
      </c>
      <c r="C34" s="46" t="n">
        <v>0</v>
      </c>
      <c r="D34" s="46" t="n">
        <v>0</v>
      </c>
      <c r="E34" s="17">
        <f>IFERROR(C34-D34,0)</f>
        <v/>
      </c>
      <c r="F34" s="47">
        <f>IFERROR(D34/C34,0)</f>
        <v/>
      </c>
      <c r="G34" s="30" t="inlineStr"/>
    </row>
    <row r="35" ht="18" customHeight="1">
      <c r="A35" s="28" t="inlineStr">
        <is>
          <t>HEALTH &amp; WELLNESS</t>
        </is>
      </c>
      <c r="B35" s="28" t="inlineStr">
        <is>
          <t>Dental</t>
        </is>
      </c>
      <c r="C35" s="14" t="n">
        <v>0</v>
      </c>
      <c r="D35" s="14" t="n">
        <v>0</v>
      </c>
      <c r="E35" s="27">
        <f>IFERROR(C35-D35,0)</f>
        <v/>
      </c>
      <c r="F35" s="23">
        <f>IFERROR(D35/C35,0)</f>
        <v/>
      </c>
      <c r="G35" s="28" t="inlineStr"/>
    </row>
    <row r="36" ht="20" customHeight="1">
      <c r="A36" s="41" t="inlineStr">
        <is>
          <t>HEALTH &amp; WELLNESS TOTAL</t>
        </is>
      </c>
      <c r="C36" s="42">
        <f>SUM(C31:C35)</f>
        <v/>
      </c>
      <c r="D36" s="42">
        <f>SUM(D31:D35)</f>
        <v/>
      </c>
      <c r="E36" s="43">
        <f>IFERROR(C36-D36,0)</f>
        <v/>
      </c>
      <c r="F36" s="44">
        <f>IFERROR(D36/C36,0)</f>
        <v/>
      </c>
      <c r="G36" s="45" t="inlineStr"/>
    </row>
    <row r="37" ht="22" customHeight="1">
      <c r="A37" s="25" t="inlineStr">
        <is>
          <t>LIFESTYLE</t>
        </is>
      </c>
    </row>
    <row r="38" ht="18" customHeight="1">
      <c r="A38" s="28" t="inlineStr">
        <is>
          <t>LIFESTYLE</t>
        </is>
      </c>
      <c r="B38" s="28" t="inlineStr">
        <is>
          <t>Streaming Services</t>
        </is>
      </c>
      <c r="C38" s="14" t="n">
        <v>0</v>
      </c>
      <c r="D38" s="14" t="n">
        <v>0</v>
      </c>
      <c r="E38" s="27">
        <f>IFERROR(C38-D38,0)</f>
        <v/>
      </c>
      <c r="F38" s="23">
        <f>IFERROR(D38/C38,0)</f>
        <v/>
      </c>
      <c r="G38" s="28" t="inlineStr"/>
    </row>
    <row r="39" ht="18" customHeight="1">
      <c r="A39" s="30" t="inlineStr">
        <is>
          <t>LIFESTYLE</t>
        </is>
      </c>
      <c r="B39" s="30" t="inlineStr">
        <is>
          <t>Entertainment</t>
        </is>
      </c>
      <c r="C39" s="46" t="n">
        <v>0</v>
      </c>
      <c r="D39" s="46" t="n">
        <v>0</v>
      </c>
      <c r="E39" s="17">
        <f>IFERROR(C39-D39,0)</f>
        <v/>
      </c>
      <c r="F39" s="47">
        <f>IFERROR(D39/C39,0)</f>
        <v/>
      </c>
      <c r="G39" s="30" t="inlineStr"/>
    </row>
    <row r="40" ht="18" customHeight="1">
      <c r="A40" s="28" t="inlineStr">
        <is>
          <t>LIFESTYLE</t>
        </is>
      </c>
      <c r="B40" s="28" t="inlineStr">
        <is>
          <t>Hobbies</t>
        </is>
      </c>
      <c r="C40" s="14" t="n">
        <v>0</v>
      </c>
      <c r="D40" s="14" t="n">
        <v>0</v>
      </c>
      <c r="E40" s="27">
        <f>IFERROR(C40-D40,0)</f>
        <v/>
      </c>
      <c r="F40" s="23">
        <f>IFERROR(D40/C40,0)</f>
        <v/>
      </c>
      <c r="G40" s="28" t="inlineStr"/>
    </row>
    <row r="41" ht="18" customHeight="1">
      <c r="A41" s="30" t="inlineStr">
        <is>
          <t>LIFESTYLE</t>
        </is>
      </c>
      <c r="B41" s="30" t="inlineStr">
        <is>
          <t>Personal Care</t>
        </is>
      </c>
      <c r="C41" s="46" t="n">
        <v>0</v>
      </c>
      <c r="D41" s="46" t="n">
        <v>0</v>
      </c>
      <c r="E41" s="17">
        <f>IFERROR(C41-D41,0)</f>
        <v/>
      </c>
      <c r="F41" s="47">
        <f>IFERROR(D41/C41,0)</f>
        <v/>
      </c>
      <c r="G41" s="30" t="inlineStr"/>
    </row>
    <row r="42" ht="18" customHeight="1">
      <c r="A42" s="28" t="inlineStr">
        <is>
          <t>LIFESTYLE</t>
        </is>
      </c>
      <c r="B42" s="28" t="inlineStr">
        <is>
          <t>Books</t>
        </is>
      </c>
      <c r="C42" s="14" t="n">
        <v>0</v>
      </c>
      <c r="D42" s="14" t="n">
        <v>0</v>
      </c>
      <c r="E42" s="27">
        <f>IFERROR(C42-D42,0)</f>
        <v/>
      </c>
      <c r="F42" s="23">
        <f>IFERROR(D42/C42,0)</f>
        <v/>
      </c>
      <c r="G42" s="28" t="inlineStr"/>
    </row>
    <row r="43" ht="20" customHeight="1">
      <c r="A43" s="41" t="inlineStr">
        <is>
          <t>LIFESTYLE TOTAL</t>
        </is>
      </c>
      <c r="C43" s="42">
        <f>SUM(C38:C42)</f>
        <v/>
      </c>
      <c r="D43" s="42">
        <f>SUM(D38:D42)</f>
        <v/>
      </c>
      <c r="E43" s="43">
        <f>IFERROR(C43-D43,0)</f>
        <v/>
      </c>
      <c r="F43" s="44">
        <f>IFERROR(D43/C43,0)</f>
        <v/>
      </c>
      <c r="G43" s="45" t="inlineStr"/>
    </row>
    <row r="44" ht="22" customHeight="1">
      <c r="A44" s="25" t="inlineStr">
        <is>
          <t>PERSONAL</t>
        </is>
      </c>
    </row>
    <row r="45" ht="18" customHeight="1">
      <c r="A45" s="28" t="inlineStr">
        <is>
          <t>PERSONAL</t>
        </is>
      </c>
      <c r="B45" s="28" t="inlineStr">
        <is>
          <t>Clothing</t>
        </is>
      </c>
      <c r="C45" s="14" t="n">
        <v>0</v>
      </c>
      <c r="D45" s="14" t="n">
        <v>0</v>
      </c>
      <c r="E45" s="27">
        <f>IFERROR(C45-D45,0)</f>
        <v/>
      </c>
      <c r="F45" s="23">
        <f>IFERROR(D45/C45,0)</f>
        <v/>
      </c>
      <c r="G45" s="28" t="inlineStr"/>
    </row>
    <row r="46" ht="18" customHeight="1">
      <c r="A46" s="30" t="inlineStr">
        <is>
          <t>PERSONAL</t>
        </is>
      </c>
      <c r="B46" s="30" t="inlineStr">
        <is>
          <t>Gifts</t>
        </is>
      </c>
      <c r="C46" s="46" t="n">
        <v>0</v>
      </c>
      <c r="D46" s="46" t="n">
        <v>0</v>
      </c>
      <c r="E46" s="17">
        <f>IFERROR(C46-D46,0)</f>
        <v/>
      </c>
      <c r="F46" s="47">
        <f>IFERROR(D46/C46,0)</f>
        <v/>
      </c>
      <c r="G46" s="30" t="inlineStr"/>
    </row>
    <row r="47" ht="18" customHeight="1">
      <c r="A47" s="28" t="inlineStr">
        <is>
          <t>PERSONAL</t>
        </is>
      </c>
      <c r="B47" s="28" t="inlineStr">
        <is>
          <t>Education</t>
        </is>
      </c>
      <c r="C47" s="14" t="n">
        <v>0</v>
      </c>
      <c r="D47" s="14" t="n">
        <v>0</v>
      </c>
      <c r="E47" s="27">
        <f>IFERROR(C47-D47,0)</f>
        <v/>
      </c>
      <c r="F47" s="23">
        <f>IFERROR(D47/C47,0)</f>
        <v/>
      </c>
      <c r="G47" s="28" t="inlineStr"/>
    </row>
    <row r="48" ht="18" customHeight="1">
      <c r="A48" s="30" t="inlineStr">
        <is>
          <t>PERSONAL</t>
        </is>
      </c>
      <c r="B48" s="30" t="inlineStr">
        <is>
          <t>Pet Care</t>
        </is>
      </c>
      <c r="C48" s="46" t="n">
        <v>0</v>
      </c>
      <c r="D48" s="46" t="n">
        <v>0</v>
      </c>
      <c r="E48" s="17">
        <f>IFERROR(C48-D48,0)</f>
        <v/>
      </c>
      <c r="F48" s="47">
        <f>IFERROR(D48/C48,0)</f>
        <v/>
      </c>
      <c r="G48" s="30" t="inlineStr"/>
    </row>
    <row r="49" ht="18" customHeight="1">
      <c r="A49" s="28" t="inlineStr">
        <is>
          <t>PERSONAL</t>
        </is>
      </c>
      <c r="B49" s="28" t="inlineStr">
        <is>
          <t>Miscellaneous</t>
        </is>
      </c>
      <c r="C49" s="14" t="n">
        <v>0</v>
      </c>
      <c r="D49" s="14" t="n">
        <v>0</v>
      </c>
      <c r="E49" s="27">
        <f>IFERROR(C49-D49,0)</f>
        <v/>
      </c>
      <c r="F49" s="23">
        <f>IFERROR(D49/C49,0)</f>
        <v/>
      </c>
      <c r="G49" s="28" t="inlineStr"/>
    </row>
    <row r="50" ht="20" customHeight="1">
      <c r="A50" s="41" t="inlineStr">
        <is>
          <t>PERSONAL TOTAL</t>
        </is>
      </c>
      <c r="C50" s="42">
        <f>SUM(C45:C49)</f>
        <v/>
      </c>
      <c r="D50" s="42">
        <f>SUM(D45:D49)</f>
        <v/>
      </c>
      <c r="E50" s="43">
        <f>IFERROR(C50-D50,0)</f>
        <v/>
      </c>
      <c r="F50" s="44">
        <f>IFERROR(D50/C50,0)</f>
        <v/>
      </c>
      <c r="G50" s="45" t="inlineStr"/>
    </row>
    <row r="51" ht="22" customHeight="1">
      <c r="A51" s="25" t="inlineStr">
        <is>
          <t>SAVINGS &amp; INVESTMENTS</t>
        </is>
      </c>
    </row>
    <row r="52" ht="18" customHeight="1">
      <c r="A52" s="28" t="inlineStr">
        <is>
          <t>SAVINGS &amp; INVESTMENTS</t>
        </is>
      </c>
      <c r="B52" s="28" t="inlineStr">
        <is>
          <t>Emergency Fund</t>
        </is>
      </c>
      <c r="C52" s="14" t="n">
        <v>0</v>
      </c>
      <c r="D52" s="14" t="n">
        <v>0</v>
      </c>
      <c r="E52" s="27">
        <f>IFERROR(C52-D52,0)</f>
        <v/>
      </c>
      <c r="F52" s="23">
        <f>IFERROR(D52/C52,0)</f>
        <v/>
      </c>
      <c r="G52" s="28" t="inlineStr"/>
    </row>
    <row r="53" ht="18" customHeight="1">
      <c r="A53" s="30" t="inlineStr">
        <is>
          <t>SAVINGS &amp; INVESTMENTS</t>
        </is>
      </c>
      <c r="B53" s="30" t="inlineStr">
        <is>
          <t>Pension/IRA</t>
        </is>
      </c>
      <c r="C53" s="46" t="n">
        <v>0</v>
      </c>
      <c r="D53" s="46" t="n">
        <v>0</v>
      </c>
      <c r="E53" s="17">
        <f>IFERROR(C53-D53,0)</f>
        <v/>
      </c>
      <c r="F53" s="47">
        <f>IFERROR(D53/C53,0)</f>
        <v/>
      </c>
      <c r="G53" s="30" t="inlineStr"/>
    </row>
    <row r="54" ht="18" customHeight="1">
      <c r="A54" s="28" t="inlineStr">
        <is>
          <t>SAVINGS &amp; INVESTMENTS</t>
        </is>
      </c>
      <c r="B54" s="28" t="inlineStr">
        <is>
          <t>Stocks</t>
        </is>
      </c>
      <c r="C54" s="14" t="n">
        <v>0</v>
      </c>
      <c r="D54" s="14" t="n">
        <v>0</v>
      </c>
      <c r="E54" s="27">
        <f>IFERROR(C54-D54,0)</f>
        <v/>
      </c>
      <c r="F54" s="23">
        <f>IFERROR(D54/C54,0)</f>
        <v/>
      </c>
      <c r="G54" s="28" t="inlineStr"/>
    </row>
    <row r="55" ht="18" customHeight="1">
      <c r="A55" s="30" t="inlineStr">
        <is>
          <t>SAVINGS &amp; INVESTMENTS</t>
        </is>
      </c>
      <c r="B55" s="30" t="inlineStr">
        <is>
          <t>Vacation Fund</t>
        </is>
      </c>
      <c r="C55" s="46" t="n">
        <v>0</v>
      </c>
      <c r="D55" s="46" t="n">
        <v>0</v>
      </c>
      <c r="E55" s="17">
        <f>IFERROR(C55-D55,0)</f>
        <v/>
      </c>
      <c r="F55" s="47">
        <f>IFERROR(D55/C55,0)</f>
        <v/>
      </c>
      <c r="G55" s="30" t="inlineStr"/>
    </row>
    <row r="56" ht="18" customHeight="1">
      <c r="A56" s="28" t="inlineStr">
        <is>
          <t>SAVINGS &amp; INVESTMENTS</t>
        </is>
      </c>
      <c r="B56" s="28" t="inlineStr">
        <is>
          <t>Other Savings</t>
        </is>
      </c>
      <c r="C56" s="14" t="n">
        <v>0</v>
      </c>
      <c r="D56" s="14" t="n">
        <v>0</v>
      </c>
      <c r="E56" s="27">
        <f>IFERROR(C56-D56,0)</f>
        <v/>
      </c>
      <c r="F56" s="23">
        <f>IFERROR(D56/C56,0)</f>
        <v/>
      </c>
      <c r="G56" s="28" t="inlineStr"/>
    </row>
    <row r="57" ht="20" customHeight="1">
      <c r="A57" s="41" t="inlineStr">
        <is>
          <t>SAVINGS &amp; INVESTMENTS TOTAL</t>
        </is>
      </c>
      <c r="C57" s="42">
        <f>SUM(C52:C56)</f>
        <v/>
      </c>
      <c r="D57" s="42">
        <f>SUM(D52:D56)</f>
        <v/>
      </c>
      <c r="E57" s="43">
        <f>IFERROR(C57-D57,0)</f>
        <v/>
      </c>
      <c r="F57" s="44">
        <f>IFERROR(D57/C57,0)</f>
        <v/>
      </c>
      <c r="G57" s="45" t="inlineStr"/>
    </row>
    <row r="58" ht="22" customHeight="1">
      <c r="A58" s="25" t="inlineStr">
        <is>
          <t>DEBT PAYMENTS</t>
        </is>
      </c>
    </row>
    <row r="59" ht="18" customHeight="1">
      <c r="A59" s="28" t="inlineStr">
        <is>
          <t>DEBT PAYMENTS</t>
        </is>
      </c>
      <c r="B59" s="28" t="inlineStr">
        <is>
          <t>Credit Card 1</t>
        </is>
      </c>
      <c r="C59" s="14" t="n">
        <v>0</v>
      </c>
      <c r="D59" s="14" t="n">
        <v>0</v>
      </c>
      <c r="E59" s="27">
        <f>IFERROR(C59-D59,0)</f>
        <v/>
      </c>
      <c r="F59" s="23">
        <f>IFERROR(D59/C59,0)</f>
        <v/>
      </c>
      <c r="G59" s="28" t="inlineStr"/>
    </row>
    <row r="60" ht="18" customHeight="1">
      <c r="A60" s="30" t="inlineStr">
        <is>
          <t>DEBT PAYMENTS</t>
        </is>
      </c>
      <c r="B60" s="30" t="inlineStr">
        <is>
          <t>Credit Card 2</t>
        </is>
      </c>
      <c r="C60" s="46" t="n">
        <v>0</v>
      </c>
      <c r="D60" s="46" t="n">
        <v>0</v>
      </c>
      <c r="E60" s="17">
        <f>IFERROR(C60-D60,0)</f>
        <v/>
      </c>
      <c r="F60" s="47">
        <f>IFERROR(D60/C60,0)</f>
        <v/>
      </c>
      <c r="G60" s="30" t="inlineStr"/>
    </row>
    <row r="61" ht="18" customHeight="1">
      <c r="A61" s="28" t="inlineStr">
        <is>
          <t>DEBT PAYMENTS</t>
        </is>
      </c>
      <c r="B61" s="28" t="inlineStr">
        <is>
          <t>Student Loan</t>
        </is>
      </c>
      <c r="C61" s="14" t="n">
        <v>0</v>
      </c>
      <c r="D61" s="14" t="n">
        <v>0</v>
      </c>
      <c r="E61" s="27">
        <f>IFERROR(C61-D61,0)</f>
        <v/>
      </c>
      <c r="F61" s="23">
        <f>IFERROR(D61/C61,0)</f>
        <v/>
      </c>
      <c r="G61" s="28" t="inlineStr"/>
    </row>
    <row r="62" ht="18" customHeight="1">
      <c r="A62" s="30" t="inlineStr">
        <is>
          <t>DEBT PAYMENTS</t>
        </is>
      </c>
      <c r="B62" s="30" t="inlineStr">
        <is>
          <t>Car Loan</t>
        </is>
      </c>
      <c r="C62" s="46" t="n">
        <v>0</v>
      </c>
      <c r="D62" s="46" t="n">
        <v>0</v>
      </c>
      <c r="E62" s="17">
        <f>IFERROR(C62-D62,0)</f>
        <v/>
      </c>
      <c r="F62" s="47">
        <f>IFERROR(D62/C62,0)</f>
        <v/>
      </c>
      <c r="G62" s="30" t="inlineStr"/>
    </row>
    <row r="63" ht="18" customHeight="1">
      <c r="A63" s="28" t="inlineStr">
        <is>
          <t>DEBT PAYMENTS</t>
        </is>
      </c>
      <c r="B63" s="28" t="inlineStr">
        <is>
          <t>Other</t>
        </is>
      </c>
      <c r="C63" s="14" t="n">
        <v>0</v>
      </c>
      <c r="D63" s="14" t="n">
        <v>0</v>
      </c>
      <c r="E63" s="27">
        <f>IFERROR(C63-D63,0)</f>
        <v/>
      </c>
      <c r="F63" s="23">
        <f>IFERROR(D63/C63,0)</f>
        <v/>
      </c>
      <c r="G63" s="28" t="inlineStr"/>
    </row>
    <row r="64" ht="20" customHeight="1">
      <c r="A64" s="41" t="inlineStr">
        <is>
          <t>DEBT PAYMENTS TOTAL</t>
        </is>
      </c>
      <c r="C64" s="42">
        <f>SUM(C59:C63)</f>
        <v/>
      </c>
      <c r="D64" s="42">
        <f>SUM(D59:D63)</f>
        <v/>
      </c>
      <c r="E64" s="43">
        <f>IFERROR(C64-D64,0)</f>
        <v/>
      </c>
      <c r="F64" s="44">
        <f>IFERROR(D64/C64,0)</f>
        <v/>
      </c>
      <c r="G64" s="45" t="inlineStr"/>
    </row>
    <row r="65" ht="24" customHeight="1">
      <c r="A65" s="9" t="inlineStr">
        <is>
          <t>GRAND TOTAL EXPENSES</t>
        </is>
      </c>
      <c r="C65" s="48">
        <f>C15+C22+C29+C36+C43+C50+C57+C64</f>
        <v/>
      </c>
      <c r="D65" s="48">
        <f>D15+D22+D29+D36+D43+D50+D57+D64</f>
        <v/>
      </c>
      <c r="E65" s="49">
        <f>IFERROR(C65-D65,0)</f>
        <v/>
      </c>
      <c r="F65" s="50" t="inlineStr"/>
      <c r="G65" s="50" t="inlineStr"/>
    </row>
    <row r="66" ht="24" customHeight="1">
      <c r="A66" s="8" t="inlineStr">
        <is>
          <t>NET CASH FLOW</t>
        </is>
      </c>
      <c r="C66" s="51">
        <f>IFERROR(C8-C65,0)</f>
        <v/>
      </c>
      <c r="D66" s="51">
        <f>IFERROR(D8-D65,0)</f>
        <v/>
      </c>
      <c r="E66" s="52" t="inlineStr"/>
      <c r="F66" s="52" t="inlineStr"/>
      <c r="G66" s="52" t="inlineStr"/>
    </row>
    <row r="67" ht="22" customHeight="1">
      <c r="A67" s="53" t="inlineStr">
        <is>
          <t>BUDGET VS ACTUAL — CATEGORY OVERVIEW</t>
        </is>
      </c>
    </row>
    <row r="68" ht="18" customHeight="1">
      <c r="A68" s="12" t="inlineStr">
        <is>
          <t>HOUSING</t>
        </is>
      </c>
      <c r="B68" s="27">
        <f>C15</f>
        <v/>
      </c>
      <c r="C68" s="27">
        <f>D15</f>
        <v/>
      </c>
    </row>
    <row r="69" ht="18" customHeight="1">
      <c r="A69" s="15" t="inlineStr">
        <is>
          <t>TRANSPORT</t>
        </is>
      </c>
      <c r="B69" s="17">
        <f>C22</f>
        <v/>
      </c>
      <c r="C69" s="17">
        <f>D22</f>
        <v/>
      </c>
    </row>
    <row r="70" ht="18" customHeight="1">
      <c r="A70" s="12" t="inlineStr">
        <is>
          <t>FOOD &amp; DINING</t>
        </is>
      </c>
      <c r="B70" s="27">
        <f>C29</f>
        <v/>
      </c>
      <c r="C70" s="27">
        <f>D29</f>
        <v/>
      </c>
    </row>
    <row r="71" ht="18" customHeight="1">
      <c r="A71" s="15" t="inlineStr">
        <is>
          <t>HEALTH &amp; WELLNESS</t>
        </is>
      </c>
      <c r="B71" s="17">
        <f>C36</f>
        <v/>
      </c>
      <c r="C71" s="17">
        <f>D36</f>
        <v/>
      </c>
    </row>
    <row r="72" ht="18" customHeight="1">
      <c r="A72" s="12" t="inlineStr">
        <is>
          <t>LIFESTYLE</t>
        </is>
      </c>
      <c r="B72" s="27">
        <f>C43</f>
        <v/>
      </c>
      <c r="C72" s="27">
        <f>D43</f>
        <v/>
      </c>
    </row>
    <row r="73" ht="18" customHeight="1">
      <c r="A73" s="15" t="inlineStr">
        <is>
          <t>PERSONAL</t>
        </is>
      </c>
      <c r="B73" s="17">
        <f>C50</f>
        <v/>
      </c>
      <c r="C73" s="17">
        <f>D50</f>
        <v/>
      </c>
    </row>
    <row r="74" ht="18" customHeight="1">
      <c r="A74" s="12" t="inlineStr">
        <is>
          <t>SAVINGS &amp; INVESTMENTS</t>
        </is>
      </c>
      <c r="B74" s="27">
        <f>C57</f>
        <v/>
      </c>
      <c r="C74" s="27">
        <f>D57</f>
        <v/>
      </c>
    </row>
    <row r="75" ht="18" customHeight="1">
      <c r="A75" s="15" t="inlineStr">
        <is>
          <t>DEBT PAYMENTS</t>
        </is>
      </c>
      <c r="B75" s="17">
        <f>C64</f>
        <v/>
      </c>
      <c r="C75" s="17">
        <f>D64</f>
        <v/>
      </c>
    </row>
  </sheetData>
  <mergeCells count="23">
    <mergeCell ref="A15:B15"/>
    <mergeCell ref="A64:B64"/>
    <mergeCell ref="A4:G4"/>
    <mergeCell ref="A36:B36"/>
    <mergeCell ref="A44:G44"/>
    <mergeCell ref="A58:G58"/>
    <mergeCell ref="A67:D67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B05E3A"/>
    <outlinePr summaryBelow="1" summaryRight="1"/>
    <pageSetUpPr/>
  </sheetPr>
  <dimension ref="A1:I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 ht="48" customHeight="1">
      <c r="A1" s="1" t="inlineStr">
        <is>
          <t>DEBT PAYOFF TRACKER</t>
        </is>
      </c>
    </row>
    <row r="2" ht="20" customHeight="1">
      <c r="A2" s="2" t="inlineStr">
        <is>
          <t>Track balances, interest rates, and payoff timelines</t>
        </is>
      </c>
    </row>
    <row r="3" ht="20" customHeight="1">
      <c r="A3" s="26" t="inlineStr">
        <is>
          <t>DEBT NAME</t>
        </is>
      </c>
      <c r="B3" s="26" t="inlineStr">
        <is>
          <t>LENDER</t>
        </is>
      </c>
      <c r="C3" s="26" t="inlineStr">
        <is>
          <t>ORIGINAL BAL</t>
        </is>
      </c>
      <c r="D3" s="26" t="inlineStr">
        <is>
          <t>CURRENT BAL</t>
        </is>
      </c>
      <c r="E3" s="26" t="inlineStr">
        <is>
          <t>INTEREST %</t>
        </is>
      </c>
      <c r="F3" s="26" t="inlineStr">
        <is>
          <t>MIN PAYMENT</t>
        </is>
      </c>
      <c r="G3" s="26" t="inlineStr">
        <is>
          <t>MONTHLY PMT</t>
        </is>
      </c>
      <c r="H3" s="26" t="inlineStr">
        <is>
          <t>EST PAYOFF</t>
        </is>
      </c>
      <c r="I3" s="26" t="inlineStr">
        <is>
          <t>STATUS</t>
        </is>
      </c>
    </row>
    <row r="4" ht="18" customHeight="1">
      <c r="A4" s="28" t="inlineStr">
        <is>
          <t>Credit Card 1</t>
        </is>
      </c>
      <c r="B4" s="54" t="inlineStr"/>
      <c r="C4" s="14" t="n">
        <v>0</v>
      </c>
      <c r="D4" s="14" t="n">
        <v>0</v>
      </c>
      <c r="E4" s="55" t="n">
        <v>0</v>
      </c>
      <c r="F4" s="14" t="n">
        <v>0</v>
      </c>
      <c r="G4" s="14" t="n">
        <v>0</v>
      </c>
      <c r="H4" s="29" t="inlineStr"/>
      <c r="I4" s="28" t="inlineStr">
        <is>
          <t>Active</t>
        </is>
      </c>
    </row>
    <row r="5" ht="18" customHeight="1">
      <c r="A5" s="31" t="inlineStr">
        <is>
          <t>Credit Card 2</t>
        </is>
      </c>
      <c r="B5" s="56" t="inlineStr"/>
      <c r="C5" s="20" t="n">
        <v>0</v>
      </c>
      <c r="D5" s="20" t="n">
        <v>0</v>
      </c>
      <c r="E5" s="57" t="n">
        <v>0</v>
      </c>
      <c r="F5" s="20" t="n">
        <v>0</v>
      </c>
      <c r="G5" s="20" t="n">
        <v>0</v>
      </c>
      <c r="H5" s="32" t="inlineStr"/>
      <c r="I5" s="31" t="inlineStr">
        <is>
          <t>Active</t>
        </is>
      </c>
    </row>
    <row r="6" ht="18" customHeight="1">
      <c r="A6" s="28" t="inlineStr">
        <is>
          <t>Student Loan</t>
        </is>
      </c>
      <c r="B6" s="54" t="inlineStr"/>
      <c r="C6" s="14" t="n">
        <v>0</v>
      </c>
      <c r="D6" s="14" t="n">
        <v>0</v>
      </c>
      <c r="E6" s="55" t="n">
        <v>0</v>
      </c>
      <c r="F6" s="14" t="n">
        <v>0</v>
      </c>
      <c r="G6" s="14" t="n">
        <v>0</v>
      </c>
      <c r="H6" s="29" t="inlineStr"/>
      <c r="I6" s="28" t="inlineStr">
        <is>
          <t>Active</t>
        </is>
      </c>
    </row>
    <row r="7" ht="18" customHeight="1">
      <c r="A7" s="31" t="inlineStr">
        <is>
          <t>Car Loan</t>
        </is>
      </c>
      <c r="B7" s="56" t="inlineStr"/>
      <c r="C7" s="20" t="n">
        <v>0</v>
      </c>
      <c r="D7" s="20" t="n">
        <v>0</v>
      </c>
      <c r="E7" s="57" t="n">
        <v>0</v>
      </c>
      <c r="F7" s="20" t="n">
        <v>0</v>
      </c>
      <c r="G7" s="20" t="n">
        <v>0</v>
      </c>
      <c r="H7" s="32" t="inlineStr"/>
      <c r="I7" s="31" t="inlineStr">
        <is>
          <t>Active</t>
        </is>
      </c>
    </row>
    <row r="8" ht="18" customHeight="1">
      <c r="A8" s="28" t="inlineStr">
        <is>
          <t>Personal Loan</t>
        </is>
      </c>
      <c r="B8" s="54" t="inlineStr"/>
      <c r="C8" s="14" t="n">
        <v>0</v>
      </c>
      <c r="D8" s="14" t="n">
        <v>0</v>
      </c>
      <c r="E8" s="55" t="n">
        <v>0</v>
      </c>
      <c r="F8" s="14" t="n">
        <v>0</v>
      </c>
      <c r="G8" s="14" t="n">
        <v>0</v>
      </c>
      <c r="H8" s="29" t="inlineStr"/>
      <c r="I8" s="28" t="inlineStr">
        <is>
          <t>Active</t>
        </is>
      </c>
    </row>
    <row r="9" ht="18" customHeight="1">
      <c r="A9" s="31" t="inlineStr">
        <is>
          <t>Other Debt</t>
        </is>
      </c>
      <c r="B9" s="56" t="inlineStr"/>
      <c r="C9" s="20" t="n">
        <v>0</v>
      </c>
      <c r="D9" s="20" t="n">
        <v>0</v>
      </c>
      <c r="E9" s="57" t="n">
        <v>0</v>
      </c>
      <c r="F9" s="20" t="n">
        <v>0</v>
      </c>
      <c r="G9" s="20" t="n">
        <v>0</v>
      </c>
      <c r="H9" s="32" t="inlineStr"/>
      <c r="I9" s="31" t="inlineStr">
        <is>
          <t>Active</t>
        </is>
      </c>
    </row>
    <row r="10" ht="24" customHeight="1">
      <c r="A10" s="9" t="inlineStr">
        <is>
          <t>TOTALS</t>
        </is>
      </c>
      <c r="C10" s="48">
        <f>SUM(C4:C9)</f>
        <v/>
      </c>
      <c r="D10" s="48">
        <f>SUM(D4:D9)</f>
        <v/>
      </c>
      <c r="E10" s="50" t="inlineStr"/>
      <c r="F10" s="48">
        <f>SUM(F4:F9)</f>
        <v/>
      </c>
      <c r="G10" s="48">
        <f>SUM(G4:G9)</f>
        <v/>
      </c>
      <c r="H10" s="50" t="inlineStr"/>
      <c r="I10" s="50" t="inlineStr"/>
    </row>
    <row r="12" ht="22" customHeight="1">
      <c r="A12" s="8" t="inlineStr">
        <is>
          <t>DEBT SUMMARY</t>
        </is>
      </c>
    </row>
    <row r="13" ht="18" customHeight="1">
      <c r="A13" s="12" t="inlineStr">
        <is>
          <t>Total Outstanding Debt</t>
        </is>
      </c>
      <c r="B13" s="13" t="n"/>
      <c r="C13" s="13" t="n"/>
      <c r="D13" s="21">
        <f>IFERROR(SUM(D4:D9),0)</f>
        <v/>
      </c>
      <c r="E13" s="13" t="n"/>
    </row>
    <row r="14" ht="18" customHeight="1">
      <c r="A14" s="15" t="inlineStr">
        <is>
          <t>Total Monthly Minimums</t>
        </is>
      </c>
      <c r="B14" s="16" t="n"/>
      <c r="C14" s="16" t="n"/>
      <c r="D14" s="24">
        <f>IFERROR(SUM(F4:F9),0)</f>
        <v/>
      </c>
      <c r="E14" s="16" t="n"/>
    </row>
    <row r="15" ht="18" customHeight="1">
      <c r="A15" s="12" t="inlineStr">
        <is>
          <t>Debt-to-Income Ratio</t>
        </is>
      </c>
      <c r="B15" s="13" t="n"/>
      <c r="C15" s="13" t="n"/>
      <c r="D15" s="22">
        <f>IFERROR(SUM(D4:D9)/Dashboard!D9*12,0)</f>
        <v/>
      </c>
      <c r="E15" s="13" t="n"/>
    </row>
    <row r="16" ht="18" customHeight="1">
      <c r="A16" s="15" t="inlineStr">
        <is>
          <t>Highest Interest Debt</t>
        </is>
      </c>
      <c r="B16" s="16" t="n"/>
      <c r="C16" s="16" t="n"/>
      <c r="D16" s="58">
        <f>IFERROR(INDEX(A4:A9,MATCH(MAX(E4:E9),E4:E9,0)),"N/A")</f>
        <v/>
      </c>
      <c r="E16" s="16" t="n"/>
    </row>
  </sheetData>
  <mergeCells count="12">
    <mergeCell ref="A12:E12"/>
    <mergeCell ref="A13:C13"/>
    <mergeCell ref="A2:I2"/>
    <mergeCell ref="D16:E16"/>
    <mergeCell ref="D15:E15"/>
    <mergeCell ref="D13:E13"/>
    <mergeCell ref="A14:C14"/>
    <mergeCell ref="A10:B10"/>
    <mergeCell ref="A1:I1"/>
    <mergeCell ref="D14:E14"/>
    <mergeCell ref="A15:C15"/>
    <mergeCell ref="A16:C1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B05E3A"/>
    <outlinePr summaryBelow="1" summaryRight="1"/>
    <pageSetUpPr/>
  </sheetPr>
  <dimension ref="A1:I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2" customWidth="1" min="4" max="4"/>
    <col width="12" customWidth="1" min="5" max="5"/>
    <col width="10" customWidth="1" min="6" max="6"/>
    <col width="8" customWidth="1" min="7" max="7"/>
    <col width="14" customWidth="1" min="8" max="8"/>
    <col width="22" customWidth="1" min="9" max="9"/>
  </cols>
  <sheetData>
    <row r="1" ht="48" customHeight="1">
      <c r="A1" s="1" t="inlineStr">
        <is>
          <t>BILL CALENDAR · 2026</t>
        </is>
      </c>
    </row>
    <row r="2" ht="20" customHeight="1">
      <c r="A2" s="2" t="inlineStr">
        <is>
          <t>Recurring bills, auto-payments, and annual cost summary</t>
        </is>
      </c>
    </row>
    <row r="3" ht="20" customHeight="1">
      <c r="A3" s="26" t="inlineStr">
        <is>
          <t>BILL NAME</t>
        </is>
      </c>
      <c r="B3" s="26" t="inlineStr">
        <is>
          <t>CATEGORY</t>
        </is>
      </c>
      <c r="C3" s="26" t="inlineStr">
        <is>
          <t>AMOUNT</t>
        </is>
      </c>
      <c r="D3" s="26" t="inlineStr">
        <is>
          <t>DUE DATE</t>
        </is>
      </c>
      <c r="E3" s="26" t="inlineStr">
        <is>
          <t>FREQUENCY</t>
        </is>
      </c>
      <c r="F3" s="26" t="inlineStr">
        <is>
          <t>AUTO-PAY</t>
        </is>
      </c>
      <c r="G3" s="26" t="inlineStr">
        <is>
          <t>PAID?</t>
        </is>
      </c>
      <c r="H3" s="26" t="inlineStr">
        <is>
          <t>ANNUAL COST</t>
        </is>
      </c>
      <c r="I3" s="26" t="inlineStr">
        <is>
          <t>NOTES</t>
        </is>
      </c>
    </row>
    <row r="4" ht="18" customHeight="1">
      <c r="A4" s="28" t="inlineStr">
        <is>
          <t>Rent/Mortgage</t>
        </is>
      </c>
      <c r="B4" s="28" t="inlineStr">
        <is>
          <t>Housing</t>
        </is>
      </c>
      <c r="C4" s="14" t="n">
        <v>1200</v>
      </c>
      <c r="D4" s="29" t="inlineStr">
        <is>
          <t>01/01/2026</t>
        </is>
      </c>
      <c r="E4" s="28" t="inlineStr">
        <is>
          <t>Monthly</t>
        </is>
      </c>
      <c r="F4" s="28" t="inlineStr">
        <is>
          <t>No</t>
        </is>
      </c>
      <c r="G4" s="28" t="inlineStr">
        <is>
          <t>No</t>
        </is>
      </c>
      <c r="H4" s="27">
        <f>IFERROR(IF(E4="Monthly",C4*12,IF(E4="Annual",C4,IF(E4="Quarterly",C4*4,C4*52))),0)</f>
        <v/>
      </c>
      <c r="I4" s="28" t="inlineStr"/>
    </row>
    <row r="5" ht="18" customHeight="1">
      <c r="A5" s="31" t="inlineStr">
        <is>
          <t>Electricity</t>
        </is>
      </c>
      <c r="B5" s="31" t="inlineStr">
        <is>
          <t>Utilities</t>
        </is>
      </c>
      <c r="C5" s="20" t="n">
        <v>80</v>
      </c>
      <c r="D5" s="32" t="inlineStr">
        <is>
          <t>01/15/2026</t>
        </is>
      </c>
      <c r="E5" s="31" t="inlineStr">
        <is>
          <t>Monthly</t>
        </is>
      </c>
      <c r="F5" s="31" t="inlineStr">
        <is>
          <t>Yes</t>
        </is>
      </c>
      <c r="G5" s="31" t="inlineStr">
        <is>
          <t>No</t>
        </is>
      </c>
      <c r="H5" s="39">
        <f>IFERROR(IF(E5="Monthly",C5*12,IF(E5="Annual",C5,IF(E5="Quarterly",C5*4,C5*52))),0)</f>
        <v/>
      </c>
      <c r="I5" s="31" t="inlineStr"/>
    </row>
    <row r="6" ht="18" customHeight="1">
      <c r="A6" s="28" t="inlineStr">
        <is>
          <t>Internet</t>
        </is>
      </c>
      <c r="B6" s="28" t="inlineStr">
        <is>
          <t>Utilities</t>
        </is>
      </c>
      <c r="C6" s="14" t="n">
        <v>60</v>
      </c>
      <c r="D6" s="29" t="inlineStr">
        <is>
          <t>01/22/2026</t>
        </is>
      </c>
      <c r="E6" s="28" t="inlineStr">
        <is>
          <t>Monthly</t>
        </is>
      </c>
      <c r="F6" s="28" t="inlineStr">
        <is>
          <t>Yes</t>
        </is>
      </c>
      <c r="G6" s="28" t="inlineStr">
        <is>
          <t>No</t>
        </is>
      </c>
      <c r="H6" s="27">
        <f>IFERROR(IF(E6="Monthly",C6*12,IF(E6="Annual",C6,IF(E6="Quarterly",C6*4,C6*52))),0)</f>
        <v/>
      </c>
      <c r="I6" s="28" t="inlineStr"/>
    </row>
    <row r="7" ht="18" customHeight="1">
      <c r="A7" s="31" t="inlineStr">
        <is>
          <t>Phone</t>
        </is>
      </c>
      <c r="B7" s="31" t="inlineStr">
        <is>
          <t>Subscriptions</t>
        </is>
      </c>
      <c r="C7" s="20" t="n">
        <v>70</v>
      </c>
      <c r="D7" s="32" t="inlineStr">
        <is>
          <t>01/12/2026</t>
        </is>
      </c>
      <c r="E7" s="31" t="inlineStr">
        <is>
          <t>Monthly</t>
        </is>
      </c>
      <c r="F7" s="31" t="inlineStr">
        <is>
          <t>Yes</t>
        </is>
      </c>
      <c r="G7" s="31" t="inlineStr">
        <is>
          <t>No</t>
        </is>
      </c>
      <c r="H7" s="39">
        <f>IFERROR(IF(E7="Monthly",C7*12,IF(E7="Annual",C7,IF(E7="Quarterly",C7*4,C7*52))),0)</f>
        <v/>
      </c>
      <c r="I7" s="31" t="inlineStr"/>
    </row>
    <row r="8" ht="18" customHeight="1">
      <c r="A8" s="28" t="inlineStr">
        <is>
          <t>Car Insurance</t>
        </is>
      </c>
      <c r="B8" s="28" t="inlineStr">
        <is>
          <t>Insurance</t>
        </is>
      </c>
      <c r="C8" s="14" t="n">
        <v>120</v>
      </c>
      <c r="D8" s="29" t="inlineStr">
        <is>
          <t>01/20/2026</t>
        </is>
      </c>
      <c r="E8" s="28" t="inlineStr">
        <is>
          <t>Monthly</t>
        </is>
      </c>
      <c r="F8" s="28" t="inlineStr">
        <is>
          <t>No</t>
        </is>
      </c>
      <c r="G8" s="28" t="inlineStr">
        <is>
          <t>No</t>
        </is>
      </c>
      <c r="H8" s="27">
        <f>IFERROR(IF(E8="Monthly",C8*12,IF(E8="Annual",C8,IF(E8="Quarterly",C8*4,C8*52))),0)</f>
        <v/>
      </c>
      <c r="I8" s="28" t="inlineStr"/>
    </row>
    <row r="9" ht="18" customHeight="1">
      <c r="A9" s="31" t="inlineStr">
        <is>
          <t>Streaming</t>
        </is>
      </c>
      <c r="B9" s="31" t="inlineStr">
        <is>
          <t>Subscriptions</t>
        </is>
      </c>
      <c r="C9" s="20" t="n">
        <v>18</v>
      </c>
      <c r="D9" s="32" t="inlineStr">
        <is>
          <t>01/08/2026</t>
        </is>
      </c>
      <c r="E9" s="31" t="inlineStr">
        <is>
          <t>Monthly</t>
        </is>
      </c>
      <c r="F9" s="31" t="inlineStr">
        <is>
          <t>Yes</t>
        </is>
      </c>
      <c r="G9" s="31" t="inlineStr">
        <is>
          <t>No</t>
        </is>
      </c>
      <c r="H9" s="39">
        <f>IFERROR(IF(E9="Monthly",C9*12,IF(E9="Annual",C9,IF(E9="Quarterly",C9*4,C9*52))),0)</f>
        <v/>
      </c>
      <c r="I9" s="31" t="inlineStr"/>
    </row>
    <row r="10" ht="18" customHeight="1">
      <c r="A10" s="28" t="inlineStr">
        <is>
          <t>Gym Membership</t>
        </is>
      </c>
      <c r="B10" s="28" t="inlineStr">
        <is>
          <t>Health</t>
        </is>
      </c>
      <c r="C10" s="14" t="n">
        <v>45</v>
      </c>
      <c r="D10" s="29" t="inlineStr">
        <is>
          <t>01/01/2026</t>
        </is>
      </c>
      <c r="E10" s="28" t="inlineStr">
        <is>
          <t>Monthly</t>
        </is>
      </c>
      <c r="F10" s="28" t="inlineStr">
        <is>
          <t>Yes</t>
        </is>
      </c>
      <c r="G10" s="28" t="inlineStr">
        <is>
          <t>No</t>
        </is>
      </c>
      <c r="H10" s="27">
        <f>IFERROR(IF(E10="Monthly",C10*12,IF(E10="Annual",C10,IF(E10="Quarterly",C10*4,C10*52))),0)</f>
        <v/>
      </c>
      <c r="I10" s="28" t="inlineStr"/>
    </row>
    <row r="11" ht="18" customHeight="1">
      <c r="A11" s="31" t="inlineStr">
        <is>
          <t>Spotify</t>
        </is>
      </c>
      <c r="B11" s="31" t="inlineStr">
        <is>
          <t>Subscriptions</t>
        </is>
      </c>
      <c r="C11" s="20" t="n">
        <v>11</v>
      </c>
      <c r="D11" s="32" t="inlineStr">
        <is>
          <t>01/05/2026</t>
        </is>
      </c>
      <c r="E11" s="31" t="inlineStr">
        <is>
          <t>Monthly</t>
        </is>
      </c>
      <c r="F11" s="31" t="inlineStr">
        <is>
          <t>Yes</t>
        </is>
      </c>
      <c r="G11" s="31" t="inlineStr">
        <is>
          <t>No</t>
        </is>
      </c>
      <c r="H11" s="39">
        <f>IFERROR(IF(E11="Monthly",C11*12,IF(E11="Annual",C11,IF(E11="Quarterly",C11*4,C11*52))),0)</f>
        <v/>
      </c>
      <c r="I11" s="31" t="inlineStr"/>
    </row>
    <row r="12" ht="18" customHeight="1">
      <c r="A12" s="28" t="inlineStr">
        <is>
          <t>Home Insurance</t>
        </is>
      </c>
      <c r="B12" s="28" t="inlineStr">
        <is>
          <t>Insurance</t>
        </is>
      </c>
      <c r="C12" s="14" t="n">
        <v>150</v>
      </c>
      <c r="D12" s="29" t="inlineStr">
        <is>
          <t>01/01/2026</t>
        </is>
      </c>
      <c r="E12" s="28" t="inlineStr">
        <is>
          <t>Annual</t>
        </is>
      </c>
      <c r="F12" s="28" t="inlineStr">
        <is>
          <t>No</t>
        </is>
      </c>
      <c r="G12" s="28" t="inlineStr">
        <is>
          <t>No</t>
        </is>
      </c>
      <c r="H12" s="27">
        <f>IFERROR(IF(E12="Monthly",C12*12,IF(E12="Annual",C12,IF(E12="Quarterly",C12*4,C12*52))),0)</f>
        <v/>
      </c>
      <c r="I12" s="28" t="inlineStr"/>
    </row>
    <row r="13" ht="18" customHeight="1">
      <c r="A13" s="31" t="inlineStr">
        <is>
          <t>Car Registration</t>
        </is>
      </c>
      <c r="B13" s="31" t="inlineStr">
        <is>
          <t>Transport</t>
        </is>
      </c>
      <c r="C13" s="20" t="n">
        <v>85</v>
      </c>
      <c r="D13" s="32" t="inlineStr">
        <is>
          <t>03/01/2026</t>
        </is>
      </c>
      <c r="E13" s="31" t="inlineStr">
        <is>
          <t>Annual</t>
        </is>
      </c>
      <c r="F13" s="31" t="inlineStr">
        <is>
          <t>No</t>
        </is>
      </c>
      <c r="G13" s="31" t="inlineStr">
        <is>
          <t>No</t>
        </is>
      </c>
      <c r="H13" s="39">
        <f>IFERROR(IF(E13="Monthly",C13*12,IF(E13="Annual",C13,IF(E13="Quarterly",C13*4,C13*52))),0)</f>
        <v/>
      </c>
      <c r="I13" s="31" t="inlineStr"/>
    </row>
    <row r="14" ht="24" customHeight="1">
      <c r="A14" s="9" t="inlineStr">
        <is>
          <t>MONTHLY TOTAL</t>
        </is>
      </c>
      <c r="C14" s="48">
        <f>SUM(C4:C13)</f>
        <v/>
      </c>
      <c r="D14" s="50" t="inlineStr"/>
      <c r="E14" s="50" t="inlineStr"/>
      <c r="F14" s="50" t="inlineStr"/>
      <c r="G14" s="50" t="inlineStr"/>
      <c r="H14" s="48">
        <f>SUM(H4:H13)</f>
        <v/>
      </c>
      <c r="I14" s="50" t="inlineStr"/>
    </row>
  </sheetData>
  <mergeCells count="3">
    <mergeCell ref="A1:I1"/>
    <mergeCell ref="A14:B14"/>
    <mergeCell ref="A2:I2"/>
  </mergeCells>
  <dataValidations count="3">
    <dataValidation sqref="B4:B13" showDropDown="0" showInputMessage="0" showErrorMessage="0" allowBlank="1" type="list">
      <formula1>"Housing,Utilities,Insurance,Subscriptions,Health,Transport,Other"</formula1>
    </dataValidation>
    <dataValidation sqref="E4:E13" showDropDown="0" showInputMessage="0" showErrorMessage="0" allowBlank="1" type="list">
      <formula1>"Monthly,Weekly,Bi-Weekly,Quarterly,Annual"</formula1>
    </dataValidation>
    <dataValidation sqref="F4:G1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3D5C3A"/>
    <outlinePr summaryBelow="1" summaryRight="1"/>
    <pageSetUpPr/>
  </sheetPr>
  <dimension ref="A1:H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  <col width="10" customWidth="1" min="6" max="6"/>
    <col width="16" customWidth="1" min="7" max="7"/>
    <col width="10" customWidth="1" min="8" max="8"/>
  </cols>
  <sheetData>
    <row r="1" ht="48" customHeight="1">
      <c r="A1" s="1" t="inlineStr">
        <is>
          <t>SAVINGS GOALS TRACKER</t>
        </is>
      </c>
    </row>
    <row r="2" ht="20" customHeight="1">
      <c r="A2" s="2" t="inlineStr">
        <is>
          <t>Monitor goals, progress bars, and projected completion dates</t>
        </is>
      </c>
    </row>
    <row r="3" ht="20" customHeight="1">
      <c r="A3" s="26" t="inlineStr">
        <is>
          <t>GOAL</t>
        </is>
      </c>
      <c r="B3" s="26" t="inlineStr">
        <is>
          <t>TARGET</t>
        </is>
      </c>
      <c r="C3" s="26" t="inlineStr">
        <is>
          <t>SAVED</t>
        </is>
      </c>
      <c r="D3" s="26" t="inlineStr">
        <is>
          <t>MONTHLY</t>
        </is>
      </c>
      <c r="E3" s="26" t="inlineStr">
        <is>
          <t>TARGET DATE</t>
        </is>
      </c>
      <c r="F3" s="26" t="inlineStr">
        <is>
          <t>% DONE</t>
        </is>
      </c>
      <c r="G3" s="26" t="inlineStr">
        <is>
          <t>PROGRESS</t>
        </is>
      </c>
      <c r="H3" s="26" t="inlineStr">
        <is>
          <t>PRIORITY</t>
        </is>
      </c>
    </row>
    <row r="4" ht="18" customHeight="1">
      <c r="A4" s="18" t="inlineStr">
        <is>
          <t>Emergency Fund</t>
        </is>
      </c>
      <c r="B4" s="20" t="n">
        <v>10000</v>
      </c>
      <c r="C4" s="20" t="n">
        <v>0</v>
      </c>
      <c r="D4" s="20" t="n">
        <v>500</v>
      </c>
      <c r="E4" s="32" t="inlineStr">
        <is>
          <t>12/31/2026</t>
        </is>
      </c>
      <c r="F4" s="40">
        <f>IFERROR(C4/B4,0)</f>
        <v/>
      </c>
      <c r="G4" s="59">
        <f>IFERROR(REPT(CHAR(9608),ROUND(F4*10,0))&amp;REPT(CHAR(9617),10-ROUND(F4*10,0)),"          ")</f>
        <v/>
      </c>
      <c r="H4" s="60" t="inlineStr">
        <is>
          <t>High</t>
        </is>
      </c>
    </row>
    <row r="5" ht="18" customHeight="1">
      <c r="A5" s="15" t="inlineStr">
        <is>
          <t>Vacation</t>
        </is>
      </c>
      <c r="B5" s="46" t="n">
        <v>3000</v>
      </c>
      <c r="C5" s="46" t="n">
        <v>0</v>
      </c>
      <c r="D5" s="46" t="n">
        <v>200</v>
      </c>
      <c r="E5" s="61" t="inlineStr">
        <is>
          <t>07/01/2026</t>
        </is>
      </c>
      <c r="F5" s="47">
        <f>IFERROR(C5/B5,0)</f>
        <v/>
      </c>
      <c r="G5" s="62">
        <f>IFERROR(REPT(CHAR(9608),ROUND(F5*10,0))&amp;REPT(CHAR(9617),10-ROUND(F5*10,0)),"          ")</f>
        <v/>
      </c>
      <c r="H5" s="63" t="inlineStr">
        <is>
          <t>Medium</t>
        </is>
      </c>
    </row>
    <row r="6" ht="18" customHeight="1">
      <c r="A6" s="18" t="inlineStr">
        <is>
          <t>Home Down Payment</t>
        </is>
      </c>
      <c r="B6" s="20" t="n">
        <v>50000</v>
      </c>
      <c r="C6" s="20" t="n">
        <v>0</v>
      </c>
      <c r="D6" s="20" t="n">
        <v>800</v>
      </c>
      <c r="E6" s="32" t="inlineStr">
        <is>
          <t>01/01/2029</t>
        </is>
      </c>
      <c r="F6" s="40">
        <f>IFERROR(C6/B6,0)</f>
        <v/>
      </c>
      <c r="G6" s="59">
        <f>IFERROR(REPT(CHAR(9608),ROUND(F6*10,0))&amp;REPT(CHAR(9617),10-ROUND(F6*10,0)),"          ")</f>
        <v/>
      </c>
      <c r="H6" s="60" t="inlineStr">
        <is>
          <t>High</t>
        </is>
      </c>
    </row>
    <row r="7" ht="18" customHeight="1">
      <c r="A7" s="15" t="inlineStr">
        <is>
          <t>New Car</t>
        </is>
      </c>
      <c r="B7" s="46" t="n">
        <v>15000</v>
      </c>
      <c r="C7" s="46" t="n">
        <v>0</v>
      </c>
      <c r="D7" s="46" t="n">
        <v>300</v>
      </c>
      <c r="E7" s="61" t="inlineStr">
        <is>
          <t>06/01/2027</t>
        </is>
      </c>
      <c r="F7" s="47">
        <f>IFERROR(C7/B7,0)</f>
        <v/>
      </c>
      <c r="G7" s="62">
        <f>IFERROR(REPT(CHAR(9608),ROUND(F7*10,0))&amp;REPT(CHAR(9617),10-ROUND(F7*10,0)),"          ")</f>
        <v/>
      </c>
      <c r="H7" s="63" t="inlineStr">
        <is>
          <t>Medium</t>
        </is>
      </c>
    </row>
    <row r="8" ht="18" customHeight="1">
      <c r="A8" s="15" t="inlineStr">
        <is>
          <t>Education</t>
        </is>
      </c>
      <c r="B8" s="46" t="n">
        <v>8000</v>
      </c>
      <c r="C8" s="46" t="n">
        <v>0</v>
      </c>
      <c r="D8" s="46" t="n">
        <v>250</v>
      </c>
      <c r="E8" s="61" t="inlineStr">
        <is>
          <t>09/01/2027</t>
        </is>
      </c>
      <c r="F8" s="47">
        <f>IFERROR(C8/B8,0)</f>
        <v/>
      </c>
      <c r="G8" s="62">
        <f>IFERROR(REPT(CHAR(9608),ROUND(F8*10,0))&amp;REPT(CHAR(9617),10-ROUND(F8*10,0)),"          ")</f>
        <v/>
      </c>
      <c r="H8" s="63" t="inlineStr">
        <is>
          <t>Medium</t>
        </is>
      </c>
    </row>
    <row r="9" ht="18" customHeight="1">
      <c r="A9" s="12" t="inlineStr">
        <is>
          <t>Retirement Boost</t>
        </is>
      </c>
      <c r="B9" s="14" t="n">
        <v>20000</v>
      </c>
      <c r="C9" s="14" t="n">
        <v>0</v>
      </c>
      <c r="D9" s="14" t="n">
        <v>400</v>
      </c>
      <c r="E9" s="29" t="inlineStr">
        <is>
          <t>01/01/2030</t>
        </is>
      </c>
      <c r="F9" s="23">
        <f>IFERROR(C9/B9,0)</f>
        <v/>
      </c>
      <c r="G9" s="64">
        <f>IFERROR(REPT(CHAR(9608),ROUND(F9*10,0))&amp;REPT(CHAR(9617),10-ROUND(F9*10,0)),"          ")</f>
        <v/>
      </c>
      <c r="H9" s="65" t="inlineStr">
        <is>
          <t>Low</t>
        </is>
      </c>
    </row>
    <row r="10" ht="20" customHeight="1">
      <c r="A10" s="66" t="inlineStr">
        <is>
          <t>TOTALS</t>
        </is>
      </c>
      <c r="B10" s="67">
        <f>SUM(B4:B9)</f>
        <v/>
      </c>
      <c r="C10" s="67">
        <f>SUM(C4:C9)</f>
        <v/>
      </c>
      <c r="D10" s="67">
        <f>SUM(D4:D9)</f>
        <v/>
      </c>
      <c r="E10" s="68" t="inlineStr"/>
      <c r="F10" s="69">
        <f>IFERROR(SUM(C4:C9)/SUM(B4:B9),0)</f>
        <v/>
      </c>
      <c r="G10" s="68" t="inlineStr"/>
      <c r="H10" s="68" t="inlineStr"/>
    </row>
  </sheetData>
  <mergeCells count="2">
    <mergeCell ref="A2:H2"/>
    <mergeCell ref="A1:H1"/>
  </mergeCells>
  <dataValidations count="1">
    <dataValidation sqref="H4:H9" showDropDown="0" showInputMessage="0" showErrorMessage="0" allowBlank="1" type="list">
      <formula1>"High,Medium,Low"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003D5C3A"/>
    <outlinePr summaryBelow="1" summaryRight="1"/>
    <pageSetUpPr/>
  </sheetPr>
  <dimension ref="A1:AG2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14" customWidth="1" min="33" max="33"/>
  </cols>
  <sheetData>
    <row r="1" ht="48" customHeight="1">
      <c r="A1" s="1" t="inlineStr">
        <is>
          <t>DAYS WITHOUT SPENDING — 2026</t>
        </is>
      </c>
    </row>
    <row r="2" ht="20" customHeight="1">
      <c r="A2" s="2" t="inlineStr">
        <is>
          <t>Mark X on days you spent nothing — track your no-spend streaks</t>
        </is>
      </c>
    </row>
    <row r="3" ht="20" customHeight="1">
      <c r="A3" s="26" t="inlineStr">
        <is>
          <t>MONTH</t>
        </is>
      </c>
      <c r="B3" s="10" t="n">
        <v>1</v>
      </c>
      <c r="C3" s="10" t="n">
        <v>2</v>
      </c>
      <c r="D3" s="10" t="n">
        <v>3</v>
      </c>
      <c r="E3" s="10" t="n">
        <v>4</v>
      </c>
      <c r="F3" s="10" t="n">
        <v>5</v>
      </c>
      <c r="G3" s="10" t="n">
        <v>6</v>
      </c>
      <c r="H3" s="10" t="n">
        <v>7</v>
      </c>
      <c r="I3" s="10" t="n">
        <v>8</v>
      </c>
      <c r="J3" s="10" t="n">
        <v>9</v>
      </c>
      <c r="K3" s="10" t="n">
        <v>10</v>
      </c>
      <c r="L3" s="10" t="n">
        <v>11</v>
      </c>
      <c r="M3" s="10" t="n">
        <v>12</v>
      </c>
      <c r="N3" s="10" t="n">
        <v>13</v>
      </c>
      <c r="O3" s="10" t="n">
        <v>14</v>
      </c>
      <c r="P3" s="10" t="n">
        <v>15</v>
      </c>
      <c r="Q3" s="10" t="n">
        <v>16</v>
      </c>
      <c r="R3" s="10" t="n">
        <v>17</v>
      </c>
      <c r="S3" s="10" t="n">
        <v>18</v>
      </c>
      <c r="T3" s="10" t="n">
        <v>19</v>
      </c>
      <c r="U3" s="10" t="n">
        <v>20</v>
      </c>
      <c r="V3" s="10" t="n">
        <v>21</v>
      </c>
      <c r="W3" s="10" t="n">
        <v>22</v>
      </c>
      <c r="X3" s="10" t="n">
        <v>23</v>
      </c>
      <c r="Y3" s="10" t="n">
        <v>24</v>
      </c>
      <c r="Z3" s="10" t="n">
        <v>25</v>
      </c>
      <c r="AA3" s="10" t="n">
        <v>26</v>
      </c>
      <c r="AB3" s="10" t="n">
        <v>27</v>
      </c>
      <c r="AC3" s="10" t="n">
        <v>28</v>
      </c>
      <c r="AD3" s="10" t="n">
        <v>29</v>
      </c>
      <c r="AE3" s="10" t="n">
        <v>30</v>
      </c>
      <c r="AF3" s="10" t="n">
        <v>31</v>
      </c>
      <c r="AG3" s="26" t="inlineStr">
        <is>
          <t>NO-SPEND DAYS</t>
        </is>
      </c>
    </row>
    <row r="4" ht="14" customHeight="1">
      <c r="A4" s="26" t="inlineStr">
        <is>
          <t>January</t>
        </is>
      </c>
      <c r="B4" s="70" t="n">
        <v>1</v>
      </c>
      <c r="C4" s="70" t="n">
        <v>2</v>
      </c>
      <c r="D4" s="70" t="n">
        <v>3</v>
      </c>
      <c r="E4" s="70" t="n">
        <v>4</v>
      </c>
      <c r="F4" s="70" t="n">
        <v>5</v>
      </c>
      <c r="G4" s="70" t="n">
        <v>6</v>
      </c>
      <c r="H4" s="70" t="n">
        <v>7</v>
      </c>
      <c r="I4" s="70" t="n">
        <v>8</v>
      </c>
      <c r="J4" s="70" t="n">
        <v>9</v>
      </c>
      <c r="K4" s="70" t="n">
        <v>10</v>
      </c>
      <c r="L4" s="70" t="n">
        <v>11</v>
      </c>
      <c r="M4" s="70" t="n">
        <v>12</v>
      </c>
      <c r="N4" s="70" t="n">
        <v>13</v>
      </c>
      <c r="O4" s="70" t="n">
        <v>14</v>
      </c>
      <c r="P4" s="70" t="n">
        <v>15</v>
      </c>
      <c r="Q4" s="70" t="n">
        <v>16</v>
      </c>
      <c r="R4" s="70" t="n">
        <v>17</v>
      </c>
      <c r="S4" s="70" t="n">
        <v>18</v>
      </c>
      <c r="T4" s="70" t="n">
        <v>19</v>
      </c>
      <c r="U4" s="70" t="n">
        <v>20</v>
      </c>
      <c r="V4" s="70" t="n">
        <v>21</v>
      </c>
      <c r="W4" s="70" t="n">
        <v>22</v>
      </c>
      <c r="X4" s="70" t="n">
        <v>23</v>
      </c>
      <c r="Y4" s="70" t="n">
        <v>24</v>
      </c>
      <c r="Z4" s="70" t="n">
        <v>25</v>
      </c>
      <c r="AA4" s="70" t="n">
        <v>26</v>
      </c>
      <c r="AB4" s="70" t="n">
        <v>27</v>
      </c>
      <c r="AC4" s="70" t="n">
        <v>28</v>
      </c>
      <c r="AD4" s="70" t="n">
        <v>29</v>
      </c>
      <c r="AE4" s="70" t="n">
        <v>30</v>
      </c>
      <c r="AF4" s="70" t="n">
        <v>31</v>
      </c>
      <c r="AG4" s="68" t="inlineStr"/>
    </row>
    <row r="5" ht="18" customHeight="1">
      <c r="B5" s="71" t="inlineStr"/>
      <c r="C5" s="71" t="inlineStr"/>
      <c r="D5" s="71" t="inlineStr"/>
      <c r="E5" s="71" t="inlineStr"/>
      <c r="F5" s="71" t="inlineStr"/>
      <c r="G5" s="71" t="inlineStr"/>
      <c r="H5" s="71" t="inlineStr"/>
      <c r="I5" s="71" t="inlineStr"/>
      <c r="J5" s="71" t="inlineStr"/>
      <c r="K5" s="71" t="inlineStr"/>
      <c r="L5" s="71" t="inlineStr"/>
      <c r="M5" s="71" t="inlineStr"/>
      <c r="N5" s="71" t="inlineStr"/>
      <c r="O5" s="71" t="inlineStr"/>
      <c r="P5" s="71" t="inlineStr"/>
      <c r="Q5" s="71" t="inlineStr"/>
      <c r="R5" s="71" t="inlineStr"/>
      <c r="S5" s="71" t="inlineStr"/>
      <c r="T5" s="71" t="inlineStr"/>
      <c r="U5" s="71" t="inlineStr"/>
      <c r="V5" s="71" t="inlineStr"/>
      <c r="W5" s="71" t="inlineStr"/>
      <c r="X5" s="71" t="inlineStr"/>
      <c r="Y5" s="71" t="inlineStr"/>
      <c r="Z5" s="71" t="inlineStr"/>
      <c r="AA5" s="71" t="inlineStr"/>
      <c r="AB5" s="71" t="inlineStr"/>
      <c r="AC5" s="71" t="inlineStr"/>
      <c r="AD5" s="71" t="inlineStr"/>
      <c r="AE5" s="71" t="inlineStr"/>
      <c r="AF5" s="71" t="inlineStr"/>
      <c r="AG5" s="72">
        <f>COUNTIF(B5:AF5,"X")</f>
        <v/>
      </c>
    </row>
    <row r="6" ht="14" customHeight="1">
      <c r="A6" s="11" t="inlineStr">
        <is>
          <t>February</t>
        </is>
      </c>
      <c r="B6" s="73" t="n">
        <v>1</v>
      </c>
      <c r="C6" s="73" t="n">
        <v>2</v>
      </c>
      <c r="D6" s="73" t="n">
        <v>3</v>
      </c>
      <c r="E6" s="73" t="n">
        <v>4</v>
      </c>
      <c r="F6" s="73" t="n">
        <v>5</v>
      </c>
      <c r="G6" s="73" t="n">
        <v>6</v>
      </c>
      <c r="H6" s="73" t="n">
        <v>7</v>
      </c>
      <c r="I6" s="73" t="n">
        <v>8</v>
      </c>
      <c r="J6" s="73" t="n">
        <v>9</v>
      </c>
      <c r="K6" s="73" t="n">
        <v>10</v>
      </c>
      <c r="L6" s="73" t="n">
        <v>11</v>
      </c>
      <c r="M6" s="73" t="n">
        <v>12</v>
      </c>
      <c r="N6" s="73" t="n">
        <v>13</v>
      </c>
      <c r="O6" s="73" t="n">
        <v>14</v>
      </c>
      <c r="P6" s="73" t="n">
        <v>15</v>
      </c>
      <c r="Q6" s="73" t="n">
        <v>16</v>
      </c>
      <c r="R6" s="73" t="n">
        <v>17</v>
      </c>
      <c r="S6" s="73" t="n">
        <v>18</v>
      </c>
      <c r="T6" s="73" t="n">
        <v>19</v>
      </c>
      <c r="U6" s="73" t="n">
        <v>20</v>
      </c>
      <c r="V6" s="73" t="n">
        <v>21</v>
      </c>
      <c r="W6" s="73" t="n">
        <v>22</v>
      </c>
      <c r="X6" s="73" t="n">
        <v>23</v>
      </c>
      <c r="Y6" s="73" t="n">
        <v>24</v>
      </c>
      <c r="Z6" s="73" t="n">
        <v>25</v>
      </c>
      <c r="AA6" s="73" t="n">
        <v>26</v>
      </c>
      <c r="AB6" s="73" t="n">
        <v>27</v>
      </c>
      <c r="AC6" s="73" t="n">
        <v>28</v>
      </c>
      <c r="AD6" s="13" t="inlineStr"/>
      <c r="AE6" s="13" t="inlineStr"/>
      <c r="AF6" s="13" t="inlineStr"/>
      <c r="AG6" s="68" t="inlineStr"/>
    </row>
    <row r="7" ht="18" customHeight="1">
      <c r="B7" s="71" t="inlineStr"/>
      <c r="C7" s="71" t="inlineStr"/>
      <c r="D7" s="71" t="inlineStr"/>
      <c r="E7" s="71" t="inlineStr"/>
      <c r="F7" s="71" t="inlineStr"/>
      <c r="G7" s="71" t="inlineStr"/>
      <c r="H7" s="71" t="inlineStr"/>
      <c r="I7" s="71" t="inlineStr"/>
      <c r="J7" s="71" t="inlineStr"/>
      <c r="K7" s="71" t="inlineStr"/>
      <c r="L7" s="71" t="inlineStr"/>
      <c r="M7" s="71" t="inlineStr"/>
      <c r="N7" s="71" t="inlineStr"/>
      <c r="O7" s="71" t="inlineStr"/>
      <c r="P7" s="71" t="inlineStr"/>
      <c r="Q7" s="71" t="inlineStr"/>
      <c r="R7" s="71" t="inlineStr"/>
      <c r="S7" s="71" t="inlineStr"/>
      <c r="T7" s="71" t="inlineStr"/>
      <c r="U7" s="71" t="inlineStr"/>
      <c r="V7" s="71" t="inlineStr"/>
      <c r="W7" s="71" t="inlineStr"/>
      <c r="X7" s="71" t="inlineStr"/>
      <c r="Y7" s="71" t="inlineStr"/>
      <c r="Z7" s="71" t="inlineStr"/>
      <c r="AA7" s="71" t="inlineStr"/>
      <c r="AB7" s="71" t="inlineStr"/>
      <c r="AC7" s="71" t="inlineStr"/>
      <c r="AD7" s="13" t="inlineStr"/>
      <c r="AE7" s="13" t="inlineStr"/>
      <c r="AF7" s="13" t="inlineStr"/>
      <c r="AG7" s="72">
        <f>COUNTIF(B7:AF7,"X")</f>
        <v/>
      </c>
    </row>
    <row r="8" ht="14" customHeight="1">
      <c r="A8" s="26" t="inlineStr">
        <is>
          <t>March</t>
        </is>
      </c>
      <c r="B8" s="70" t="n">
        <v>1</v>
      </c>
      <c r="C8" s="70" t="n">
        <v>2</v>
      </c>
      <c r="D8" s="70" t="n">
        <v>3</v>
      </c>
      <c r="E8" s="70" t="n">
        <v>4</v>
      </c>
      <c r="F8" s="70" t="n">
        <v>5</v>
      </c>
      <c r="G8" s="70" t="n">
        <v>6</v>
      </c>
      <c r="H8" s="70" t="n">
        <v>7</v>
      </c>
      <c r="I8" s="70" t="n">
        <v>8</v>
      </c>
      <c r="J8" s="70" t="n">
        <v>9</v>
      </c>
      <c r="K8" s="70" t="n">
        <v>10</v>
      </c>
      <c r="L8" s="70" t="n">
        <v>11</v>
      </c>
      <c r="M8" s="70" t="n">
        <v>12</v>
      </c>
      <c r="N8" s="70" t="n">
        <v>13</v>
      </c>
      <c r="O8" s="70" t="n">
        <v>14</v>
      </c>
      <c r="P8" s="70" t="n">
        <v>15</v>
      </c>
      <c r="Q8" s="70" t="n">
        <v>16</v>
      </c>
      <c r="R8" s="70" t="n">
        <v>17</v>
      </c>
      <c r="S8" s="70" t="n">
        <v>18</v>
      </c>
      <c r="T8" s="70" t="n">
        <v>19</v>
      </c>
      <c r="U8" s="70" t="n">
        <v>20</v>
      </c>
      <c r="V8" s="70" t="n">
        <v>21</v>
      </c>
      <c r="W8" s="70" t="n">
        <v>22</v>
      </c>
      <c r="X8" s="70" t="n">
        <v>23</v>
      </c>
      <c r="Y8" s="70" t="n">
        <v>24</v>
      </c>
      <c r="Z8" s="70" t="n">
        <v>25</v>
      </c>
      <c r="AA8" s="70" t="n">
        <v>26</v>
      </c>
      <c r="AB8" s="70" t="n">
        <v>27</v>
      </c>
      <c r="AC8" s="70" t="n">
        <v>28</v>
      </c>
      <c r="AD8" s="70" t="n">
        <v>29</v>
      </c>
      <c r="AE8" s="70" t="n">
        <v>30</v>
      </c>
      <c r="AF8" s="70" t="n">
        <v>31</v>
      </c>
      <c r="AG8" s="68" t="inlineStr"/>
    </row>
    <row r="9" ht="18" customHeight="1">
      <c r="B9" s="71" t="inlineStr"/>
      <c r="C9" s="71" t="inlineStr"/>
      <c r="D9" s="71" t="inlineStr"/>
      <c r="E9" s="71" t="inlineStr"/>
      <c r="F9" s="71" t="inlineStr"/>
      <c r="G9" s="71" t="inlineStr"/>
      <c r="H9" s="71" t="inlineStr"/>
      <c r="I9" s="71" t="inlineStr"/>
      <c r="J9" s="71" t="inlineStr"/>
      <c r="K9" s="71" t="inlineStr"/>
      <c r="L9" s="71" t="inlineStr"/>
      <c r="M9" s="71" t="inlineStr"/>
      <c r="N9" s="71" t="inlineStr"/>
      <c r="O9" s="71" t="inlineStr"/>
      <c r="P9" s="71" t="inlineStr"/>
      <c r="Q9" s="71" t="inlineStr"/>
      <c r="R9" s="71" t="inlineStr"/>
      <c r="S9" s="71" t="inlineStr"/>
      <c r="T9" s="71" t="inlineStr"/>
      <c r="U9" s="71" t="inlineStr"/>
      <c r="V9" s="71" t="inlineStr"/>
      <c r="W9" s="71" t="inlineStr"/>
      <c r="X9" s="71" t="inlineStr"/>
      <c r="Y9" s="71" t="inlineStr"/>
      <c r="Z9" s="71" t="inlineStr"/>
      <c r="AA9" s="71" t="inlineStr"/>
      <c r="AB9" s="71" t="inlineStr"/>
      <c r="AC9" s="71" t="inlineStr"/>
      <c r="AD9" s="71" t="inlineStr"/>
      <c r="AE9" s="71" t="inlineStr"/>
      <c r="AF9" s="71" t="inlineStr"/>
      <c r="AG9" s="72">
        <f>COUNTIF(B9:AF9,"X")</f>
        <v/>
      </c>
    </row>
    <row r="10" ht="14" customHeight="1">
      <c r="A10" s="11" t="inlineStr">
        <is>
          <t>April</t>
        </is>
      </c>
      <c r="B10" s="73" t="n">
        <v>1</v>
      </c>
      <c r="C10" s="73" t="n">
        <v>2</v>
      </c>
      <c r="D10" s="73" t="n">
        <v>3</v>
      </c>
      <c r="E10" s="73" t="n">
        <v>4</v>
      </c>
      <c r="F10" s="73" t="n">
        <v>5</v>
      </c>
      <c r="G10" s="73" t="n">
        <v>6</v>
      </c>
      <c r="H10" s="73" t="n">
        <v>7</v>
      </c>
      <c r="I10" s="73" t="n">
        <v>8</v>
      </c>
      <c r="J10" s="73" t="n">
        <v>9</v>
      </c>
      <c r="K10" s="73" t="n">
        <v>10</v>
      </c>
      <c r="L10" s="73" t="n">
        <v>11</v>
      </c>
      <c r="M10" s="73" t="n">
        <v>12</v>
      </c>
      <c r="N10" s="73" t="n">
        <v>13</v>
      </c>
      <c r="O10" s="73" t="n">
        <v>14</v>
      </c>
      <c r="P10" s="73" t="n">
        <v>15</v>
      </c>
      <c r="Q10" s="73" t="n">
        <v>16</v>
      </c>
      <c r="R10" s="73" t="n">
        <v>17</v>
      </c>
      <c r="S10" s="73" t="n">
        <v>18</v>
      </c>
      <c r="T10" s="73" t="n">
        <v>19</v>
      </c>
      <c r="U10" s="73" t="n">
        <v>20</v>
      </c>
      <c r="V10" s="73" t="n">
        <v>21</v>
      </c>
      <c r="W10" s="73" t="n">
        <v>22</v>
      </c>
      <c r="X10" s="73" t="n">
        <v>23</v>
      </c>
      <c r="Y10" s="73" t="n">
        <v>24</v>
      </c>
      <c r="Z10" s="73" t="n">
        <v>25</v>
      </c>
      <c r="AA10" s="73" t="n">
        <v>26</v>
      </c>
      <c r="AB10" s="73" t="n">
        <v>27</v>
      </c>
      <c r="AC10" s="73" t="n">
        <v>28</v>
      </c>
      <c r="AD10" s="73" t="n">
        <v>29</v>
      </c>
      <c r="AE10" s="73" t="n">
        <v>30</v>
      </c>
      <c r="AF10" s="13" t="inlineStr"/>
      <c r="AG10" s="68" t="inlineStr"/>
    </row>
    <row r="11" ht="18" customHeight="1">
      <c r="B11" s="71" t="inlineStr"/>
      <c r="C11" s="71" t="inlineStr"/>
      <c r="D11" s="71" t="inlineStr"/>
      <c r="E11" s="71" t="inlineStr"/>
      <c r="F11" s="71" t="inlineStr"/>
      <c r="G11" s="71" t="inlineStr"/>
      <c r="H11" s="71" t="inlineStr"/>
      <c r="I11" s="71" t="inlineStr"/>
      <c r="J11" s="71" t="inlineStr"/>
      <c r="K11" s="71" t="inlineStr"/>
      <c r="L11" s="71" t="inlineStr"/>
      <c r="M11" s="71" t="inlineStr"/>
      <c r="N11" s="71" t="inlineStr"/>
      <c r="O11" s="71" t="inlineStr"/>
      <c r="P11" s="71" t="inlineStr"/>
      <c r="Q11" s="71" t="inlineStr"/>
      <c r="R11" s="71" t="inlineStr"/>
      <c r="S11" s="71" t="inlineStr"/>
      <c r="T11" s="71" t="inlineStr"/>
      <c r="U11" s="71" t="inlineStr"/>
      <c r="V11" s="71" t="inlineStr"/>
      <c r="W11" s="71" t="inlineStr"/>
      <c r="X11" s="71" t="inlineStr"/>
      <c r="Y11" s="71" t="inlineStr"/>
      <c r="Z11" s="71" t="inlineStr"/>
      <c r="AA11" s="71" t="inlineStr"/>
      <c r="AB11" s="71" t="inlineStr"/>
      <c r="AC11" s="71" t="inlineStr"/>
      <c r="AD11" s="71" t="inlineStr"/>
      <c r="AE11" s="71" t="inlineStr"/>
      <c r="AF11" s="13" t="inlineStr"/>
      <c r="AG11" s="72">
        <f>COUNTIF(B11:AF11,"X")</f>
        <v/>
      </c>
    </row>
    <row r="12" ht="14" customHeight="1">
      <c r="A12" s="26" t="inlineStr">
        <is>
          <t>May</t>
        </is>
      </c>
      <c r="B12" s="70" t="n">
        <v>1</v>
      </c>
      <c r="C12" s="70" t="n">
        <v>2</v>
      </c>
      <c r="D12" s="70" t="n">
        <v>3</v>
      </c>
      <c r="E12" s="70" t="n">
        <v>4</v>
      </c>
      <c r="F12" s="70" t="n">
        <v>5</v>
      </c>
      <c r="G12" s="70" t="n">
        <v>6</v>
      </c>
      <c r="H12" s="70" t="n">
        <v>7</v>
      </c>
      <c r="I12" s="70" t="n">
        <v>8</v>
      </c>
      <c r="J12" s="70" t="n">
        <v>9</v>
      </c>
      <c r="K12" s="70" t="n">
        <v>10</v>
      </c>
      <c r="L12" s="70" t="n">
        <v>11</v>
      </c>
      <c r="M12" s="70" t="n">
        <v>12</v>
      </c>
      <c r="N12" s="70" t="n">
        <v>13</v>
      </c>
      <c r="O12" s="70" t="n">
        <v>14</v>
      </c>
      <c r="P12" s="70" t="n">
        <v>15</v>
      </c>
      <c r="Q12" s="70" t="n">
        <v>16</v>
      </c>
      <c r="R12" s="70" t="n">
        <v>17</v>
      </c>
      <c r="S12" s="70" t="n">
        <v>18</v>
      </c>
      <c r="T12" s="70" t="n">
        <v>19</v>
      </c>
      <c r="U12" s="70" t="n">
        <v>20</v>
      </c>
      <c r="V12" s="70" t="n">
        <v>21</v>
      </c>
      <c r="W12" s="70" t="n">
        <v>22</v>
      </c>
      <c r="X12" s="70" t="n">
        <v>23</v>
      </c>
      <c r="Y12" s="70" t="n">
        <v>24</v>
      </c>
      <c r="Z12" s="70" t="n">
        <v>25</v>
      </c>
      <c r="AA12" s="70" t="n">
        <v>26</v>
      </c>
      <c r="AB12" s="70" t="n">
        <v>27</v>
      </c>
      <c r="AC12" s="70" t="n">
        <v>28</v>
      </c>
      <c r="AD12" s="70" t="n">
        <v>29</v>
      </c>
      <c r="AE12" s="70" t="n">
        <v>30</v>
      </c>
      <c r="AF12" s="70" t="n">
        <v>31</v>
      </c>
      <c r="AG12" s="68" t="inlineStr"/>
    </row>
    <row r="13" ht="18" customHeight="1">
      <c r="B13" s="71" t="inlineStr"/>
      <c r="C13" s="71" t="inlineStr"/>
      <c r="D13" s="71" t="inlineStr"/>
      <c r="E13" s="71" t="inlineStr"/>
      <c r="F13" s="71" t="inlineStr"/>
      <c r="G13" s="71" t="inlineStr"/>
      <c r="H13" s="71" t="inlineStr"/>
      <c r="I13" s="71" t="inlineStr"/>
      <c r="J13" s="71" t="inlineStr"/>
      <c r="K13" s="71" t="inlineStr"/>
      <c r="L13" s="71" t="inlineStr"/>
      <c r="M13" s="71" t="inlineStr"/>
      <c r="N13" s="71" t="inlineStr"/>
      <c r="O13" s="71" t="inlineStr"/>
      <c r="P13" s="71" t="inlineStr"/>
      <c r="Q13" s="71" t="inlineStr"/>
      <c r="R13" s="71" t="inlineStr"/>
      <c r="S13" s="71" t="inlineStr"/>
      <c r="T13" s="71" t="inlineStr"/>
      <c r="U13" s="71" t="inlineStr"/>
      <c r="V13" s="71" t="inlineStr"/>
      <c r="W13" s="71" t="inlineStr"/>
      <c r="X13" s="71" t="inlineStr"/>
      <c r="Y13" s="71" t="inlineStr"/>
      <c r="Z13" s="71" t="inlineStr"/>
      <c r="AA13" s="71" t="inlineStr"/>
      <c r="AB13" s="71" t="inlineStr"/>
      <c r="AC13" s="71" t="inlineStr"/>
      <c r="AD13" s="71" t="inlineStr"/>
      <c r="AE13" s="71" t="inlineStr"/>
      <c r="AF13" s="71" t="inlineStr"/>
      <c r="AG13" s="72">
        <f>COUNTIF(B13:AF13,"X")</f>
        <v/>
      </c>
    </row>
    <row r="14" ht="14" customHeight="1">
      <c r="A14" s="11" t="inlineStr">
        <is>
          <t>June</t>
        </is>
      </c>
      <c r="B14" s="73" t="n">
        <v>1</v>
      </c>
      <c r="C14" s="73" t="n">
        <v>2</v>
      </c>
      <c r="D14" s="73" t="n">
        <v>3</v>
      </c>
      <c r="E14" s="73" t="n">
        <v>4</v>
      </c>
      <c r="F14" s="73" t="n">
        <v>5</v>
      </c>
      <c r="G14" s="73" t="n">
        <v>6</v>
      </c>
      <c r="H14" s="73" t="n">
        <v>7</v>
      </c>
      <c r="I14" s="73" t="n">
        <v>8</v>
      </c>
      <c r="J14" s="73" t="n">
        <v>9</v>
      </c>
      <c r="K14" s="73" t="n">
        <v>10</v>
      </c>
      <c r="L14" s="73" t="n">
        <v>11</v>
      </c>
      <c r="M14" s="73" t="n">
        <v>12</v>
      </c>
      <c r="N14" s="73" t="n">
        <v>13</v>
      </c>
      <c r="O14" s="73" t="n">
        <v>14</v>
      </c>
      <c r="P14" s="73" t="n">
        <v>15</v>
      </c>
      <c r="Q14" s="73" t="n">
        <v>16</v>
      </c>
      <c r="R14" s="73" t="n">
        <v>17</v>
      </c>
      <c r="S14" s="73" t="n">
        <v>18</v>
      </c>
      <c r="T14" s="73" t="n">
        <v>19</v>
      </c>
      <c r="U14" s="73" t="n">
        <v>20</v>
      </c>
      <c r="V14" s="73" t="n">
        <v>21</v>
      </c>
      <c r="W14" s="73" t="n">
        <v>22</v>
      </c>
      <c r="X14" s="73" t="n">
        <v>23</v>
      </c>
      <c r="Y14" s="73" t="n">
        <v>24</v>
      </c>
      <c r="Z14" s="73" t="n">
        <v>25</v>
      </c>
      <c r="AA14" s="73" t="n">
        <v>26</v>
      </c>
      <c r="AB14" s="73" t="n">
        <v>27</v>
      </c>
      <c r="AC14" s="73" t="n">
        <v>28</v>
      </c>
      <c r="AD14" s="73" t="n">
        <v>29</v>
      </c>
      <c r="AE14" s="73" t="n">
        <v>30</v>
      </c>
      <c r="AF14" s="13" t="inlineStr"/>
      <c r="AG14" s="68" t="inlineStr"/>
    </row>
    <row r="15" ht="18" customHeight="1">
      <c r="B15" s="71" t="inlineStr"/>
      <c r="C15" s="71" t="inlineStr"/>
      <c r="D15" s="71" t="inlineStr"/>
      <c r="E15" s="71" t="inlineStr"/>
      <c r="F15" s="71" t="inlineStr"/>
      <c r="G15" s="71" t="inlineStr"/>
      <c r="H15" s="71" t="inlineStr"/>
      <c r="I15" s="71" t="inlineStr"/>
      <c r="J15" s="71" t="inlineStr"/>
      <c r="K15" s="71" t="inlineStr"/>
      <c r="L15" s="71" t="inlineStr"/>
      <c r="M15" s="71" t="inlineStr"/>
      <c r="N15" s="71" t="inlineStr"/>
      <c r="O15" s="71" t="inlineStr"/>
      <c r="P15" s="71" t="inlineStr"/>
      <c r="Q15" s="71" t="inlineStr"/>
      <c r="R15" s="71" t="inlineStr"/>
      <c r="S15" s="71" t="inlineStr"/>
      <c r="T15" s="71" t="inlineStr"/>
      <c r="U15" s="71" t="inlineStr"/>
      <c r="V15" s="71" t="inlineStr"/>
      <c r="W15" s="71" t="inlineStr"/>
      <c r="X15" s="71" t="inlineStr"/>
      <c r="Y15" s="71" t="inlineStr"/>
      <c r="Z15" s="71" t="inlineStr"/>
      <c r="AA15" s="71" t="inlineStr"/>
      <c r="AB15" s="71" t="inlineStr"/>
      <c r="AC15" s="71" t="inlineStr"/>
      <c r="AD15" s="71" t="inlineStr"/>
      <c r="AE15" s="71" t="inlineStr"/>
      <c r="AF15" s="13" t="inlineStr"/>
      <c r="AG15" s="72">
        <f>COUNTIF(B15:AF15,"X")</f>
        <v/>
      </c>
    </row>
    <row r="16" ht="14" customHeight="1">
      <c r="A16" s="26" t="inlineStr">
        <is>
          <t>July</t>
        </is>
      </c>
      <c r="B16" s="70" t="n">
        <v>1</v>
      </c>
      <c r="C16" s="70" t="n">
        <v>2</v>
      </c>
      <c r="D16" s="70" t="n">
        <v>3</v>
      </c>
      <c r="E16" s="70" t="n">
        <v>4</v>
      </c>
      <c r="F16" s="70" t="n">
        <v>5</v>
      </c>
      <c r="G16" s="70" t="n">
        <v>6</v>
      </c>
      <c r="H16" s="70" t="n">
        <v>7</v>
      </c>
      <c r="I16" s="70" t="n">
        <v>8</v>
      </c>
      <c r="J16" s="70" t="n">
        <v>9</v>
      </c>
      <c r="K16" s="70" t="n">
        <v>10</v>
      </c>
      <c r="L16" s="70" t="n">
        <v>11</v>
      </c>
      <c r="M16" s="70" t="n">
        <v>12</v>
      </c>
      <c r="N16" s="70" t="n">
        <v>13</v>
      </c>
      <c r="O16" s="70" t="n">
        <v>14</v>
      </c>
      <c r="P16" s="70" t="n">
        <v>15</v>
      </c>
      <c r="Q16" s="70" t="n">
        <v>16</v>
      </c>
      <c r="R16" s="70" t="n">
        <v>17</v>
      </c>
      <c r="S16" s="70" t="n">
        <v>18</v>
      </c>
      <c r="T16" s="70" t="n">
        <v>19</v>
      </c>
      <c r="U16" s="70" t="n">
        <v>20</v>
      </c>
      <c r="V16" s="70" t="n">
        <v>21</v>
      </c>
      <c r="W16" s="70" t="n">
        <v>22</v>
      </c>
      <c r="X16" s="70" t="n">
        <v>23</v>
      </c>
      <c r="Y16" s="70" t="n">
        <v>24</v>
      </c>
      <c r="Z16" s="70" t="n">
        <v>25</v>
      </c>
      <c r="AA16" s="70" t="n">
        <v>26</v>
      </c>
      <c r="AB16" s="70" t="n">
        <v>27</v>
      </c>
      <c r="AC16" s="70" t="n">
        <v>28</v>
      </c>
      <c r="AD16" s="70" t="n">
        <v>29</v>
      </c>
      <c r="AE16" s="70" t="n">
        <v>30</v>
      </c>
      <c r="AF16" s="70" t="n">
        <v>31</v>
      </c>
      <c r="AG16" s="68" t="inlineStr"/>
    </row>
    <row r="17" ht="18" customHeight="1">
      <c r="B17" s="71" t="inlineStr"/>
      <c r="C17" s="71" t="inlineStr"/>
      <c r="D17" s="71" t="inlineStr"/>
      <c r="E17" s="71" t="inlineStr"/>
      <c r="F17" s="71" t="inlineStr"/>
      <c r="G17" s="71" t="inlineStr"/>
      <c r="H17" s="71" t="inlineStr"/>
      <c r="I17" s="71" t="inlineStr"/>
      <c r="J17" s="71" t="inlineStr"/>
      <c r="K17" s="71" t="inlineStr"/>
      <c r="L17" s="71" t="inlineStr"/>
      <c r="M17" s="71" t="inlineStr"/>
      <c r="N17" s="71" t="inlineStr"/>
      <c r="O17" s="71" t="inlineStr"/>
      <c r="P17" s="71" t="inlineStr"/>
      <c r="Q17" s="71" t="inlineStr"/>
      <c r="R17" s="71" t="inlineStr"/>
      <c r="S17" s="71" t="inlineStr"/>
      <c r="T17" s="71" t="inlineStr"/>
      <c r="U17" s="71" t="inlineStr"/>
      <c r="V17" s="71" t="inlineStr"/>
      <c r="W17" s="71" t="inlineStr"/>
      <c r="X17" s="71" t="inlineStr"/>
      <c r="Y17" s="71" t="inlineStr"/>
      <c r="Z17" s="71" t="inlineStr"/>
      <c r="AA17" s="71" t="inlineStr"/>
      <c r="AB17" s="71" t="inlineStr"/>
      <c r="AC17" s="71" t="inlineStr"/>
      <c r="AD17" s="71" t="inlineStr"/>
      <c r="AE17" s="71" t="inlineStr"/>
      <c r="AF17" s="71" t="inlineStr"/>
      <c r="AG17" s="72">
        <f>COUNTIF(B17:AF17,"X")</f>
        <v/>
      </c>
    </row>
    <row r="18" ht="14" customHeight="1">
      <c r="A18" s="11" t="inlineStr">
        <is>
          <t>August</t>
        </is>
      </c>
      <c r="B18" s="73" t="n">
        <v>1</v>
      </c>
      <c r="C18" s="73" t="n">
        <v>2</v>
      </c>
      <c r="D18" s="73" t="n">
        <v>3</v>
      </c>
      <c r="E18" s="73" t="n">
        <v>4</v>
      </c>
      <c r="F18" s="73" t="n">
        <v>5</v>
      </c>
      <c r="G18" s="73" t="n">
        <v>6</v>
      </c>
      <c r="H18" s="73" t="n">
        <v>7</v>
      </c>
      <c r="I18" s="73" t="n">
        <v>8</v>
      </c>
      <c r="J18" s="73" t="n">
        <v>9</v>
      </c>
      <c r="K18" s="73" t="n">
        <v>10</v>
      </c>
      <c r="L18" s="73" t="n">
        <v>11</v>
      </c>
      <c r="M18" s="73" t="n">
        <v>12</v>
      </c>
      <c r="N18" s="73" t="n">
        <v>13</v>
      </c>
      <c r="O18" s="73" t="n">
        <v>14</v>
      </c>
      <c r="P18" s="73" t="n">
        <v>15</v>
      </c>
      <c r="Q18" s="73" t="n">
        <v>16</v>
      </c>
      <c r="R18" s="73" t="n">
        <v>17</v>
      </c>
      <c r="S18" s="73" t="n">
        <v>18</v>
      </c>
      <c r="T18" s="73" t="n">
        <v>19</v>
      </c>
      <c r="U18" s="73" t="n">
        <v>20</v>
      </c>
      <c r="V18" s="73" t="n">
        <v>21</v>
      </c>
      <c r="W18" s="73" t="n">
        <v>22</v>
      </c>
      <c r="X18" s="73" t="n">
        <v>23</v>
      </c>
      <c r="Y18" s="73" t="n">
        <v>24</v>
      </c>
      <c r="Z18" s="73" t="n">
        <v>25</v>
      </c>
      <c r="AA18" s="73" t="n">
        <v>26</v>
      </c>
      <c r="AB18" s="73" t="n">
        <v>27</v>
      </c>
      <c r="AC18" s="73" t="n">
        <v>28</v>
      </c>
      <c r="AD18" s="73" t="n">
        <v>29</v>
      </c>
      <c r="AE18" s="73" t="n">
        <v>30</v>
      </c>
      <c r="AF18" s="73" t="n">
        <v>31</v>
      </c>
      <c r="AG18" s="68" t="inlineStr"/>
    </row>
    <row r="19" ht="18" customHeight="1">
      <c r="B19" s="71" t="inlineStr"/>
      <c r="C19" s="71" t="inlineStr"/>
      <c r="D19" s="71" t="inlineStr"/>
      <c r="E19" s="71" t="inlineStr"/>
      <c r="F19" s="71" t="inlineStr"/>
      <c r="G19" s="71" t="inlineStr"/>
      <c r="H19" s="71" t="inlineStr"/>
      <c r="I19" s="71" t="inlineStr"/>
      <c r="J19" s="71" t="inlineStr"/>
      <c r="K19" s="71" t="inlineStr"/>
      <c r="L19" s="71" t="inlineStr"/>
      <c r="M19" s="71" t="inlineStr"/>
      <c r="N19" s="71" t="inlineStr"/>
      <c r="O19" s="71" t="inlineStr"/>
      <c r="P19" s="71" t="inlineStr"/>
      <c r="Q19" s="71" t="inlineStr"/>
      <c r="R19" s="71" t="inlineStr"/>
      <c r="S19" s="71" t="inlineStr"/>
      <c r="T19" s="71" t="inlineStr"/>
      <c r="U19" s="71" t="inlineStr"/>
      <c r="V19" s="71" t="inlineStr"/>
      <c r="W19" s="71" t="inlineStr"/>
      <c r="X19" s="71" t="inlineStr"/>
      <c r="Y19" s="71" t="inlineStr"/>
      <c r="Z19" s="71" t="inlineStr"/>
      <c r="AA19" s="71" t="inlineStr"/>
      <c r="AB19" s="71" t="inlineStr"/>
      <c r="AC19" s="71" t="inlineStr"/>
      <c r="AD19" s="71" t="inlineStr"/>
      <c r="AE19" s="71" t="inlineStr"/>
      <c r="AF19" s="71" t="inlineStr"/>
      <c r="AG19" s="72">
        <f>COUNTIF(B19:AF19,"X")</f>
        <v/>
      </c>
    </row>
    <row r="20" ht="14" customHeight="1">
      <c r="A20" s="26" t="inlineStr">
        <is>
          <t>September</t>
        </is>
      </c>
      <c r="B20" s="70" t="n">
        <v>1</v>
      </c>
      <c r="C20" s="70" t="n">
        <v>2</v>
      </c>
      <c r="D20" s="70" t="n">
        <v>3</v>
      </c>
      <c r="E20" s="70" t="n">
        <v>4</v>
      </c>
      <c r="F20" s="70" t="n">
        <v>5</v>
      </c>
      <c r="G20" s="70" t="n">
        <v>6</v>
      </c>
      <c r="H20" s="70" t="n">
        <v>7</v>
      </c>
      <c r="I20" s="70" t="n">
        <v>8</v>
      </c>
      <c r="J20" s="70" t="n">
        <v>9</v>
      </c>
      <c r="K20" s="70" t="n">
        <v>10</v>
      </c>
      <c r="L20" s="70" t="n">
        <v>11</v>
      </c>
      <c r="M20" s="70" t="n">
        <v>12</v>
      </c>
      <c r="N20" s="70" t="n">
        <v>13</v>
      </c>
      <c r="O20" s="70" t="n">
        <v>14</v>
      </c>
      <c r="P20" s="70" t="n">
        <v>15</v>
      </c>
      <c r="Q20" s="70" t="n">
        <v>16</v>
      </c>
      <c r="R20" s="70" t="n">
        <v>17</v>
      </c>
      <c r="S20" s="70" t="n">
        <v>18</v>
      </c>
      <c r="T20" s="70" t="n">
        <v>19</v>
      </c>
      <c r="U20" s="70" t="n">
        <v>20</v>
      </c>
      <c r="V20" s="70" t="n">
        <v>21</v>
      </c>
      <c r="W20" s="70" t="n">
        <v>22</v>
      </c>
      <c r="X20" s="70" t="n">
        <v>23</v>
      </c>
      <c r="Y20" s="70" t="n">
        <v>24</v>
      </c>
      <c r="Z20" s="70" t="n">
        <v>25</v>
      </c>
      <c r="AA20" s="70" t="n">
        <v>26</v>
      </c>
      <c r="AB20" s="70" t="n">
        <v>27</v>
      </c>
      <c r="AC20" s="70" t="n">
        <v>28</v>
      </c>
      <c r="AD20" s="70" t="n">
        <v>29</v>
      </c>
      <c r="AE20" s="70" t="n">
        <v>30</v>
      </c>
      <c r="AF20" s="13" t="inlineStr"/>
      <c r="AG20" s="68" t="inlineStr"/>
    </row>
    <row r="21" ht="18" customHeight="1">
      <c r="B21" s="71" t="inlineStr"/>
      <c r="C21" s="71" t="inlineStr"/>
      <c r="D21" s="71" t="inlineStr"/>
      <c r="E21" s="71" t="inlineStr"/>
      <c r="F21" s="71" t="inlineStr"/>
      <c r="G21" s="71" t="inlineStr"/>
      <c r="H21" s="71" t="inlineStr"/>
      <c r="I21" s="71" t="inlineStr"/>
      <c r="J21" s="71" t="inlineStr"/>
      <c r="K21" s="71" t="inlineStr"/>
      <c r="L21" s="71" t="inlineStr"/>
      <c r="M21" s="71" t="inlineStr"/>
      <c r="N21" s="71" t="inlineStr"/>
      <c r="O21" s="71" t="inlineStr"/>
      <c r="P21" s="71" t="inlineStr"/>
      <c r="Q21" s="71" t="inlineStr"/>
      <c r="R21" s="71" t="inlineStr"/>
      <c r="S21" s="71" t="inlineStr"/>
      <c r="T21" s="71" t="inlineStr"/>
      <c r="U21" s="71" t="inlineStr"/>
      <c r="V21" s="71" t="inlineStr"/>
      <c r="W21" s="71" t="inlineStr"/>
      <c r="X21" s="71" t="inlineStr"/>
      <c r="Y21" s="71" t="inlineStr"/>
      <c r="Z21" s="71" t="inlineStr"/>
      <c r="AA21" s="71" t="inlineStr"/>
      <c r="AB21" s="71" t="inlineStr"/>
      <c r="AC21" s="71" t="inlineStr"/>
      <c r="AD21" s="71" t="inlineStr"/>
      <c r="AE21" s="71" t="inlineStr"/>
      <c r="AF21" s="13" t="inlineStr"/>
      <c r="AG21" s="72">
        <f>COUNTIF(B21:AF21,"X")</f>
        <v/>
      </c>
    </row>
    <row r="22" ht="14" customHeight="1">
      <c r="A22" s="11" t="inlineStr">
        <is>
          <t>October</t>
        </is>
      </c>
      <c r="B22" s="73" t="n">
        <v>1</v>
      </c>
      <c r="C22" s="73" t="n">
        <v>2</v>
      </c>
      <c r="D22" s="73" t="n">
        <v>3</v>
      </c>
      <c r="E22" s="73" t="n">
        <v>4</v>
      </c>
      <c r="F22" s="73" t="n">
        <v>5</v>
      </c>
      <c r="G22" s="73" t="n">
        <v>6</v>
      </c>
      <c r="H22" s="73" t="n">
        <v>7</v>
      </c>
      <c r="I22" s="73" t="n">
        <v>8</v>
      </c>
      <c r="J22" s="73" t="n">
        <v>9</v>
      </c>
      <c r="K22" s="73" t="n">
        <v>10</v>
      </c>
      <c r="L22" s="73" t="n">
        <v>11</v>
      </c>
      <c r="M22" s="73" t="n">
        <v>12</v>
      </c>
      <c r="N22" s="73" t="n">
        <v>13</v>
      </c>
      <c r="O22" s="73" t="n">
        <v>14</v>
      </c>
      <c r="P22" s="73" t="n">
        <v>15</v>
      </c>
      <c r="Q22" s="73" t="n">
        <v>16</v>
      </c>
      <c r="R22" s="73" t="n">
        <v>17</v>
      </c>
      <c r="S22" s="73" t="n">
        <v>18</v>
      </c>
      <c r="T22" s="73" t="n">
        <v>19</v>
      </c>
      <c r="U22" s="73" t="n">
        <v>20</v>
      </c>
      <c r="V22" s="73" t="n">
        <v>21</v>
      </c>
      <c r="W22" s="73" t="n">
        <v>22</v>
      </c>
      <c r="X22" s="73" t="n">
        <v>23</v>
      </c>
      <c r="Y22" s="73" t="n">
        <v>24</v>
      </c>
      <c r="Z22" s="73" t="n">
        <v>25</v>
      </c>
      <c r="AA22" s="73" t="n">
        <v>26</v>
      </c>
      <c r="AB22" s="73" t="n">
        <v>27</v>
      </c>
      <c r="AC22" s="73" t="n">
        <v>28</v>
      </c>
      <c r="AD22" s="73" t="n">
        <v>29</v>
      </c>
      <c r="AE22" s="73" t="n">
        <v>30</v>
      </c>
      <c r="AF22" s="73" t="n">
        <v>31</v>
      </c>
      <c r="AG22" s="68" t="inlineStr"/>
    </row>
    <row r="23" ht="18" customHeight="1">
      <c r="B23" s="71" t="inlineStr"/>
      <c r="C23" s="71" t="inlineStr"/>
      <c r="D23" s="71" t="inlineStr"/>
      <c r="E23" s="71" t="inlineStr"/>
      <c r="F23" s="71" t="inlineStr"/>
      <c r="G23" s="71" t="inlineStr"/>
      <c r="H23" s="71" t="inlineStr"/>
      <c r="I23" s="71" t="inlineStr"/>
      <c r="J23" s="71" t="inlineStr"/>
      <c r="K23" s="71" t="inlineStr"/>
      <c r="L23" s="71" t="inlineStr"/>
      <c r="M23" s="71" t="inlineStr"/>
      <c r="N23" s="71" t="inlineStr"/>
      <c r="O23" s="71" t="inlineStr"/>
      <c r="P23" s="71" t="inlineStr"/>
      <c r="Q23" s="71" t="inlineStr"/>
      <c r="R23" s="71" t="inlineStr"/>
      <c r="S23" s="71" t="inlineStr"/>
      <c r="T23" s="71" t="inlineStr"/>
      <c r="U23" s="71" t="inlineStr"/>
      <c r="V23" s="71" t="inlineStr"/>
      <c r="W23" s="71" t="inlineStr"/>
      <c r="X23" s="71" t="inlineStr"/>
      <c r="Y23" s="71" t="inlineStr"/>
      <c r="Z23" s="71" t="inlineStr"/>
      <c r="AA23" s="71" t="inlineStr"/>
      <c r="AB23" s="71" t="inlineStr"/>
      <c r="AC23" s="71" t="inlineStr"/>
      <c r="AD23" s="71" t="inlineStr"/>
      <c r="AE23" s="71" t="inlineStr"/>
      <c r="AF23" s="71" t="inlineStr"/>
      <c r="AG23" s="72">
        <f>COUNTIF(B23:AF23,"X")</f>
        <v/>
      </c>
    </row>
    <row r="24" ht="14" customHeight="1">
      <c r="A24" s="26" t="inlineStr">
        <is>
          <t>November</t>
        </is>
      </c>
      <c r="B24" s="70" t="n">
        <v>1</v>
      </c>
      <c r="C24" s="70" t="n">
        <v>2</v>
      </c>
      <c r="D24" s="70" t="n">
        <v>3</v>
      </c>
      <c r="E24" s="70" t="n">
        <v>4</v>
      </c>
      <c r="F24" s="70" t="n">
        <v>5</v>
      </c>
      <c r="G24" s="70" t="n">
        <v>6</v>
      </c>
      <c r="H24" s="70" t="n">
        <v>7</v>
      </c>
      <c r="I24" s="70" t="n">
        <v>8</v>
      </c>
      <c r="J24" s="70" t="n">
        <v>9</v>
      </c>
      <c r="K24" s="70" t="n">
        <v>10</v>
      </c>
      <c r="L24" s="70" t="n">
        <v>11</v>
      </c>
      <c r="M24" s="70" t="n">
        <v>12</v>
      </c>
      <c r="N24" s="70" t="n">
        <v>13</v>
      </c>
      <c r="O24" s="70" t="n">
        <v>14</v>
      </c>
      <c r="P24" s="70" t="n">
        <v>15</v>
      </c>
      <c r="Q24" s="70" t="n">
        <v>16</v>
      </c>
      <c r="R24" s="70" t="n">
        <v>17</v>
      </c>
      <c r="S24" s="70" t="n">
        <v>18</v>
      </c>
      <c r="T24" s="70" t="n">
        <v>19</v>
      </c>
      <c r="U24" s="70" t="n">
        <v>20</v>
      </c>
      <c r="V24" s="70" t="n">
        <v>21</v>
      </c>
      <c r="W24" s="70" t="n">
        <v>22</v>
      </c>
      <c r="X24" s="70" t="n">
        <v>23</v>
      </c>
      <c r="Y24" s="70" t="n">
        <v>24</v>
      </c>
      <c r="Z24" s="70" t="n">
        <v>25</v>
      </c>
      <c r="AA24" s="70" t="n">
        <v>26</v>
      </c>
      <c r="AB24" s="70" t="n">
        <v>27</v>
      </c>
      <c r="AC24" s="70" t="n">
        <v>28</v>
      </c>
      <c r="AD24" s="70" t="n">
        <v>29</v>
      </c>
      <c r="AE24" s="70" t="n">
        <v>30</v>
      </c>
      <c r="AF24" s="13" t="inlineStr"/>
      <c r="AG24" s="68" t="inlineStr"/>
    </row>
    <row r="25" ht="18" customHeight="1">
      <c r="B25" s="71" t="inlineStr"/>
      <c r="C25" s="71" t="inlineStr"/>
      <c r="D25" s="71" t="inlineStr"/>
      <c r="E25" s="71" t="inlineStr"/>
      <c r="F25" s="71" t="inlineStr"/>
      <c r="G25" s="71" t="inlineStr"/>
      <c r="H25" s="71" t="inlineStr"/>
      <c r="I25" s="71" t="inlineStr"/>
      <c r="J25" s="71" t="inlineStr"/>
      <c r="K25" s="71" t="inlineStr"/>
      <c r="L25" s="71" t="inlineStr"/>
      <c r="M25" s="71" t="inlineStr"/>
      <c r="N25" s="71" t="inlineStr"/>
      <c r="O25" s="71" t="inlineStr"/>
      <c r="P25" s="71" t="inlineStr"/>
      <c r="Q25" s="71" t="inlineStr"/>
      <c r="R25" s="71" t="inlineStr"/>
      <c r="S25" s="71" t="inlineStr"/>
      <c r="T25" s="71" t="inlineStr"/>
      <c r="U25" s="71" t="inlineStr"/>
      <c r="V25" s="71" t="inlineStr"/>
      <c r="W25" s="71" t="inlineStr"/>
      <c r="X25" s="71" t="inlineStr"/>
      <c r="Y25" s="71" t="inlineStr"/>
      <c r="Z25" s="71" t="inlineStr"/>
      <c r="AA25" s="71" t="inlineStr"/>
      <c r="AB25" s="71" t="inlineStr"/>
      <c r="AC25" s="71" t="inlineStr"/>
      <c r="AD25" s="71" t="inlineStr"/>
      <c r="AE25" s="71" t="inlineStr"/>
      <c r="AF25" s="13" t="inlineStr"/>
      <c r="AG25" s="72">
        <f>COUNTIF(B25:AF25,"X")</f>
        <v/>
      </c>
    </row>
    <row r="26" ht="14" customHeight="1">
      <c r="A26" s="11" t="inlineStr">
        <is>
          <t>December</t>
        </is>
      </c>
      <c r="B26" s="73" t="n">
        <v>1</v>
      </c>
      <c r="C26" s="73" t="n">
        <v>2</v>
      </c>
      <c r="D26" s="73" t="n">
        <v>3</v>
      </c>
      <c r="E26" s="73" t="n">
        <v>4</v>
      </c>
      <c r="F26" s="73" t="n">
        <v>5</v>
      </c>
      <c r="G26" s="73" t="n">
        <v>6</v>
      </c>
      <c r="H26" s="73" t="n">
        <v>7</v>
      </c>
      <c r="I26" s="73" t="n">
        <v>8</v>
      </c>
      <c r="J26" s="73" t="n">
        <v>9</v>
      </c>
      <c r="K26" s="73" t="n">
        <v>10</v>
      </c>
      <c r="L26" s="73" t="n">
        <v>11</v>
      </c>
      <c r="M26" s="73" t="n">
        <v>12</v>
      </c>
      <c r="N26" s="73" t="n">
        <v>13</v>
      </c>
      <c r="O26" s="73" t="n">
        <v>14</v>
      </c>
      <c r="P26" s="73" t="n">
        <v>15</v>
      </c>
      <c r="Q26" s="73" t="n">
        <v>16</v>
      </c>
      <c r="R26" s="73" t="n">
        <v>17</v>
      </c>
      <c r="S26" s="73" t="n">
        <v>18</v>
      </c>
      <c r="T26" s="73" t="n">
        <v>19</v>
      </c>
      <c r="U26" s="73" t="n">
        <v>20</v>
      </c>
      <c r="V26" s="73" t="n">
        <v>21</v>
      </c>
      <c r="W26" s="73" t="n">
        <v>22</v>
      </c>
      <c r="X26" s="73" t="n">
        <v>23</v>
      </c>
      <c r="Y26" s="73" t="n">
        <v>24</v>
      </c>
      <c r="Z26" s="73" t="n">
        <v>25</v>
      </c>
      <c r="AA26" s="73" t="n">
        <v>26</v>
      </c>
      <c r="AB26" s="73" t="n">
        <v>27</v>
      </c>
      <c r="AC26" s="73" t="n">
        <v>28</v>
      </c>
      <c r="AD26" s="73" t="n">
        <v>29</v>
      </c>
      <c r="AE26" s="73" t="n">
        <v>30</v>
      </c>
      <c r="AF26" s="73" t="n">
        <v>31</v>
      </c>
      <c r="AG26" s="68" t="inlineStr"/>
    </row>
    <row r="27" ht="18" customHeight="1">
      <c r="B27" s="71" t="inlineStr"/>
      <c r="C27" s="71" t="inlineStr"/>
      <c r="D27" s="71" t="inlineStr"/>
      <c r="E27" s="71" t="inlineStr"/>
      <c r="F27" s="71" t="inlineStr"/>
      <c r="G27" s="71" t="inlineStr"/>
      <c r="H27" s="71" t="inlineStr"/>
      <c r="I27" s="71" t="inlineStr"/>
      <c r="J27" s="71" t="inlineStr"/>
      <c r="K27" s="71" t="inlineStr"/>
      <c r="L27" s="71" t="inlineStr"/>
      <c r="M27" s="71" t="inlineStr"/>
      <c r="N27" s="71" t="inlineStr"/>
      <c r="O27" s="71" t="inlineStr"/>
      <c r="P27" s="71" t="inlineStr"/>
      <c r="Q27" s="71" t="inlineStr"/>
      <c r="R27" s="71" t="inlineStr"/>
      <c r="S27" s="71" t="inlineStr"/>
      <c r="T27" s="71" t="inlineStr"/>
      <c r="U27" s="71" t="inlineStr"/>
      <c r="V27" s="71" t="inlineStr"/>
      <c r="W27" s="71" t="inlineStr"/>
      <c r="X27" s="71" t="inlineStr"/>
      <c r="Y27" s="71" t="inlineStr"/>
      <c r="Z27" s="71" t="inlineStr"/>
      <c r="AA27" s="71" t="inlineStr"/>
      <c r="AB27" s="71" t="inlineStr"/>
      <c r="AC27" s="71" t="inlineStr"/>
      <c r="AD27" s="71" t="inlineStr"/>
      <c r="AE27" s="71" t="inlineStr"/>
      <c r="AF27" s="71" t="inlineStr"/>
      <c r="AG27" s="72">
        <f>COUNTIF(B27:AF27,"X")</f>
        <v/>
      </c>
    </row>
    <row r="28" ht="24" customHeight="1">
      <c r="A28" s="8" t="inlineStr">
        <is>
          <t>ANNUAL TOTAL NO-SPEND DAYS</t>
        </is>
      </c>
      <c r="AG28" s="74">
        <f>AG5+AG7+AG9+AG11+AG13+AG15+AG17+AG19+AG21+AG23+AG25+AG27</f>
        <v/>
      </c>
    </row>
  </sheetData>
  <mergeCells count="15">
    <mergeCell ref="A1:AG1"/>
    <mergeCell ref="A28:AF28"/>
    <mergeCell ref="A8:A9"/>
    <mergeCell ref="A24:A25"/>
    <mergeCell ref="A22:A23"/>
    <mergeCell ref="A12:A13"/>
    <mergeCell ref="A4:A5"/>
    <mergeCell ref="A26:A27"/>
    <mergeCell ref="A2:AG2"/>
    <mergeCell ref="A20:A21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3D5C3A"/>
    <outlinePr summaryBelow="1" summaryRight="1"/>
    <pageSetUpPr/>
  </sheetPr>
  <dimension ref="A1:P2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  <col width="14" customWidth="1" min="15" max="15"/>
    <col width="14" customWidth="1" min="16" max="16"/>
  </cols>
  <sheetData>
    <row r="1" ht="48" customHeight="1">
      <c r="A1" s="1" t="inlineStr">
        <is>
          <t>ANNUAL OVERVIEW · 2026</t>
        </is>
      </c>
    </row>
    <row r="2" ht="20" customHeight="1">
      <c r="A2" s="2" t="inlineStr">
        <is>
          <t>Year-at-a-glance consolidated from all 12 monthly sheets</t>
        </is>
      </c>
    </row>
    <row r="3" ht="20" customHeight="1">
      <c r="A3" s="26" t="inlineStr">
        <is>
          <t>LINE ITEM</t>
        </is>
      </c>
      <c r="B3" s="10" t="inlineStr">
        <is>
          <t>Jan</t>
        </is>
      </c>
      <c r="C3" s="10" t="inlineStr">
        <is>
          <t>Feb</t>
        </is>
      </c>
      <c r="D3" s="10" t="inlineStr">
        <is>
          <t>Mar</t>
        </is>
      </c>
      <c r="E3" s="10" t="inlineStr">
        <is>
          <t>Apr</t>
        </is>
      </c>
      <c r="F3" s="10" t="inlineStr">
        <is>
          <t>May</t>
        </is>
      </c>
      <c r="G3" s="10" t="inlineStr">
        <is>
          <t>Jun</t>
        </is>
      </c>
      <c r="H3" s="10" t="inlineStr">
        <is>
          <t>Jul</t>
        </is>
      </c>
      <c r="I3" s="10" t="inlineStr">
        <is>
          <t>Aug</t>
        </is>
      </c>
      <c r="J3" s="10" t="inlineStr">
        <is>
          <t>Sep</t>
        </is>
      </c>
      <c r="K3" s="10" t="inlineStr">
        <is>
          <t>Oct</t>
        </is>
      </c>
      <c r="L3" s="10" t="inlineStr">
        <is>
          <t>Nov</t>
        </is>
      </c>
      <c r="M3" s="10" t="inlineStr">
        <is>
          <t>Dec</t>
        </is>
      </c>
      <c r="N3" s="26" t="inlineStr">
        <is>
          <t>ANNUAL TOTAL</t>
        </is>
      </c>
      <c r="O3" s="26" t="inlineStr">
        <is>
          <t>ANNUAL BUDGET</t>
        </is>
      </c>
      <c r="P3" s="26" t="inlineStr">
        <is>
          <t>VARIANCE</t>
        </is>
      </c>
    </row>
    <row r="4" ht="22" customHeight="1">
      <c r="A4" s="75" t="inlineStr">
        <is>
          <t>INCOME</t>
        </is>
      </c>
      <c r="B4" s="76">
        <f>IFERROR(Jan!D8,0)</f>
        <v/>
      </c>
      <c r="C4" s="76">
        <f>IFERROR(Feb!D8,0)</f>
        <v/>
      </c>
      <c r="D4" s="76">
        <f>IFERROR(Mar!D8,0)</f>
        <v/>
      </c>
      <c r="E4" s="76">
        <f>IFERROR(Apr!D8,0)</f>
        <v/>
      </c>
      <c r="F4" s="76">
        <f>IFERROR(May!D8,0)</f>
        <v/>
      </c>
      <c r="G4" s="76">
        <f>IFERROR(Jun!D8,0)</f>
        <v/>
      </c>
      <c r="H4" s="76">
        <f>IFERROR(Jul!D8,0)</f>
        <v/>
      </c>
      <c r="I4" s="76">
        <f>IFERROR(Aug!D8,0)</f>
        <v/>
      </c>
      <c r="J4" s="76">
        <f>IFERROR(Sep!D8,0)</f>
        <v/>
      </c>
      <c r="K4" s="76">
        <f>IFERROR(Oct!D8,0)</f>
        <v/>
      </c>
      <c r="L4" s="76">
        <f>IFERROR(Nov!D8,0)</f>
        <v/>
      </c>
      <c r="M4" s="76">
        <f>IFERROR(Dec!D8,0)</f>
        <v/>
      </c>
      <c r="N4" s="67">
        <f>SUM(B4:M4)</f>
        <v/>
      </c>
      <c r="O4" s="77" t="n">
        <v>0</v>
      </c>
      <c r="P4" s="67">
        <f>IFERROR(N4-O4,0)</f>
        <v/>
      </c>
    </row>
    <row r="5" ht="18" customHeight="1">
      <c r="A5" s="30" t="inlineStr">
        <is>
          <t>HOUSING</t>
        </is>
      </c>
      <c r="B5" s="24">
        <f>IFERROR(Jan!D15,0)</f>
        <v/>
      </c>
      <c r="C5" s="24">
        <f>IFERROR(Feb!D15,0)</f>
        <v/>
      </c>
      <c r="D5" s="24">
        <f>IFERROR(Mar!D15,0)</f>
        <v/>
      </c>
      <c r="E5" s="24">
        <f>IFERROR(Apr!D15,0)</f>
        <v/>
      </c>
      <c r="F5" s="24">
        <f>IFERROR(May!D15,0)</f>
        <v/>
      </c>
      <c r="G5" s="24">
        <f>IFERROR(Jun!D15,0)</f>
        <v/>
      </c>
      <c r="H5" s="24">
        <f>IFERROR(Jul!D15,0)</f>
        <v/>
      </c>
      <c r="I5" s="24">
        <f>IFERROR(Aug!D15,0)</f>
        <v/>
      </c>
      <c r="J5" s="24">
        <f>IFERROR(Sep!D15,0)</f>
        <v/>
      </c>
      <c r="K5" s="24">
        <f>IFERROR(Oct!D15,0)</f>
        <v/>
      </c>
      <c r="L5" s="24">
        <f>IFERROR(Nov!D15,0)</f>
        <v/>
      </c>
      <c r="M5" s="24">
        <f>IFERROR(Dec!D15,0)</f>
        <v/>
      </c>
      <c r="N5" s="78">
        <f>SUM(B5:M5)</f>
        <v/>
      </c>
      <c r="O5" s="46" t="n">
        <v>0</v>
      </c>
      <c r="P5" s="78">
        <f>IFERROR(N5-O5,0)</f>
        <v/>
      </c>
    </row>
    <row r="6" ht="18" customHeight="1">
      <c r="A6" s="28" t="inlineStr">
        <is>
          <t>TRANSPORT</t>
        </is>
      </c>
      <c r="B6" s="21">
        <f>IFERROR(Jan!D22,0)</f>
        <v/>
      </c>
      <c r="C6" s="21">
        <f>IFERROR(Feb!D22,0)</f>
        <v/>
      </c>
      <c r="D6" s="21">
        <f>IFERROR(Mar!D22,0)</f>
        <v/>
      </c>
      <c r="E6" s="21">
        <f>IFERROR(Apr!D22,0)</f>
        <v/>
      </c>
      <c r="F6" s="21">
        <f>IFERROR(May!D22,0)</f>
        <v/>
      </c>
      <c r="G6" s="21">
        <f>IFERROR(Jun!D22,0)</f>
        <v/>
      </c>
      <c r="H6" s="21">
        <f>IFERROR(Jul!D22,0)</f>
        <v/>
      </c>
      <c r="I6" s="21">
        <f>IFERROR(Aug!D22,0)</f>
        <v/>
      </c>
      <c r="J6" s="21">
        <f>IFERROR(Sep!D22,0)</f>
        <v/>
      </c>
      <c r="K6" s="21">
        <f>IFERROR(Oct!D22,0)</f>
        <v/>
      </c>
      <c r="L6" s="21">
        <f>IFERROR(Nov!D22,0)</f>
        <v/>
      </c>
      <c r="M6" s="21">
        <f>IFERROR(Dec!D22,0)</f>
        <v/>
      </c>
      <c r="N6" s="79">
        <f>SUM(B6:M6)</f>
        <v/>
      </c>
      <c r="O6" s="14" t="n">
        <v>0</v>
      </c>
      <c r="P6" s="79">
        <f>IFERROR(N6-O6,0)</f>
        <v/>
      </c>
    </row>
    <row r="7" ht="18" customHeight="1">
      <c r="A7" s="30" t="inlineStr">
        <is>
          <t>FOOD &amp; DINING</t>
        </is>
      </c>
      <c r="B7" s="24">
        <f>IFERROR(Jan!D29,0)</f>
        <v/>
      </c>
      <c r="C7" s="24">
        <f>IFERROR(Feb!D29,0)</f>
        <v/>
      </c>
      <c r="D7" s="24">
        <f>IFERROR(Mar!D29,0)</f>
        <v/>
      </c>
      <c r="E7" s="24">
        <f>IFERROR(Apr!D29,0)</f>
        <v/>
      </c>
      <c r="F7" s="24">
        <f>IFERROR(May!D29,0)</f>
        <v/>
      </c>
      <c r="G7" s="24">
        <f>IFERROR(Jun!D29,0)</f>
        <v/>
      </c>
      <c r="H7" s="24">
        <f>IFERROR(Jul!D29,0)</f>
        <v/>
      </c>
      <c r="I7" s="24">
        <f>IFERROR(Aug!D29,0)</f>
        <v/>
      </c>
      <c r="J7" s="24">
        <f>IFERROR(Sep!D29,0)</f>
        <v/>
      </c>
      <c r="K7" s="24">
        <f>IFERROR(Oct!D29,0)</f>
        <v/>
      </c>
      <c r="L7" s="24">
        <f>IFERROR(Nov!D29,0)</f>
        <v/>
      </c>
      <c r="M7" s="24">
        <f>IFERROR(Dec!D29,0)</f>
        <v/>
      </c>
      <c r="N7" s="78">
        <f>SUM(B7:M7)</f>
        <v/>
      </c>
      <c r="O7" s="46" t="n">
        <v>0</v>
      </c>
      <c r="P7" s="78">
        <f>IFERROR(N7-O7,0)</f>
        <v/>
      </c>
    </row>
    <row r="8" ht="18" customHeight="1">
      <c r="A8" s="28" t="inlineStr">
        <is>
          <t>HEALTH &amp; WELLNESS</t>
        </is>
      </c>
      <c r="B8" s="21">
        <f>IFERROR(Jan!D36,0)</f>
        <v/>
      </c>
      <c r="C8" s="21">
        <f>IFERROR(Feb!D36,0)</f>
        <v/>
      </c>
      <c r="D8" s="21">
        <f>IFERROR(Mar!D36,0)</f>
        <v/>
      </c>
      <c r="E8" s="21">
        <f>IFERROR(Apr!D36,0)</f>
        <v/>
      </c>
      <c r="F8" s="21">
        <f>IFERROR(May!D36,0)</f>
        <v/>
      </c>
      <c r="G8" s="21">
        <f>IFERROR(Jun!D36,0)</f>
        <v/>
      </c>
      <c r="H8" s="21">
        <f>IFERROR(Jul!D36,0)</f>
        <v/>
      </c>
      <c r="I8" s="21">
        <f>IFERROR(Aug!D36,0)</f>
        <v/>
      </c>
      <c r="J8" s="21">
        <f>IFERROR(Sep!D36,0)</f>
        <v/>
      </c>
      <c r="K8" s="21">
        <f>IFERROR(Oct!D36,0)</f>
        <v/>
      </c>
      <c r="L8" s="21">
        <f>IFERROR(Nov!D36,0)</f>
        <v/>
      </c>
      <c r="M8" s="21">
        <f>IFERROR(Dec!D36,0)</f>
        <v/>
      </c>
      <c r="N8" s="79">
        <f>SUM(B8:M8)</f>
        <v/>
      </c>
      <c r="O8" s="14" t="n">
        <v>0</v>
      </c>
      <c r="P8" s="79">
        <f>IFERROR(N8-O8,0)</f>
        <v/>
      </c>
    </row>
    <row r="9" ht="18" customHeight="1">
      <c r="A9" s="30" t="inlineStr">
        <is>
          <t>LIFESTYLE</t>
        </is>
      </c>
      <c r="B9" s="24">
        <f>IFERROR(Jan!D43,0)</f>
        <v/>
      </c>
      <c r="C9" s="24">
        <f>IFERROR(Feb!D43,0)</f>
        <v/>
      </c>
      <c r="D9" s="24">
        <f>IFERROR(Mar!D43,0)</f>
        <v/>
      </c>
      <c r="E9" s="24">
        <f>IFERROR(Apr!D43,0)</f>
        <v/>
      </c>
      <c r="F9" s="24">
        <f>IFERROR(May!D43,0)</f>
        <v/>
      </c>
      <c r="G9" s="24">
        <f>IFERROR(Jun!D43,0)</f>
        <v/>
      </c>
      <c r="H9" s="24">
        <f>IFERROR(Jul!D43,0)</f>
        <v/>
      </c>
      <c r="I9" s="24">
        <f>IFERROR(Aug!D43,0)</f>
        <v/>
      </c>
      <c r="J9" s="24">
        <f>IFERROR(Sep!D43,0)</f>
        <v/>
      </c>
      <c r="K9" s="24">
        <f>IFERROR(Oct!D43,0)</f>
        <v/>
      </c>
      <c r="L9" s="24">
        <f>IFERROR(Nov!D43,0)</f>
        <v/>
      </c>
      <c r="M9" s="24">
        <f>IFERROR(Dec!D43,0)</f>
        <v/>
      </c>
      <c r="N9" s="78">
        <f>SUM(B9:M9)</f>
        <v/>
      </c>
      <c r="O9" s="46" t="n">
        <v>0</v>
      </c>
      <c r="P9" s="78">
        <f>IFERROR(N9-O9,0)</f>
        <v/>
      </c>
    </row>
    <row r="10" ht="18" customHeight="1">
      <c r="A10" s="28" t="inlineStr">
        <is>
          <t>PERSONAL</t>
        </is>
      </c>
      <c r="B10" s="21">
        <f>IFERROR(Jan!D50,0)</f>
        <v/>
      </c>
      <c r="C10" s="21">
        <f>IFERROR(Feb!D50,0)</f>
        <v/>
      </c>
      <c r="D10" s="21">
        <f>IFERROR(Mar!D50,0)</f>
        <v/>
      </c>
      <c r="E10" s="21">
        <f>IFERROR(Apr!D50,0)</f>
        <v/>
      </c>
      <c r="F10" s="21">
        <f>IFERROR(May!D50,0)</f>
        <v/>
      </c>
      <c r="G10" s="21">
        <f>IFERROR(Jun!D50,0)</f>
        <v/>
      </c>
      <c r="H10" s="21">
        <f>IFERROR(Jul!D50,0)</f>
        <v/>
      </c>
      <c r="I10" s="21">
        <f>IFERROR(Aug!D50,0)</f>
        <v/>
      </c>
      <c r="J10" s="21">
        <f>IFERROR(Sep!D50,0)</f>
        <v/>
      </c>
      <c r="K10" s="21">
        <f>IFERROR(Oct!D50,0)</f>
        <v/>
      </c>
      <c r="L10" s="21">
        <f>IFERROR(Nov!D50,0)</f>
        <v/>
      </c>
      <c r="M10" s="21">
        <f>IFERROR(Dec!D50,0)</f>
        <v/>
      </c>
      <c r="N10" s="79">
        <f>SUM(B10:M10)</f>
        <v/>
      </c>
      <c r="O10" s="14" t="n">
        <v>0</v>
      </c>
      <c r="P10" s="79">
        <f>IFERROR(N10-O10,0)</f>
        <v/>
      </c>
    </row>
    <row r="11" ht="18" customHeight="1">
      <c r="A11" s="30" t="inlineStr">
        <is>
          <t>SAVINGS &amp; INVESTMENTS</t>
        </is>
      </c>
      <c r="B11" s="24">
        <f>IFERROR(Jan!D57,0)</f>
        <v/>
      </c>
      <c r="C11" s="24">
        <f>IFERROR(Feb!D57,0)</f>
        <v/>
      </c>
      <c r="D11" s="24">
        <f>IFERROR(Mar!D57,0)</f>
        <v/>
      </c>
      <c r="E11" s="24">
        <f>IFERROR(Apr!D57,0)</f>
        <v/>
      </c>
      <c r="F11" s="24">
        <f>IFERROR(May!D57,0)</f>
        <v/>
      </c>
      <c r="G11" s="24">
        <f>IFERROR(Jun!D57,0)</f>
        <v/>
      </c>
      <c r="H11" s="24">
        <f>IFERROR(Jul!D57,0)</f>
        <v/>
      </c>
      <c r="I11" s="24">
        <f>IFERROR(Aug!D57,0)</f>
        <v/>
      </c>
      <c r="J11" s="24">
        <f>IFERROR(Sep!D57,0)</f>
        <v/>
      </c>
      <c r="K11" s="24">
        <f>IFERROR(Oct!D57,0)</f>
        <v/>
      </c>
      <c r="L11" s="24">
        <f>IFERROR(Nov!D57,0)</f>
        <v/>
      </c>
      <c r="M11" s="24">
        <f>IFERROR(Dec!D57,0)</f>
        <v/>
      </c>
      <c r="N11" s="78">
        <f>SUM(B11:M11)</f>
        <v/>
      </c>
      <c r="O11" s="46" t="n">
        <v>0</v>
      </c>
      <c r="P11" s="78">
        <f>IFERROR(N11-O11,0)</f>
        <v/>
      </c>
    </row>
    <row r="12" ht="18" customHeight="1">
      <c r="A12" s="28" t="inlineStr">
        <is>
          <t>DEBT PAYMENTS</t>
        </is>
      </c>
      <c r="B12" s="21">
        <f>IFERROR(Jan!D64,0)</f>
        <v/>
      </c>
      <c r="C12" s="21">
        <f>IFERROR(Feb!D64,0)</f>
        <v/>
      </c>
      <c r="D12" s="21">
        <f>IFERROR(Mar!D64,0)</f>
        <v/>
      </c>
      <c r="E12" s="21">
        <f>IFERROR(Apr!D64,0)</f>
        <v/>
      </c>
      <c r="F12" s="21">
        <f>IFERROR(May!D64,0)</f>
        <v/>
      </c>
      <c r="G12" s="21">
        <f>IFERROR(Jun!D64,0)</f>
        <v/>
      </c>
      <c r="H12" s="21">
        <f>IFERROR(Jul!D64,0)</f>
        <v/>
      </c>
      <c r="I12" s="21">
        <f>IFERROR(Aug!D64,0)</f>
        <v/>
      </c>
      <c r="J12" s="21">
        <f>IFERROR(Sep!D64,0)</f>
        <v/>
      </c>
      <c r="K12" s="21">
        <f>IFERROR(Oct!D64,0)</f>
        <v/>
      </c>
      <c r="L12" s="21">
        <f>IFERROR(Nov!D64,0)</f>
        <v/>
      </c>
      <c r="M12" s="21">
        <f>IFERROR(Dec!D64,0)</f>
        <v/>
      </c>
      <c r="N12" s="79">
        <f>SUM(B12:M12)</f>
        <v/>
      </c>
      <c r="O12" s="14" t="n">
        <v>0</v>
      </c>
      <c r="P12" s="79">
        <f>IFERROR(N12-O12,0)</f>
        <v/>
      </c>
    </row>
    <row r="13" ht="22" customHeight="1">
      <c r="A13" s="80" t="inlineStr">
        <is>
          <t>GRAND TOTAL EXPENSES</t>
        </is>
      </c>
      <c r="B13" s="81">
        <f>IFERROR(Jan!D65,0)</f>
        <v/>
      </c>
      <c r="C13" s="81">
        <f>IFERROR(Feb!D65,0)</f>
        <v/>
      </c>
      <c r="D13" s="81">
        <f>IFERROR(Mar!D65,0)</f>
        <v/>
      </c>
      <c r="E13" s="81">
        <f>IFERROR(Apr!D65,0)</f>
        <v/>
      </c>
      <c r="F13" s="81">
        <f>IFERROR(May!D65,0)</f>
        <v/>
      </c>
      <c r="G13" s="81">
        <f>IFERROR(Jun!D65,0)</f>
        <v/>
      </c>
      <c r="H13" s="81">
        <f>IFERROR(Jul!D65,0)</f>
        <v/>
      </c>
      <c r="I13" s="81">
        <f>IFERROR(Aug!D65,0)</f>
        <v/>
      </c>
      <c r="J13" s="81">
        <f>IFERROR(Sep!D65,0)</f>
        <v/>
      </c>
      <c r="K13" s="81">
        <f>IFERROR(Oct!D65,0)</f>
        <v/>
      </c>
      <c r="L13" s="81">
        <f>IFERROR(Nov!D65,0)</f>
        <v/>
      </c>
      <c r="M13" s="81">
        <f>IFERROR(Dec!D65,0)</f>
        <v/>
      </c>
      <c r="N13" s="82">
        <f>SUM(B13:M13)</f>
        <v/>
      </c>
      <c r="O13" s="83" t="n">
        <v>0</v>
      </c>
      <c r="P13" s="82">
        <f>IFERROR(N13-O13,0)</f>
        <v/>
      </c>
    </row>
    <row r="14" ht="22" customHeight="1">
      <c r="A14" s="84" t="inlineStr">
        <is>
          <t>NET CASH FLOW</t>
        </is>
      </c>
      <c r="B14" s="85">
        <f>IFERROR(Jan!D66,0)</f>
        <v/>
      </c>
      <c r="C14" s="85">
        <f>IFERROR(Feb!D66,0)</f>
        <v/>
      </c>
      <c r="D14" s="85">
        <f>IFERROR(Mar!D66,0)</f>
        <v/>
      </c>
      <c r="E14" s="85">
        <f>IFERROR(Apr!D66,0)</f>
        <v/>
      </c>
      <c r="F14" s="85">
        <f>IFERROR(May!D66,0)</f>
        <v/>
      </c>
      <c r="G14" s="85">
        <f>IFERROR(Jun!D66,0)</f>
        <v/>
      </c>
      <c r="H14" s="85">
        <f>IFERROR(Jul!D66,0)</f>
        <v/>
      </c>
      <c r="I14" s="85">
        <f>IFERROR(Aug!D66,0)</f>
        <v/>
      </c>
      <c r="J14" s="85">
        <f>IFERROR(Sep!D66,0)</f>
        <v/>
      </c>
      <c r="K14" s="85">
        <f>IFERROR(Oct!D66,0)</f>
        <v/>
      </c>
      <c r="L14" s="85">
        <f>IFERROR(Nov!D66,0)</f>
        <v/>
      </c>
      <c r="M14" s="85">
        <f>IFERROR(Dec!D66,0)</f>
        <v/>
      </c>
      <c r="N14" s="86">
        <f>SUM(B14:M14)</f>
        <v/>
      </c>
      <c r="O14" s="87" t="n">
        <v>0</v>
      </c>
      <c r="P14" s="86">
        <f>IFERROR(N14-O14,0)</f>
        <v/>
      </c>
    </row>
    <row r="17" ht="22" customHeight="1">
      <c r="A17" s="8" t="inlineStr">
        <is>
          <t>KEY METRICS</t>
        </is>
      </c>
    </row>
    <row r="18" ht="18" customHeight="1">
      <c r="A18" s="12" t="inlineStr">
        <is>
          <t>Best Month (lowest spend)</t>
        </is>
      </c>
      <c r="B18" s="13" t="n"/>
      <c r="C18" s="13" t="n"/>
      <c r="D18" s="88">
        <f>IFERROR(INDEX(B3:M3,MATCH(MIN(B13:M13),B13:M13,0)),"N/A")</f>
        <v/>
      </c>
      <c r="E18" s="13" t="n"/>
    </row>
    <row r="19" ht="18" customHeight="1">
      <c r="A19" s="15" t="inlineStr">
        <is>
          <t>Worst Month (highest spend)</t>
        </is>
      </c>
      <c r="B19" s="16" t="n"/>
      <c r="C19" s="16" t="n"/>
      <c r="D19" s="58">
        <f>IFERROR(INDEX(B3:M3,MATCH(MAX(B13:M13),B13:M13,0)),"N/A")</f>
        <v/>
      </c>
      <c r="E19" s="16" t="n"/>
    </row>
    <row r="20" ht="18" customHeight="1">
      <c r="A20" s="12" t="inlineStr">
        <is>
          <t>Annual Savings Rate</t>
        </is>
      </c>
      <c r="B20" s="13" t="n"/>
      <c r="C20" s="13" t="n"/>
      <c r="D20" s="22">
        <f>IFERROR((N4-N13)/N4,0)</f>
        <v/>
      </c>
      <c r="E20" s="13" t="n"/>
    </row>
    <row r="21" ht="18" customHeight="1">
      <c r="A21" s="15" t="inlineStr">
        <is>
          <t>Average Monthly Spend</t>
        </is>
      </c>
      <c r="B21" s="16" t="n"/>
      <c r="C21" s="16" t="n"/>
      <c r="D21" s="24">
        <f>IFERROR(N13/12,0)</f>
        <v/>
      </c>
      <c r="E21" s="16" t="n"/>
    </row>
  </sheetData>
  <mergeCells count="11">
    <mergeCell ref="A20:C20"/>
    <mergeCell ref="D20:E20"/>
    <mergeCell ref="A19:C19"/>
    <mergeCell ref="D21:E21"/>
    <mergeCell ref="A1:P1"/>
    <mergeCell ref="D19:E19"/>
    <mergeCell ref="A18:C18"/>
    <mergeCell ref="A21:C21"/>
    <mergeCell ref="D18:E18"/>
    <mergeCell ref="A17:E17"/>
    <mergeCell ref="A2:P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2026-06-22T20:23:49Z</dcterms:created>
  <dcterms:modified xsi:type="dcterms:W3CDTF">2026-06-22T20:23:50Z</dcterms:modified>
</cp:coreProperties>
</file>