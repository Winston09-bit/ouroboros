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Debt Tracker" sheetId="14" state="visible" r:id="rId14"/>
    <sheet name="Bill Calendar" sheetId="15" state="visible" r:id="rId15"/>
    <sheet name="Savings Goals" sheetId="16" state="visible" r:id="rId16"/>
    <sheet name="Annual Overvie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%;[RED]-0.0%"/>
    <numFmt numFmtId="166" formatCode="MM/DD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A2A2A"/>
      <sz val="9"/>
    </font>
    <font>
      <name val="Calibri"/>
      <color rgb="001A4FA0"/>
      <sz val="9"/>
    </font>
    <font>
      <name val="Calibri"/>
      <b val="1"/>
      <color rgb="002A2A2A"/>
      <sz val="9"/>
    </font>
    <font>
      <name val="Calibri"/>
      <color rgb="001A6B2A"/>
      <sz val="9"/>
    </font>
    <font>
      <name val="Calibri"/>
      <b val="1"/>
      <i val="1"/>
      <color rgb="006B8F5E"/>
      <sz val="9"/>
    </font>
    <font>
      <name val="Calibri"/>
      <color rgb="003D5C3A"/>
      <sz val="9"/>
    </font>
    <font>
      <name val="Calibri"/>
      <b val="1"/>
      <color rgb="001A6B2A"/>
      <sz val="9"/>
    </font>
  </fonts>
  <fills count="10">
    <fill>
      <patternFill/>
    </fill>
    <fill>
      <patternFill patternType="gray125"/>
    </fill>
    <fill>
      <patternFill patternType="solid">
        <fgColor rgb="003D5C3A"/>
      </patternFill>
    </fill>
    <fill>
      <patternFill patternType="solid">
        <fgColor rgb="00BFA06A"/>
      </patternFill>
    </fill>
    <fill>
      <patternFill patternType="solid">
        <fgColor rgb="00B05E3A"/>
      </patternFill>
    </fill>
    <fill>
      <patternFill patternType="solid">
        <fgColor rgb="00FAF7F2"/>
      </patternFill>
    </fill>
    <fill>
      <patternFill patternType="solid">
        <fgColor rgb="00EDD5C5"/>
      </patternFill>
    </fill>
    <fill>
      <patternFill patternType="solid">
        <fgColor rgb="00C8DDB8"/>
      </patternFill>
    </fill>
    <fill>
      <patternFill patternType="solid">
        <fgColor rgb="006B8F5E"/>
      </patternFill>
    </fill>
    <fill>
      <patternFill patternType="solid">
        <fgColor rgb="00EEF4E8"/>
      </patternFill>
    </fill>
  </fills>
  <borders count="4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6B8F5E"/>
      </bottom>
    </border>
    <border>
      <left style="medium">
        <color rgb="006B8F5E"/>
      </left>
      <right style="medium">
        <color rgb="006B8F5E"/>
      </right>
      <top style="medium">
        <color rgb="006B8F5E"/>
      </top>
      <bottom style="medium">
        <color rgb="006B8F5E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8" fillId="9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 vertical="center"/>
    </xf>
    <xf numFmtId="0" fontId="9" fillId="9" borderId="3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165" fontId="7" fillId="7" borderId="2" pivotButton="0" quotePrefix="0" xfId="0"/>
    <xf numFmtId="164" fontId="6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49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49" fontId="8" fillId="9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6" fontId="6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49" fontId="7" fillId="7" borderId="2" applyAlignment="1" pivotButton="0" quotePrefix="0" xfId="0">
      <alignment horizontal="left" vertical="center"/>
    </xf>
    <xf numFmtId="49" fontId="7" fillId="7" borderId="2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11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49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5C3A"/>
    <outlinePr summaryBelow="1" summaryRight="1"/>
    <pageSetUpPr/>
  </sheetPr>
  <dimension ref="A1:I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" customWidth="1" min="5" max="5"/>
    <col width="26" customWidth="1" min="6" max="6"/>
    <col width="14" customWidth="1" min="7" max="7"/>
    <col width="14" customWidth="1" min="8" max="8"/>
    <col width="14" customWidth="1" min="9" max="9"/>
  </cols>
  <sheetData>
    <row r="1" ht="48" customHeight="1">
      <c r="A1" s="1" t="inlineStr">
        <is>
          <t>PERSONAL FINANCE COMMAND CENTER · 2026</t>
        </is>
      </c>
    </row>
    <row r="2" ht="18" customHeight="1">
      <c r="A2" s="2" t="inlineStr">
        <is>
          <t>Live Summary Dashboard</t>
        </is>
      </c>
    </row>
    <row r="3" ht="22" customHeight="1">
      <c r="A3" s="3" t="inlineStr">
        <is>
          <t>BUDGET SUMMARY</t>
        </is>
      </c>
      <c r="F3" s="4" t="inlineStr">
        <is>
          <t>SAVINGS SNAPSHOT</t>
        </is>
      </c>
    </row>
    <row r="4" ht="20" customHeight="1">
      <c r="A4" s="5" t="inlineStr">
        <is>
          <t>METRIC</t>
        </is>
      </c>
      <c r="B4" s="5" t="inlineStr"/>
      <c r="C4" s="5" t="inlineStr">
        <is>
          <t>VALUE</t>
        </is>
      </c>
      <c r="D4" s="5" t="inlineStr"/>
      <c r="F4" s="6" t="inlineStr">
        <is>
          <t>GOAL</t>
        </is>
      </c>
      <c r="G4" s="6" t="inlineStr"/>
      <c r="H4" s="6" t="inlineStr">
        <is>
          <t>AMOUNT</t>
        </is>
      </c>
      <c r="I4" s="6" t="inlineStr"/>
    </row>
    <row r="5" ht="18" customHeight="1">
      <c r="A5" s="7" t="inlineStr">
        <is>
          <t>Annual Income</t>
        </is>
      </c>
      <c r="B5" s="8" t="n"/>
      <c r="C5" s="9" t="n">
        <v>0</v>
      </c>
      <c r="D5" s="8" t="n"/>
      <c r="F5" s="7" t="inlineStr">
        <is>
          <t>Emergency Fund Goal</t>
        </is>
      </c>
      <c r="G5" s="8" t="n"/>
      <c r="H5" s="9" t="n">
        <v>0</v>
      </c>
      <c r="I5" s="8" t="n"/>
    </row>
    <row r="6" ht="18" customHeight="1">
      <c r="A6" s="10" t="inlineStr">
        <is>
          <t>Monthly Income</t>
        </is>
      </c>
      <c r="B6" s="11" t="n"/>
      <c r="C6" s="12">
        <f>IFERROR(D5/12,0)</f>
        <v/>
      </c>
      <c r="D6" s="11" t="n"/>
      <c r="F6" s="13" t="inlineStr">
        <is>
          <t>Emergency Fund Current</t>
        </is>
      </c>
      <c r="G6" s="14" t="n"/>
      <c r="H6" s="15" t="n">
        <v>0</v>
      </c>
      <c r="I6" s="14" t="n"/>
    </row>
    <row r="7" ht="18" customHeight="1">
      <c r="A7" s="7" t="inlineStr">
        <is>
          <t>This Month Expenses</t>
        </is>
      </c>
      <c r="B7" s="8" t="n"/>
      <c r="C7" s="16">
        <f>IFERROR(Jan!D65,0)</f>
        <v/>
      </c>
      <c r="D7" s="8" t="n"/>
      <c r="F7" s="7" t="inlineStr">
        <is>
          <t>% Funded</t>
        </is>
      </c>
      <c r="G7" s="8" t="n"/>
      <c r="H7" s="17">
        <f>IFERROR(H6/H5,0)</f>
        <v/>
      </c>
      <c r="I7" s="8" t="n"/>
    </row>
    <row r="8" ht="18" customHeight="1">
      <c r="A8" s="10" t="inlineStr">
        <is>
          <t>Left to Spend</t>
        </is>
      </c>
      <c r="B8" s="11" t="n"/>
      <c r="C8" s="18">
        <f>IFERROR(D6-D7,0)</f>
        <v/>
      </c>
      <c r="D8" s="11" t="n"/>
      <c r="F8" s="13" t="inlineStr">
        <is>
          <t>Monthly Target</t>
        </is>
      </c>
      <c r="G8" s="14" t="n"/>
      <c r="H8" s="15" t="n">
        <v>0</v>
      </c>
      <c r="I8" s="14" t="n"/>
    </row>
    <row r="9" ht="18" customHeight="1">
      <c r="A9" s="7" t="inlineStr">
        <is>
          <t>Annual Savings Rate</t>
        </is>
      </c>
      <c r="B9" s="8" t="n"/>
      <c r="C9" s="17">
        <f>IFERROR(IFERROR(D6-D7,0)/IFERROR(D6,1),0)</f>
        <v/>
      </c>
      <c r="D9" s="8" t="n"/>
      <c r="F9" s="7" t="inlineStr">
        <is>
          <t>YTD Saved</t>
        </is>
      </c>
      <c r="G9" s="8" t="n"/>
      <c r="H9" s="16">
        <f>IFERROR(Jan!D57+Feb!D57+Mar!D57+Apr!D57+May!D57+Jun!D57+Jul!D57+Aug!D57+Sep!D57+Oct!D57+Nov!D57+Dec!D57,0)</f>
        <v/>
      </c>
      <c r="I9" s="8" t="n"/>
    </row>
    <row r="10" ht="18" customHeight="1">
      <c r="A10" s="10" t="inlineStr">
        <is>
          <t>YTD Total Savings</t>
        </is>
      </c>
      <c r="B10" s="11" t="n"/>
      <c r="C10" s="12">
        <f>IFERROR(Jan!D57+Feb!D57+Mar!D57+Apr!D57+May!D57+Jun!D57+Jul!D57+Aug!D57+Sep!D57+Oct!D57+Nov!D57+Dec!D57,0)</f>
        <v/>
      </c>
      <c r="D10" s="11" t="n"/>
    </row>
    <row r="15" ht="22" customHeight="1">
      <c r="A15" s="3" t="inlineStr">
        <is>
          <t>TOP EXPENSE CATEGORIES — JANUARY</t>
        </is>
      </c>
      <c r="F15" s="4" t="inlineStr">
        <is>
          <t>BILLS THIS MONTH</t>
        </is>
      </c>
    </row>
    <row r="16" ht="20" customHeight="1">
      <c r="A16" s="5" t="inlineStr">
        <is>
          <t>CATEGORY</t>
        </is>
      </c>
      <c r="B16" s="5" t="inlineStr">
        <is>
          <t>BUDGETED</t>
        </is>
      </c>
      <c r="C16" s="5" t="inlineStr">
        <is>
          <t>ACTUAL</t>
        </is>
      </c>
      <c r="D16" s="5" t="inlineStr"/>
      <c r="F16" s="6" t="inlineStr">
        <is>
          <t>BILL NAME</t>
        </is>
      </c>
      <c r="G16" s="6" t="inlineStr">
        <is>
          <t>AMOUNT</t>
        </is>
      </c>
      <c r="H16" s="6" t="inlineStr">
        <is>
          <t>DUE DATE</t>
        </is>
      </c>
      <c r="I16" s="6" t="inlineStr"/>
    </row>
    <row r="17" ht="18" customHeight="1">
      <c r="A17" s="19" t="inlineStr">
        <is>
          <t>HOUSING</t>
        </is>
      </c>
      <c r="B17" s="16">
        <f>IFERROR(Jan!C15,0)</f>
        <v/>
      </c>
      <c r="C17" s="16">
        <f>IFERROR(Jan!D15,0)</f>
        <v/>
      </c>
      <c r="D17" s="19" t="inlineStr"/>
      <c r="F17" s="19" t="inlineStr">
        <is>
          <t>Rent/Mortgage</t>
        </is>
      </c>
      <c r="G17" s="9" t="n">
        <v>1200</v>
      </c>
      <c r="H17" s="20" t="inlineStr">
        <is>
          <t>01/01/2026</t>
        </is>
      </c>
      <c r="I17" s="19" t="inlineStr"/>
    </row>
    <row r="18" ht="18" customHeight="1">
      <c r="A18" s="21" t="inlineStr">
        <is>
          <t>TRANSPORT</t>
        </is>
      </c>
      <c r="B18" s="12">
        <f>IFERROR(Jan!C22,0)</f>
        <v/>
      </c>
      <c r="C18" s="12">
        <f>IFERROR(Jan!D22,0)</f>
        <v/>
      </c>
      <c r="D18" s="21" t="inlineStr"/>
      <c r="F18" s="22" t="inlineStr">
        <is>
          <t>Electricity</t>
        </is>
      </c>
      <c r="G18" s="15" t="n">
        <v>80</v>
      </c>
      <c r="H18" s="23" t="inlineStr">
        <is>
          <t>01/15/2026</t>
        </is>
      </c>
      <c r="I18" s="22" t="inlineStr"/>
    </row>
    <row r="19" ht="18" customHeight="1">
      <c r="A19" s="19" t="inlineStr">
        <is>
          <t>FOOD &amp; DINING</t>
        </is>
      </c>
      <c r="B19" s="16">
        <f>IFERROR(Jan!C29,0)</f>
        <v/>
      </c>
      <c r="C19" s="16">
        <f>IFERROR(Jan!D29,0)</f>
        <v/>
      </c>
      <c r="D19" s="19" t="inlineStr"/>
      <c r="F19" s="19" t="inlineStr">
        <is>
          <t>Internet</t>
        </is>
      </c>
      <c r="G19" s="9" t="n">
        <v>60</v>
      </c>
      <c r="H19" s="20" t="inlineStr">
        <is>
          <t>01/22/2026</t>
        </is>
      </c>
      <c r="I19" s="19" t="inlineStr"/>
    </row>
    <row r="20" ht="18" customHeight="1">
      <c r="A20" s="21" t="inlineStr">
        <is>
          <t>HEALTH &amp; WELLNESS</t>
        </is>
      </c>
      <c r="B20" s="12">
        <f>IFERROR(Jan!C36,0)</f>
        <v/>
      </c>
      <c r="C20" s="12">
        <f>IFERROR(Jan!D36,0)</f>
        <v/>
      </c>
      <c r="D20" s="21" t="inlineStr"/>
      <c r="F20" s="22" t="inlineStr">
        <is>
          <t>Streaming</t>
        </is>
      </c>
      <c r="G20" s="15" t="n">
        <v>18</v>
      </c>
      <c r="H20" s="23" t="inlineStr">
        <is>
          <t>01/08/2026</t>
        </is>
      </c>
      <c r="I20" s="22" t="inlineStr"/>
    </row>
    <row r="21" ht="18" customHeight="1">
      <c r="A21" s="19" t="inlineStr">
        <is>
          <t>LIFESTYLE</t>
        </is>
      </c>
      <c r="B21" s="16">
        <f>IFERROR(Jan!C43,0)</f>
        <v/>
      </c>
      <c r="C21" s="16">
        <f>IFERROR(Jan!D43,0)</f>
        <v/>
      </c>
      <c r="D21" s="19" t="inlineStr"/>
      <c r="F21" s="19" t="inlineStr">
        <is>
          <t>Phone</t>
        </is>
      </c>
      <c r="G21" s="9" t="n">
        <v>70</v>
      </c>
      <c r="H21" s="20" t="inlineStr">
        <is>
          <t>01/12/2026</t>
        </is>
      </c>
      <c r="I21" s="19" t="inlineStr"/>
    </row>
    <row r="22" ht="18" customHeight="1">
      <c r="A22" s="21" t="inlineStr">
        <is>
          <t>PERSONAL</t>
        </is>
      </c>
      <c r="B22" s="12">
        <f>IFERROR(Jan!C50,0)</f>
        <v/>
      </c>
      <c r="C22" s="12">
        <f>IFERROR(Jan!D50,0)</f>
        <v/>
      </c>
      <c r="D22" s="21" t="inlineStr"/>
      <c r="F22" s="22" t="inlineStr">
        <is>
          <t>Car Insurance</t>
        </is>
      </c>
      <c r="G22" s="15" t="n">
        <v>120</v>
      </c>
      <c r="H22" s="23" t="inlineStr">
        <is>
          <t>01/20/2026</t>
        </is>
      </c>
      <c r="I22" s="22" t="inlineStr"/>
    </row>
    <row r="25" ht="30" customHeight="1">
      <c r="A25" s="24" t="inlineStr">
        <is>
          <t>INSERT CHART — Annual Income vs Expenses (from Annual Overview)</t>
        </is>
      </c>
    </row>
  </sheetData>
  <mergeCells count="29">
    <mergeCell ref="A25:I25"/>
    <mergeCell ref="C6:D6"/>
    <mergeCell ref="C5:D5"/>
    <mergeCell ref="F6:G6"/>
    <mergeCell ref="A6:B6"/>
    <mergeCell ref="H9:I9"/>
    <mergeCell ref="F7:G7"/>
    <mergeCell ref="A2:I2"/>
    <mergeCell ref="C10:D10"/>
    <mergeCell ref="A7:B7"/>
    <mergeCell ref="H6:I6"/>
    <mergeCell ref="F5:G5"/>
    <mergeCell ref="A15:D15"/>
    <mergeCell ref="C9:D9"/>
    <mergeCell ref="F8:G8"/>
    <mergeCell ref="F3:I3"/>
    <mergeCell ref="H7:I7"/>
    <mergeCell ref="A5:B5"/>
    <mergeCell ref="F15:I15"/>
    <mergeCell ref="A8:B8"/>
    <mergeCell ref="C8:D8"/>
    <mergeCell ref="F9:G9"/>
    <mergeCell ref="C7:D7"/>
    <mergeCell ref="A3:D3"/>
    <mergeCell ref="A10:B10"/>
    <mergeCell ref="A1:I1"/>
    <mergeCell ref="H5:I5"/>
    <mergeCell ref="H8:I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JANUARY · MONTHLY BUDGET</t>
        </is>
      </c>
    </row>
    <row r="2" ht="18" customHeight="1">
      <c r="A2" s="2" t="inlineStr">
        <is>
          <t>Track your income and expenses for January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FEBRUARY · MONTHLY BUDGET</t>
        </is>
      </c>
    </row>
    <row r="2" ht="18" customHeight="1">
      <c r="A2" s="2" t="inlineStr">
        <is>
          <t>Track your income and expenses for February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MARCH · MONTHLY BUDGET</t>
        </is>
      </c>
    </row>
    <row r="2" ht="18" customHeight="1">
      <c r="A2" s="2" t="inlineStr">
        <is>
          <t>Track your income and expenses for March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APRIL · MONTHLY BUDGET</t>
        </is>
      </c>
    </row>
    <row r="2" ht="18" customHeight="1">
      <c r="A2" s="2" t="inlineStr">
        <is>
          <t>Track your income and expenses for April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MAY · MONTHLY BUDGET</t>
        </is>
      </c>
    </row>
    <row r="2" ht="18" customHeight="1">
      <c r="A2" s="2" t="inlineStr">
        <is>
          <t>Track your income and expenses for May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JUNE · MONTHLY BUDGET</t>
        </is>
      </c>
    </row>
    <row r="2" ht="18" customHeight="1">
      <c r="A2" s="2" t="inlineStr">
        <is>
          <t>Track your income and expenses for June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JULY · MONTHLY BUDGET</t>
        </is>
      </c>
    </row>
    <row r="2" ht="18" customHeight="1">
      <c r="A2" s="2" t="inlineStr">
        <is>
          <t>Track your income and expenses for July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AUGUST · MONTHLY BUDGET</t>
        </is>
      </c>
    </row>
    <row r="2" ht="18" customHeight="1">
      <c r="A2" s="2" t="inlineStr">
        <is>
          <t>Track your income and expenses for August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SEPTEMBER · MONTHLY BUDGET</t>
        </is>
      </c>
    </row>
    <row r="2" ht="18" customHeight="1">
      <c r="A2" s="2" t="inlineStr">
        <is>
          <t>Track your income and expenses for September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OCTOBER · MONTHLY BUDGET</t>
        </is>
      </c>
    </row>
    <row r="2" ht="18" customHeight="1">
      <c r="A2" s="2" t="inlineStr">
        <is>
          <t>Track your income and expenses for October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NOVEMBER · MONTHLY BUDGET</t>
        </is>
      </c>
    </row>
    <row r="2" ht="18" customHeight="1">
      <c r="A2" s="2" t="inlineStr">
        <is>
          <t>Track your income and expenses for November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B8F5E"/>
    <outlinePr summaryBelow="1" summaryRight="1"/>
    <pageSetUpPr/>
  </sheetPr>
  <dimension ref="A1:G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DECEMBER · MONTHLY BUDGET</t>
        </is>
      </c>
    </row>
    <row r="2" ht="18" customHeight="1">
      <c r="A2" s="2" t="inlineStr">
        <is>
          <t>Track your income and expenses for December</t>
        </is>
      </c>
    </row>
    <row r="3" ht="20" customHeight="1">
      <c r="A3" s="5" t="inlineStr">
        <is>
          <t>CATEGORY</t>
        </is>
      </c>
      <c r="B3" s="5" t="inlineStr">
        <is>
          <t>SUBCATEGORY</t>
        </is>
      </c>
      <c r="C3" s="5" t="inlineStr">
        <is>
          <t>BUDGETED</t>
        </is>
      </c>
      <c r="D3" s="5" t="inlineStr">
        <is>
          <t>ACTUAL</t>
        </is>
      </c>
      <c r="E3" s="5" t="inlineStr">
        <is>
          <t>DIFFERENCE</t>
        </is>
      </c>
      <c r="F3" s="5" t="inlineStr">
        <is>
          <t>% USED</t>
        </is>
      </c>
      <c r="G3" s="5" t="inlineStr">
        <is>
          <t>NOTES</t>
        </is>
      </c>
    </row>
    <row r="4" ht="22" customHeight="1">
      <c r="A4" s="4" t="inlineStr">
        <is>
          <t>INCOME</t>
        </is>
      </c>
    </row>
    <row r="5" ht="18" customHeight="1">
      <c r="A5" s="19" t="inlineStr">
        <is>
          <t>INCOME</t>
        </is>
      </c>
      <c r="B5" s="19" t="inlineStr">
        <is>
          <t>Primary Income</t>
        </is>
      </c>
      <c r="C5" s="9" t="n">
        <v>0</v>
      </c>
      <c r="D5" s="9" t="n">
        <v>0</v>
      </c>
      <c r="E5" s="25">
        <f>IFERROR(C5-D5,0)</f>
        <v/>
      </c>
      <c r="F5" s="17">
        <f>IFERROR(D5/C5,0)</f>
        <v/>
      </c>
      <c r="G5" s="19" t="inlineStr"/>
    </row>
    <row r="6" ht="18" customHeight="1">
      <c r="A6" s="22" t="inlineStr">
        <is>
          <t>INCOME</t>
        </is>
      </c>
      <c r="B6" s="22" t="inlineStr">
        <is>
          <t>Side Income</t>
        </is>
      </c>
      <c r="C6" s="15" t="n">
        <v>0</v>
      </c>
      <c r="D6" s="15" t="n">
        <v>0</v>
      </c>
      <c r="E6" s="26">
        <f>IFERROR(C6-D6,0)</f>
        <v/>
      </c>
      <c r="F6" s="27">
        <f>IFERROR(D6/C6,0)</f>
        <v/>
      </c>
      <c r="G6" s="22" t="inlineStr"/>
    </row>
    <row r="7" ht="18" customHeight="1">
      <c r="A7" s="19" t="inlineStr">
        <is>
          <t>INCOME</t>
        </is>
      </c>
      <c r="B7" s="19" t="inlineStr">
        <is>
          <t>Other Income</t>
        </is>
      </c>
      <c r="C7" s="9" t="n">
        <v>0</v>
      </c>
      <c r="D7" s="9" t="n">
        <v>0</v>
      </c>
      <c r="E7" s="25">
        <f>IFERROR(C7-D7,0)</f>
        <v/>
      </c>
      <c r="F7" s="17">
        <f>IFERROR(D7/C7,0)</f>
        <v/>
      </c>
      <c r="G7" s="19" t="inlineStr"/>
    </row>
    <row r="8" ht="20" customHeight="1">
      <c r="A8" s="28" t="inlineStr">
        <is>
          <t>TOTAL INCOME</t>
        </is>
      </c>
      <c r="C8" s="29">
        <f>SUM(C5:C7)</f>
        <v/>
      </c>
      <c r="D8" s="29">
        <f>SUM(D5:D7)</f>
        <v/>
      </c>
      <c r="E8" s="29">
        <f>IFERROR(C8-D8,0)</f>
        <v/>
      </c>
      <c r="F8" s="30">
        <f>IFERROR(D8/C8,0)</f>
        <v/>
      </c>
    </row>
    <row r="9" ht="22" customHeight="1">
      <c r="A9" s="3" t="inlineStr">
        <is>
          <t>HOUSING</t>
        </is>
      </c>
    </row>
    <row r="10" ht="18" customHeight="1">
      <c r="A10" s="19" t="inlineStr">
        <is>
          <t>HOUSING</t>
        </is>
      </c>
      <c r="B10" s="19" t="inlineStr">
        <is>
          <t>Rent/Mortgage</t>
        </is>
      </c>
      <c r="C10" s="9" t="n">
        <v>0</v>
      </c>
      <c r="D10" s="9" t="n">
        <v>0</v>
      </c>
      <c r="E10" s="25">
        <f>IFERROR(C10-D10,0)</f>
        <v/>
      </c>
      <c r="F10" s="17">
        <f>IFERROR(D10/C10,0)</f>
        <v/>
      </c>
      <c r="G10" s="19" t="inlineStr"/>
    </row>
    <row r="11" ht="18" customHeight="1">
      <c r="A11" s="21" t="inlineStr">
        <is>
          <t>HOUSING</t>
        </is>
      </c>
      <c r="B11" s="21" t="inlineStr">
        <is>
          <t>Utilities</t>
        </is>
      </c>
      <c r="C11" s="31" t="n">
        <v>0</v>
      </c>
      <c r="D11" s="31" t="n">
        <v>0</v>
      </c>
      <c r="E11" s="18">
        <f>IFERROR(C11-D11,0)</f>
        <v/>
      </c>
      <c r="F11" s="32">
        <f>IFERROR(D11/C11,0)</f>
        <v/>
      </c>
      <c r="G11" s="21" t="inlineStr"/>
    </row>
    <row r="12" ht="18" customHeight="1">
      <c r="A12" s="19" t="inlineStr">
        <is>
          <t>HOUSING</t>
        </is>
      </c>
      <c r="B12" s="19" t="inlineStr">
        <is>
          <t>Electricity</t>
        </is>
      </c>
      <c r="C12" s="9" t="n">
        <v>0</v>
      </c>
      <c r="D12" s="9" t="n">
        <v>0</v>
      </c>
      <c r="E12" s="25">
        <f>IFERROR(C12-D12,0)</f>
        <v/>
      </c>
      <c r="F12" s="17">
        <f>IFERROR(D12/C12,0)</f>
        <v/>
      </c>
      <c r="G12" s="19" t="inlineStr"/>
    </row>
    <row r="13" ht="18" customHeight="1">
      <c r="A13" s="21" t="inlineStr">
        <is>
          <t>HOUSING</t>
        </is>
      </c>
      <c r="B13" s="21" t="inlineStr">
        <is>
          <t>Internet</t>
        </is>
      </c>
      <c r="C13" s="31" t="n">
        <v>0</v>
      </c>
      <c r="D13" s="31" t="n">
        <v>0</v>
      </c>
      <c r="E13" s="18">
        <f>IFERROR(C13-D13,0)</f>
        <v/>
      </c>
      <c r="F13" s="32">
        <f>IFERROR(D13/C13,0)</f>
        <v/>
      </c>
      <c r="G13" s="21" t="inlineStr"/>
    </row>
    <row r="14" ht="18" customHeight="1">
      <c r="A14" s="19" t="inlineStr">
        <is>
          <t>HOUSING</t>
        </is>
      </c>
      <c r="B14" s="19" t="inlineStr">
        <is>
          <t>Home Insurance</t>
        </is>
      </c>
      <c r="C14" s="9" t="n">
        <v>0</v>
      </c>
      <c r="D14" s="9" t="n">
        <v>0</v>
      </c>
      <c r="E14" s="25">
        <f>IFERROR(C14-D14,0)</f>
        <v/>
      </c>
      <c r="F14" s="17">
        <f>IFERROR(D14/C14,0)</f>
        <v/>
      </c>
      <c r="G14" s="19" t="inlineStr"/>
    </row>
    <row r="15" ht="20" customHeight="1">
      <c r="A15" s="28" t="inlineStr">
        <is>
          <t>HOUSING TOTAL</t>
        </is>
      </c>
      <c r="C15" s="29">
        <f>SUM(C10:C14)</f>
        <v/>
      </c>
      <c r="D15" s="29">
        <f>SUM(D10:D14)</f>
        <v/>
      </c>
      <c r="E15" s="29">
        <f>IFERROR(C15-D15,0)</f>
        <v/>
      </c>
      <c r="F15" s="30">
        <f>IFERROR(D15/C15,0)</f>
        <v/>
      </c>
    </row>
    <row r="16" ht="22" customHeight="1">
      <c r="A16" s="3" t="inlineStr">
        <is>
          <t>TRANSPORT</t>
        </is>
      </c>
    </row>
    <row r="17" ht="18" customHeight="1">
      <c r="A17" s="19" t="inlineStr">
        <is>
          <t>TRANSPORT</t>
        </is>
      </c>
      <c r="B17" s="19" t="inlineStr">
        <is>
          <t>Car Payment</t>
        </is>
      </c>
      <c r="C17" s="9" t="n">
        <v>0</v>
      </c>
      <c r="D17" s="9" t="n">
        <v>0</v>
      </c>
      <c r="E17" s="25">
        <f>IFERROR(C17-D17,0)</f>
        <v/>
      </c>
      <c r="F17" s="17">
        <f>IFERROR(D17/C17,0)</f>
        <v/>
      </c>
      <c r="G17" s="19" t="inlineStr"/>
    </row>
    <row r="18" ht="18" customHeight="1">
      <c r="A18" s="21" t="inlineStr">
        <is>
          <t>TRANSPORT</t>
        </is>
      </c>
      <c r="B18" s="21" t="inlineStr">
        <is>
          <t>Fuel</t>
        </is>
      </c>
      <c r="C18" s="31" t="n">
        <v>0</v>
      </c>
      <c r="D18" s="31" t="n">
        <v>0</v>
      </c>
      <c r="E18" s="18">
        <f>IFERROR(C18-D18,0)</f>
        <v/>
      </c>
      <c r="F18" s="32">
        <f>IFERROR(D18/C18,0)</f>
        <v/>
      </c>
      <c r="G18" s="21" t="inlineStr"/>
    </row>
    <row r="19" ht="18" customHeight="1">
      <c r="A19" s="19" t="inlineStr">
        <is>
          <t>TRANSPORT</t>
        </is>
      </c>
      <c r="B19" s="19" t="inlineStr">
        <is>
          <t>Car Insurance</t>
        </is>
      </c>
      <c r="C19" s="9" t="n">
        <v>0</v>
      </c>
      <c r="D19" s="9" t="n">
        <v>0</v>
      </c>
      <c r="E19" s="25">
        <f>IFERROR(C19-D19,0)</f>
        <v/>
      </c>
      <c r="F19" s="17">
        <f>IFERROR(D19/C19,0)</f>
        <v/>
      </c>
      <c r="G19" s="19" t="inlineStr"/>
    </row>
    <row r="20" ht="18" customHeight="1">
      <c r="A20" s="21" t="inlineStr">
        <is>
          <t>TRANSPORT</t>
        </is>
      </c>
      <c r="B20" s="21" t="inlineStr">
        <is>
          <t>Parking</t>
        </is>
      </c>
      <c r="C20" s="31" t="n">
        <v>0</v>
      </c>
      <c r="D20" s="31" t="n">
        <v>0</v>
      </c>
      <c r="E20" s="18">
        <f>IFERROR(C20-D20,0)</f>
        <v/>
      </c>
      <c r="F20" s="32">
        <f>IFERROR(D20/C20,0)</f>
        <v/>
      </c>
      <c r="G20" s="21" t="inlineStr"/>
    </row>
    <row r="21" ht="18" customHeight="1">
      <c r="A21" s="19" t="inlineStr">
        <is>
          <t>TRANSPORT</t>
        </is>
      </c>
      <c r="B21" s="19" t="inlineStr">
        <is>
          <t>Public Transport</t>
        </is>
      </c>
      <c r="C21" s="9" t="n">
        <v>0</v>
      </c>
      <c r="D21" s="9" t="n">
        <v>0</v>
      </c>
      <c r="E21" s="25">
        <f>IFERROR(C21-D21,0)</f>
        <v/>
      </c>
      <c r="F21" s="17">
        <f>IFERROR(D21/C21,0)</f>
        <v/>
      </c>
      <c r="G21" s="19" t="inlineStr"/>
    </row>
    <row r="22" ht="20" customHeight="1">
      <c r="A22" s="28" t="inlineStr">
        <is>
          <t>TRANSPORT TOTAL</t>
        </is>
      </c>
      <c r="C22" s="29">
        <f>SUM(C17:C21)</f>
        <v/>
      </c>
      <c r="D22" s="29">
        <f>SUM(D17:D21)</f>
        <v/>
      </c>
      <c r="E22" s="29">
        <f>IFERROR(C22-D22,0)</f>
        <v/>
      </c>
      <c r="F22" s="30">
        <f>IFERROR(D22/C22,0)</f>
        <v/>
      </c>
    </row>
    <row r="23" ht="22" customHeight="1">
      <c r="A23" s="3" t="inlineStr">
        <is>
          <t>FOOD &amp; DINING</t>
        </is>
      </c>
    </row>
    <row r="24" ht="18" customHeight="1">
      <c r="A24" s="19" t="inlineStr">
        <is>
          <t>FOOD &amp; DINING</t>
        </is>
      </c>
      <c r="B24" s="19" t="inlineStr">
        <is>
          <t>Groceries</t>
        </is>
      </c>
      <c r="C24" s="9" t="n">
        <v>0</v>
      </c>
      <c r="D24" s="9" t="n">
        <v>0</v>
      </c>
      <c r="E24" s="25">
        <f>IFERROR(C24-D24,0)</f>
        <v/>
      </c>
      <c r="F24" s="17">
        <f>IFERROR(D24/C24,0)</f>
        <v/>
      </c>
      <c r="G24" s="19" t="inlineStr"/>
    </row>
    <row r="25" ht="18" customHeight="1">
      <c r="A25" s="21" t="inlineStr">
        <is>
          <t>FOOD &amp; DINING</t>
        </is>
      </c>
      <c r="B25" s="21" t="inlineStr">
        <is>
          <t>Restaurants</t>
        </is>
      </c>
      <c r="C25" s="31" t="n">
        <v>0</v>
      </c>
      <c r="D25" s="31" t="n">
        <v>0</v>
      </c>
      <c r="E25" s="18">
        <f>IFERROR(C25-D25,0)</f>
        <v/>
      </c>
      <c r="F25" s="32">
        <f>IFERROR(D25/C25,0)</f>
        <v/>
      </c>
      <c r="G25" s="21" t="inlineStr"/>
    </row>
    <row r="26" ht="18" customHeight="1">
      <c r="A26" s="19" t="inlineStr">
        <is>
          <t>FOOD &amp; DINING</t>
        </is>
      </c>
      <c r="B26" s="19" t="inlineStr">
        <is>
          <t>Coffee</t>
        </is>
      </c>
      <c r="C26" s="9" t="n">
        <v>0</v>
      </c>
      <c r="D26" s="9" t="n">
        <v>0</v>
      </c>
      <c r="E26" s="25">
        <f>IFERROR(C26-D26,0)</f>
        <v/>
      </c>
      <c r="F26" s="17">
        <f>IFERROR(D26/C26,0)</f>
        <v/>
      </c>
      <c r="G26" s="19" t="inlineStr"/>
    </row>
    <row r="27" ht="18" customHeight="1">
      <c r="A27" s="21" t="inlineStr">
        <is>
          <t>FOOD &amp; DINING</t>
        </is>
      </c>
      <c r="B27" s="21" t="inlineStr">
        <is>
          <t>Food Delivery</t>
        </is>
      </c>
      <c r="C27" s="31" t="n">
        <v>0</v>
      </c>
      <c r="D27" s="31" t="n">
        <v>0</v>
      </c>
      <c r="E27" s="18">
        <f>IFERROR(C27-D27,0)</f>
        <v/>
      </c>
      <c r="F27" s="32">
        <f>IFERROR(D27/C27,0)</f>
        <v/>
      </c>
      <c r="G27" s="21" t="inlineStr"/>
    </row>
    <row r="28" ht="18" customHeight="1">
      <c r="A28" s="19" t="inlineStr">
        <is>
          <t>FOOD &amp; DINING</t>
        </is>
      </c>
      <c r="B28" s="19" t="inlineStr">
        <is>
          <t>Work Lunch</t>
        </is>
      </c>
      <c r="C28" s="9" t="n">
        <v>0</v>
      </c>
      <c r="D28" s="9" t="n">
        <v>0</v>
      </c>
      <c r="E28" s="25">
        <f>IFERROR(C28-D28,0)</f>
        <v/>
      </c>
      <c r="F28" s="17">
        <f>IFERROR(D28/C28,0)</f>
        <v/>
      </c>
      <c r="G28" s="19" t="inlineStr"/>
    </row>
    <row r="29" ht="20" customHeight="1">
      <c r="A29" s="28" t="inlineStr">
        <is>
          <t>FOOD &amp; DINING TOTAL</t>
        </is>
      </c>
      <c r="C29" s="29">
        <f>SUM(C24:C28)</f>
        <v/>
      </c>
      <c r="D29" s="29">
        <f>SUM(D24:D28)</f>
        <v/>
      </c>
      <c r="E29" s="29">
        <f>IFERROR(C29-D29,0)</f>
        <v/>
      </c>
      <c r="F29" s="30">
        <f>IFERROR(D29/C29,0)</f>
        <v/>
      </c>
    </row>
    <row r="30" ht="22" customHeight="1">
      <c r="A30" s="3" t="inlineStr">
        <is>
          <t>HEALTH &amp; WELLNESS</t>
        </is>
      </c>
    </row>
    <row r="31" ht="18" customHeight="1">
      <c r="A31" s="19" t="inlineStr">
        <is>
          <t>HEALTH &amp; WELLNESS</t>
        </is>
      </c>
      <c r="B31" s="19" t="inlineStr">
        <is>
          <t>Health Insurance</t>
        </is>
      </c>
      <c r="C31" s="9" t="n">
        <v>0</v>
      </c>
      <c r="D31" s="9" t="n">
        <v>0</v>
      </c>
      <c r="E31" s="25">
        <f>IFERROR(C31-D31,0)</f>
        <v/>
      </c>
      <c r="F31" s="17">
        <f>IFERROR(D31/C31,0)</f>
        <v/>
      </c>
      <c r="G31" s="19" t="inlineStr"/>
    </row>
    <row r="32" ht="18" customHeight="1">
      <c r="A32" s="21" t="inlineStr">
        <is>
          <t>HEALTH &amp; WELLNESS</t>
        </is>
      </c>
      <c r="B32" s="21" t="inlineStr">
        <is>
          <t>Gym</t>
        </is>
      </c>
      <c r="C32" s="31" t="n">
        <v>0</v>
      </c>
      <c r="D32" s="31" t="n">
        <v>0</v>
      </c>
      <c r="E32" s="18">
        <f>IFERROR(C32-D32,0)</f>
        <v/>
      </c>
      <c r="F32" s="32">
        <f>IFERROR(D32/C32,0)</f>
        <v/>
      </c>
      <c r="G32" s="21" t="inlineStr"/>
    </row>
    <row r="33" ht="18" customHeight="1">
      <c r="A33" s="19" t="inlineStr">
        <is>
          <t>HEALTH &amp; WELLNESS</t>
        </is>
      </c>
      <c r="B33" s="19" t="inlineStr">
        <is>
          <t>Pharmacy</t>
        </is>
      </c>
      <c r="C33" s="9" t="n">
        <v>0</v>
      </c>
      <c r="D33" s="9" t="n">
        <v>0</v>
      </c>
      <c r="E33" s="25">
        <f>IFERROR(C33-D33,0)</f>
        <v/>
      </c>
      <c r="F33" s="17">
        <f>IFERROR(D33/C33,0)</f>
        <v/>
      </c>
      <c r="G33" s="19" t="inlineStr"/>
    </row>
    <row r="34" ht="18" customHeight="1">
      <c r="A34" s="21" t="inlineStr">
        <is>
          <t>HEALTH &amp; WELLNESS</t>
        </is>
      </c>
      <c r="B34" s="21" t="inlineStr">
        <is>
          <t>Doctor</t>
        </is>
      </c>
      <c r="C34" s="31" t="n">
        <v>0</v>
      </c>
      <c r="D34" s="31" t="n">
        <v>0</v>
      </c>
      <c r="E34" s="18">
        <f>IFERROR(C34-D34,0)</f>
        <v/>
      </c>
      <c r="F34" s="32">
        <f>IFERROR(D34/C34,0)</f>
        <v/>
      </c>
      <c r="G34" s="21" t="inlineStr"/>
    </row>
    <row r="35" ht="18" customHeight="1">
      <c r="A35" s="19" t="inlineStr">
        <is>
          <t>HEALTH &amp; WELLNESS</t>
        </is>
      </c>
      <c r="B35" s="19" t="inlineStr">
        <is>
          <t>Dental</t>
        </is>
      </c>
      <c r="C35" s="9" t="n">
        <v>0</v>
      </c>
      <c r="D35" s="9" t="n">
        <v>0</v>
      </c>
      <c r="E35" s="25">
        <f>IFERROR(C35-D35,0)</f>
        <v/>
      </c>
      <c r="F35" s="17">
        <f>IFERROR(D35/C35,0)</f>
        <v/>
      </c>
      <c r="G35" s="19" t="inlineStr"/>
    </row>
    <row r="36" ht="20" customHeight="1">
      <c r="A36" s="28" t="inlineStr">
        <is>
          <t>HEALTH &amp; WELLNESS TOTAL</t>
        </is>
      </c>
      <c r="C36" s="29">
        <f>SUM(C31:C35)</f>
        <v/>
      </c>
      <c r="D36" s="29">
        <f>SUM(D31:D35)</f>
        <v/>
      </c>
      <c r="E36" s="29">
        <f>IFERROR(C36-D36,0)</f>
        <v/>
      </c>
      <c r="F36" s="30">
        <f>IFERROR(D36/C36,0)</f>
        <v/>
      </c>
    </row>
    <row r="37" ht="22" customHeight="1">
      <c r="A37" s="3" t="inlineStr">
        <is>
          <t>LIFESTYLE</t>
        </is>
      </c>
    </row>
    <row r="38" ht="18" customHeight="1">
      <c r="A38" s="19" t="inlineStr">
        <is>
          <t>LIFESTYLE</t>
        </is>
      </c>
      <c r="B38" s="19" t="inlineStr">
        <is>
          <t>Streaming Services</t>
        </is>
      </c>
      <c r="C38" s="9" t="n">
        <v>0</v>
      </c>
      <c r="D38" s="9" t="n">
        <v>0</v>
      </c>
      <c r="E38" s="25">
        <f>IFERROR(C38-D38,0)</f>
        <v/>
      </c>
      <c r="F38" s="17">
        <f>IFERROR(D38/C38,0)</f>
        <v/>
      </c>
      <c r="G38" s="19" t="inlineStr"/>
    </row>
    <row r="39" ht="18" customHeight="1">
      <c r="A39" s="21" t="inlineStr">
        <is>
          <t>LIFESTYLE</t>
        </is>
      </c>
      <c r="B39" s="21" t="inlineStr">
        <is>
          <t>Entertainment</t>
        </is>
      </c>
      <c r="C39" s="31" t="n">
        <v>0</v>
      </c>
      <c r="D39" s="31" t="n">
        <v>0</v>
      </c>
      <c r="E39" s="18">
        <f>IFERROR(C39-D39,0)</f>
        <v/>
      </c>
      <c r="F39" s="32">
        <f>IFERROR(D39/C39,0)</f>
        <v/>
      </c>
      <c r="G39" s="21" t="inlineStr"/>
    </row>
    <row r="40" ht="18" customHeight="1">
      <c r="A40" s="19" t="inlineStr">
        <is>
          <t>LIFESTYLE</t>
        </is>
      </c>
      <c r="B40" s="19" t="inlineStr">
        <is>
          <t>Hobbies</t>
        </is>
      </c>
      <c r="C40" s="9" t="n">
        <v>0</v>
      </c>
      <c r="D40" s="9" t="n">
        <v>0</v>
      </c>
      <c r="E40" s="25">
        <f>IFERROR(C40-D40,0)</f>
        <v/>
      </c>
      <c r="F40" s="17">
        <f>IFERROR(D40/C40,0)</f>
        <v/>
      </c>
      <c r="G40" s="19" t="inlineStr"/>
    </row>
    <row r="41" ht="18" customHeight="1">
      <c r="A41" s="21" t="inlineStr">
        <is>
          <t>LIFESTYLE</t>
        </is>
      </c>
      <c r="B41" s="21" t="inlineStr">
        <is>
          <t>Personal Care</t>
        </is>
      </c>
      <c r="C41" s="31" t="n">
        <v>0</v>
      </c>
      <c r="D41" s="31" t="n">
        <v>0</v>
      </c>
      <c r="E41" s="18">
        <f>IFERROR(C41-D41,0)</f>
        <v/>
      </c>
      <c r="F41" s="32">
        <f>IFERROR(D41/C41,0)</f>
        <v/>
      </c>
      <c r="G41" s="21" t="inlineStr"/>
    </row>
    <row r="42" ht="18" customHeight="1">
      <c r="A42" s="19" t="inlineStr">
        <is>
          <t>LIFESTYLE</t>
        </is>
      </c>
      <c r="B42" s="19" t="inlineStr">
        <is>
          <t>Books</t>
        </is>
      </c>
      <c r="C42" s="9" t="n">
        <v>0</v>
      </c>
      <c r="D42" s="9" t="n">
        <v>0</v>
      </c>
      <c r="E42" s="25">
        <f>IFERROR(C42-D42,0)</f>
        <v/>
      </c>
      <c r="F42" s="17">
        <f>IFERROR(D42/C42,0)</f>
        <v/>
      </c>
      <c r="G42" s="19" t="inlineStr"/>
    </row>
    <row r="43" ht="20" customHeight="1">
      <c r="A43" s="28" t="inlineStr">
        <is>
          <t>LIFESTYLE TOTAL</t>
        </is>
      </c>
      <c r="C43" s="29">
        <f>SUM(C38:C42)</f>
        <v/>
      </c>
      <c r="D43" s="29">
        <f>SUM(D38:D42)</f>
        <v/>
      </c>
      <c r="E43" s="29">
        <f>IFERROR(C43-D43,0)</f>
        <v/>
      </c>
      <c r="F43" s="30">
        <f>IFERROR(D43/C43,0)</f>
        <v/>
      </c>
    </row>
    <row r="44" ht="22" customHeight="1">
      <c r="A44" s="3" t="inlineStr">
        <is>
          <t>PERSONAL</t>
        </is>
      </c>
    </row>
    <row r="45" ht="18" customHeight="1">
      <c r="A45" s="19" t="inlineStr">
        <is>
          <t>PERSONAL</t>
        </is>
      </c>
      <c r="B45" s="19" t="inlineStr">
        <is>
          <t>Clothing</t>
        </is>
      </c>
      <c r="C45" s="9" t="n">
        <v>0</v>
      </c>
      <c r="D45" s="9" t="n">
        <v>0</v>
      </c>
      <c r="E45" s="25">
        <f>IFERROR(C45-D45,0)</f>
        <v/>
      </c>
      <c r="F45" s="17">
        <f>IFERROR(D45/C45,0)</f>
        <v/>
      </c>
      <c r="G45" s="19" t="inlineStr"/>
    </row>
    <row r="46" ht="18" customHeight="1">
      <c r="A46" s="21" t="inlineStr">
        <is>
          <t>PERSONAL</t>
        </is>
      </c>
      <c r="B46" s="21" t="inlineStr">
        <is>
          <t>Gifts</t>
        </is>
      </c>
      <c r="C46" s="31" t="n">
        <v>0</v>
      </c>
      <c r="D46" s="31" t="n">
        <v>0</v>
      </c>
      <c r="E46" s="18">
        <f>IFERROR(C46-D46,0)</f>
        <v/>
      </c>
      <c r="F46" s="32">
        <f>IFERROR(D46/C46,0)</f>
        <v/>
      </c>
      <c r="G46" s="21" t="inlineStr"/>
    </row>
    <row r="47" ht="18" customHeight="1">
      <c r="A47" s="19" t="inlineStr">
        <is>
          <t>PERSONAL</t>
        </is>
      </c>
      <c r="B47" s="19" t="inlineStr">
        <is>
          <t>Education</t>
        </is>
      </c>
      <c r="C47" s="9" t="n">
        <v>0</v>
      </c>
      <c r="D47" s="9" t="n">
        <v>0</v>
      </c>
      <c r="E47" s="25">
        <f>IFERROR(C47-D47,0)</f>
        <v/>
      </c>
      <c r="F47" s="17">
        <f>IFERROR(D47/C47,0)</f>
        <v/>
      </c>
      <c r="G47" s="19" t="inlineStr"/>
    </row>
    <row r="48" ht="18" customHeight="1">
      <c r="A48" s="21" t="inlineStr">
        <is>
          <t>PERSONAL</t>
        </is>
      </c>
      <c r="B48" s="21" t="inlineStr">
        <is>
          <t>Pet Care</t>
        </is>
      </c>
      <c r="C48" s="31" t="n">
        <v>0</v>
      </c>
      <c r="D48" s="31" t="n">
        <v>0</v>
      </c>
      <c r="E48" s="18">
        <f>IFERROR(C48-D48,0)</f>
        <v/>
      </c>
      <c r="F48" s="32">
        <f>IFERROR(D48/C48,0)</f>
        <v/>
      </c>
      <c r="G48" s="21" t="inlineStr"/>
    </row>
    <row r="49" ht="18" customHeight="1">
      <c r="A49" s="19" t="inlineStr">
        <is>
          <t>PERSONAL</t>
        </is>
      </c>
      <c r="B49" s="19" t="inlineStr">
        <is>
          <t>Miscellaneous</t>
        </is>
      </c>
      <c r="C49" s="9" t="n">
        <v>0</v>
      </c>
      <c r="D49" s="9" t="n">
        <v>0</v>
      </c>
      <c r="E49" s="25">
        <f>IFERROR(C49-D49,0)</f>
        <v/>
      </c>
      <c r="F49" s="17">
        <f>IFERROR(D49/C49,0)</f>
        <v/>
      </c>
      <c r="G49" s="19" t="inlineStr"/>
    </row>
    <row r="50" ht="20" customHeight="1">
      <c r="A50" s="28" t="inlineStr">
        <is>
          <t>PERSONAL TOTAL</t>
        </is>
      </c>
      <c r="C50" s="29">
        <f>SUM(C45:C49)</f>
        <v/>
      </c>
      <c r="D50" s="29">
        <f>SUM(D45:D49)</f>
        <v/>
      </c>
      <c r="E50" s="29">
        <f>IFERROR(C50-D50,0)</f>
        <v/>
      </c>
      <c r="F50" s="30">
        <f>IFERROR(D50/C50,0)</f>
        <v/>
      </c>
    </row>
    <row r="51" ht="22" customHeight="1">
      <c r="A51" s="3" t="inlineStr">
        <is>
          <t>SAVINGS &amp; INVESTMENTS</t>
        </is>
      </c>
    </row>
    <row r="52" ht="18" customHeight="1">
      <c r="A52" s="19" t="inlineStr">
        <is>
          <t>SAVINGS &amp; INVESTMENTS</t>
        </is>
      </c>
      <c r="B52" s="19" t="inlineStr">
        <is>
          <t>Emergency Fund</t>
        </is>
      </c>
      <c r="C52" s="9" t="n">
        <v>0</v>
      </c>
      <c r="D52" s="9" t="n">
        <v>0</v>
      </c>
      <c r="E52" s="25">
        <f>IFERROR(C52-D52,0)</f>
        <v/>
      </c>
      <c r="F52" s="17">
        <f>IFERROR(D52/C52,0)</f>
        <v/>
      </c>
      <c r="G52" s="19" t="inlineStr"/>
    </row>
    <row r="53" ht="18" customHeight="1">
      <c r="A53" s="21" t="inlineStr">
        <is>
          <t>SAVINGS &amp; INVESTMENTS</t>
        </is>
      </c>
      <c r="B53" s="21" t="inlineStr">
        <is>
          <t>Pension/IRA</t>
        </is>
      </c>
      <c r="C53" s="31" t="n">
        <v>0</v>
      </c>
      <c r="D53" s="31" t="n">
        <v>0</v>
      </c>
      <c r="E53" s="18">
        <f>IFERROR(C53-D53,0)</f>
        <v/>
      </c>
      <c r="F53" s="32">
        <f>IFERROR(D53/C53,0)</f>
        <v/>
      </c>
      <c r="G53" s="21" t="inlineStr"/>
    </row>
    <row r="54" ht="18" customHeight="1">
      <c r="A54" s="19" t="inlineStr">
        <is>
          <t>SAVINGS &amp; INVESTMENTS</t>
        </is>
      </c>
      <c r="B54" s="19" t="inlineStr">
        <is>
          <t>Stocks</t>
        </is>
      </c>
      <c r="C54" s="9" t="n">
        <v>0</v>
      </c>
      <c r="D54" s="9" t="n">
        <v>0</v>
      </c>
      <c r="E54" s="25">
        <f>IFERROR(C54-D54,0)</f>
        <v/>
      </c>
      <c r="F54" s="17">
        <f>IFERROR(D54/C54,0)</f>
        <v/>
      </c>
      <c r="G54" s="19" t="inlineStr"/>
    </row>
    <row r="55" ht="18" customHeight="1">
      <c r="A55" s="21" t="inlineStr">
        <is>
          <t>SAVINGS &amp; INVESTMENTS</t>
        </is>
      </c>
      <c r="B55" s="21" t="inlineStr">
        <is>
          <t>Vacation Fund</t>
        </is>
      </c>
      <c r="C55" s="31" t="n">
        <v>0</v>
      </c>
      <c r="D55" s="31" t="n">
        <v>0</v>
      </c>
      <c r="E55" s="18">
        <f>IFERROR(C55-D55,0)</f>
        <v/>
      </c>
      <c r="F55" s="32">
        <f>IFERROR(D55/C55,0)</f>
        <v/>
      </c>
      <c r="G55" s="21" t="inlineStr"/>
    </row>
    <row r="56" ht="18" customHeight="1">
      <c r="A56" s="19" t="inlineStr">
        <is>
          <t>SAVINGS &amp; INVESTMENTS</t>
        </is>
      </c>
      <c r="B56" s="19" t="inlineStr">
        <is>
          <t>Other Savings</t>
        </is>
      </c>
      <c r="C56" s="9" t="n">
        <v>0</v>
      </c>
      <c r="D56" s="9" t="n">
        <v>0</v>
      </c>
      <c r="E56" s="25">
        <f>IFERROR(C56-D56,0)</f>
        <v/>
      </c>
      <c r="F56" s="17">
        <f>IFERROR(D56/C56,0)</f>
        <v/>
      </c>
      <c r="G56" s="19" t="inlineStr"/>
    </row>
    <row r="57" ht="20" customHeight="1">
      <c r="A57" s="28" t="inlineStr">
        <is>
          <t>SAVINGS &amp; INVESTMENTS TOTAL</t>
        </is>
      </c>
      <c r="C57" s="29">
        <f>SUM(C52:C56)</f>
        <v/>
      </c>
      <c r="D57" s="29">
        <f>SUM(D52:D56)</f>
        <v/>
      </c>
      <c r="E57" s="29">
        <f>IFERROR(C57-D57,0)</f>
        <v/>
      </c>
      <c r="F57" s="30">
        <f>IFERROR(D57/C57,0)</f>
        <v/>
      </c>
    </row>
    <row r="58" ht="22" customHeight="1">
      <c r="A58" s="3" t="inlineStr">
        <is>
          <t>DEBT PAYMENTS</t>
        </is>
      </c>
    </row>
    <row r="59" ht="18" customHeight="1">
      <c r="A59" s="19" t="inlineStr">
        <is>
          <t>DEBT PAYMENTS</t>
        </is>
      </c>
      <c r="B59" s="19" t="inlineStr">
        <is>
          <t>Credit Card 1</t>
        </is>
      </c>
      <c r="C59" s="9" t="n">
        <v>0</v>
      </c>
      <c r="D59" s="9" t="n">
        <v>0</v>
      </c>
      <c r="E59" s="25">
        <f>IFERROR(C59-D59,0)</f>
        <v/>
      </c>
      <c r="F59" s="17">
        <f>IFERROR(D59/C59,0)</f>
        <v/>
      </c>
      <c r="G59" s="19" t="inlineStr"/>
    </row>
    <row r="60" ht="18" customHeight="1">
      <c r="A60" s="21" t="inlineStr">
        <is>
          <t>DEBT PAYMENTS</t>
        </is>
      </c>
      <c r="B60" s="21" t="inlineStr">
        <is>
          <t>Credit Card 2</t>
        </is>
      </c>
      <c r="C60" s="31" t="n">
        <v>0</v>
      </c>
      <c r="D60" s="31" t="n">
        <v>0</v>
      </c>
      <c r="E60" s="18">
        <f>IFERROR(C60-D60,0)</f>
        <v/>
      </c>
      <c r="F60" s="32">
        <f>IFERROR(D60/C60,0)</f>
        <v/>
      </c>
      <c r="G60" s="21" t="inlineStr"/>
    </row>
    <row r="61" ht="18" customHeight="1">
      <c r="A61" s="19" t="inlineStr">
        <is>
          <t>DEBT PAYMENTS</t>
        </is>
      </c>
      <c r="B61" s="19" t="inlineStr">
        <is>
          <t>Student Loan</t>
        </is>
      </c>
      <c r="C61" s="9" t="n">
        <v>0</v>
      </c>
      <c r="D61" s="9" t="n">
        <v>0</v>
      </c>
      <c r="E61" s="25">
        <f>IFERROR(C61-D61,0)</f>
        <v/>
      </c>
      <c r="F61" s="17">
        <f>IFERROR(D61/C61,0)</f>
        <v/>
      </c>
      <c r="G61" s="19" t="inlineStr"/>
    </row>
    <row r="62" ht="18" customHeight="1">
      <c r="A62" s="21" t="inlineStr">
        <is>
          <t>DEBT PAYMENTS</t>
        </is>
      </c>
      <c r="B62" s="21" t="inlineStr">
        <is>
          <t>Car Loan</t>
        </is>
      </c>
      <c r="C62" s="31" t="n">
        <v>0</v>
      </c>
      <c r="D62" s="31" t="n">
        <v>0</v>
      </c>
      <c r="E62" s="18">
        <f>IFERROR(C62-D62,0)</f>
        <v/>
      </c>
      <c r="F62" s="32">
        <f>IFERROR(D62/C62,0)</f>
        <v/>
      </c>
      <c r="G62" s="21" t="inlineStr"/>
    </row>
    <row r="63" ht="18" customHeight="1">
      <c r="A63" s="19" t="inlineStr">
        <is>
          <t>DEBT PAYMENTS</t>
        </is>
      </c>
      <c r="B63" s="19" t="inlineStr">
        <is>
          <t>Other</t>
        </is>
      </c>
      <c r="C63" s="9" t="n">
        <v>0</v>
      </c>
      <c r="D63" s="9" t="n">
        <v>0</v>
      </c>
      <c r="E63" s="25">
        <f>IFERROR(C63-D63,0)</f>
        <v/>
      </c>
      <c r="F63" s="17">
        <f>IFERROR(D63/C63,0)</f>
        <v/>
      </c>
      <c r="G63" s="19" t="inlineStr"/>
    </row>
    <row r="64" ht="20" customHeight="1">
      <c r="A64" s="28" t="inlineStr">
        <is>
          <t>DEBT PAYMENTS TOTAL</t>
        </is>
      </c>
      <c r="C64" s="29">
        <f>SUM(C59:C63)</f>
        <v/>
      </c>
      <c r="D64" s="29">
        <f>SUM(D59:D63)</f>
        <v/>
      </c>
      <c r="E64" s="29">
        <f>IFERROR(C64-D64,0)</f>
        <v/>
      </c>
      <c r="F64" s="30">
        <f>IFERROR(D64/C64,0)</f>
        <v/>
      </c>
    </row>
    <row r="65" ht="22" customHeight="1">
      <c r="A65" s="4" t="inlineStr">
        <is>
          <t>GRAND TOTAL EXPENSES</t>
        </is>
      </c>
      <c r="C65" s="33">
        <f>C15+C22+C29+C36+C43+C50+C57+C64</f>
        <v/>
      </c>
      <c r="D65" s="33">
        <f>D15+D22+D29+D36+D43+D50+D57+D64</f>
        <v/>
      </c>
      <c r="E65" s="33">
        <f>IFERROR(C65-D65,0)</f>
        <v/>
      </c>
    </row>
    <row r="66" ht="22" customHeight="1">
      <c r="A66" s="34" t="inlineStr">
        <is>
          <t>NET CASH FLOW</t>
        </is>
      </c>
      <c r="C66" s="35">
        <f>IFERROR(C8-C65,0)</f>
        <v/>
      </c>
      <c r="D66" s="35">
        <f>IFERROR(D8-D65,0)</f>
        <v/>
      </c>
      <c r="E66" s="36" t="n"/>
      <c r="F66" s="36" t="n"/>
      <c r="G66" s="36" t="n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05E3A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8" customHeight="1">
      <c r="A1" s="1" t="inlineStr">
        <is>
          <t>DEBT PAYOFF TRACKER</t>
        </is>
      </c>
    </row>
    <row r="2" ht="18" customHeight="1">
      <c r="A2" s="2" t="inlineStr">
        <is>
          <t>Track balances, rates, and payoff progress</t>
        </is>
      </c>
    </row>
    <row r="3" ht="20" customHeight="1">
      <c r="A3" s="5" t="inlineStr">
        <is>
          <t>DEBT NAME</t>
        </is>
      </c>
      <c r="B3" s="5" t="inlineStr">
        <is>
          <t>LENDER</t>
        </is>
      </c>
      <c r="C3" s="5" t="inlineStr">
        <is>
          <t>ORIGINAL BAL</t>
        </is>
      </c>
      <c r="D3" s="5" t="inlineStr">
        <is>
          <t>CURRENT BAL</t>
        </is>
      </c>
      <c r="E3" s="5" t="inlineStr">
        <is>
          <t>INTEREST %</t>
        </is>
      </c>
      <c r="F3" s="5" t="inlineStr">
        <is>
          <t>MIN PAYMENT</t>
        </is>
      </c>
      <c r="G3" s="5" t="inlineStr">
        <is>
          <t>MONTHLY PMT</t>
        </is>
      </c>
      <c r="H3" s="5" t="inlineStr">
        <is>
          <t>EST PAYOFF DATE</t>
        </is>
      </c>
      <c r="I3" s="5" t="inlineStr">
        <is>
          <t>STATUS</t>
        </is>
      </c>
    </row>
    <row r="4" ht="18" customHeight="1">
      <c r="A4" s="19" t="inlineStr">
        <is>
          <t>Credit Card 1</t>
        </is>
      </c>
      <c r="B4" s="37" t="inlineStr"/>
      <c r="C4" s="9" t="n">
        <v>0</v>
      </c>
      <c r="D4" s="9" t="n">
        <v>0</v>
      </c>
      <c r="E4" s="38" t="n">
        <v>0</v>
      </c>
      <c r="F4" s="9" t="n">
        <v>0</v>
      </c>
      <c r="G4" s="9" t="n">
        <v>0</v>
      </c>
      <c r="H4" s="20" t="inlineStr"/>
      <c r="I4" s="19" t="inlineStr">
        <is>
          <t>Active</t>
        </is>
      </c>
    </row>
    <row r="5" ht="18" customHeight="1">
      <c r="A5" s="22" t="inlineStr">
        <is>
          <t>Credit Card 2</t>
        </is>
      </c>
      <c r="B5" s="39" t="inlineStr"/>
      <c r="C5" s="15" t="n">
        <v>0</v>
      </c>
      <c r="D5" s="15" t="n">
        <v>0</v>
      </c>
      <c r="E5" s="40" t="n">
        <v>0</v>
      </c>
      <c r="F5" s="15" t="n">
        <v>0</v>
      </c>
      <c r="G5" s="15" t="n">
        <v>0</v>
      </c>
      <c r="H5" s="23" t="inlineStr"/>
      <c r="I5" s="22" t="inlineStr">
        <is>
          <t>Active</t>
        </is>
      </c>
    </row>
    <row r="6" ht="18" customHeight="1">
      <c r="A6" s="19" t="inlineStr">
        <is>
          <t>Student Loan</t>
        </is>
      </c>
      <c r="B6" s="37" t="inlineStr"/>
      <c r="C6" s="9" t="n">
        <v>0</v>
      </c>
      <c r="D6" s="9" t="n">
        <v>0</v>
      </c>
      <c r="E6" s="38" t="n">
        <v>0</v>
      </c>
      <c r="F6" s="9" t="n">
        <v>0</v>
      </c>
      <c r="G6" s="9" t="n">
        <v>0</v>
      </c>
      <c r="H6" s="20" t="inlineStr"/>
      <c r="I6" s="19" t="inlineStr">
        <is>
          <t>Active</t>
        </is>
      </c>
    </row>
    <row r="7" ht="18" customHeight="1">
      <c r="A7" s="22" t="inlineStr">
        <is>
          <t>Car Loan</t>
        </is>
      </c>
      <c r="B7" s="39" t="inlineStr"/>
      <c r="C7" s="15" t="n">
        <v>0</v>
      </c>
      <c r="D7" s="15" t="n">
        <v>0</v>
      </c>
      <c r="E7" s="40" t="n">
        <v>0</v>
      </c>
      <c r="F7" s="15" t="n">
        <v>0</v>
      </c>
      <c r="G7" s="15" t="n">
        <v>0</v>
      </c>
      <c r="H7" s="23" t="inlineStr"/>
      <c r="I7" s="22" t="inlineStr">
        <is>
          <t>Active</t>
        </is>
      </c>
    </row>
    <row r="8" ht="18" customHeight="1">
      <c r="A8" s="19" t="inlineStr">
        <is>
          <t>Personal Loan</t>
        </is>
      </c>
      <c r="B8" s="37" t="inlineStr"/>
      <c r="C8" s="9" t="n">
        <v>0</v>
      </c>
      <c r="D8" s="9" t="n">
        <v>0</v>
      </c>
      <c r="E8" s="38" t="n">
        <v>0</v>
      </c>
      <c r="F8" s="9" t="n">
        <v>0</v>
      </c>
      <c r="G8" s="9" t="n">
        <v>0</v>
      </c>
      <c r="H8" s="20" t="inlineStr"/>
      <c r="I8" s="19" t="inlineStr">
        <is>
          <t>Active</t>
        </is>
      </c>
    </row>
    <row r="9" ht="18" customHeight="1">
      <c r="A9" s="22" t="inlineStr">
        <is>
          <t>Other Debt</t>
        </is>
      </c>
      <c r="B9" s="39" t="inlineStr"/>
      <c r="C9" s="15" t="n">
        <v>0</v>
      </c>
      <c r="D9" s="15" t="n">
        <v>0</v>
      </c>
      <c r="E9" s="40" t="n">
        <v>0</v>
      </c>
      <c r="F9" s="15" t="n">
        <v>0</v>
      </c>
      <c r="G9" s="15" t="n">
        <v>0</v>
      </c>
      <c r="H9" s="23" t="inlineStr"/>
      <c r="I9" s="22" t="inlineStr">
        <is>
          <t>Active</t>
        </is>
      </c>
    </row>
    <row r="10" ht="22" customHeight="1">
      <c r="A10" s="4" t="inlineStr">
        <is>
          <t>TOTALS</t>
        </is>
      </c>
      <c r="C10" s="33">
        <f>SUM(C4:C9)</f>
        <v/>
      </c>
      <c r="D10" s="33">
        <f>SUM(D4:D9)</f>
        <v/>
      </c>
      <c r="F10" s="33">
        <f>SUM(F4:F9)</f>
        <v/>
      </c>
      <c r="G10" s="33">
        <f>SUM(G4:G9)</f>
        <v/>
      </c>
    </row>
    <row r="12" ht="22" customHeight="1">
      <c r="A12" s="3" t="inlineStr">
        <is>
          <t>DEBT SUMMARY</t>
        </is>
      </c>
    </row>
    <row r="13" ht="18" customHeight="1">
      <c r="A13" s="7" t="inlineStr">
        <is>
          <t>Total Outstanding Debt</t>
        </is>
      </c>
      <c r="B13" s="8" t="n"/>
      <c r="C13" s="8" t="n"/>
      <c r="D13" s="16">
        <f>IFERROR(SUM(D4:D9),0)</f>
        <v/>
      </c>
      <c r="E13" s="8" t="n"/>
    </row>
    <row r="14" ht="18" customHeight="1">
      <c r="A14" s="10" t="inlineStr">
        <is>
          <t>Total Monthly Minimums</t>
        </is>
      </c>
      <c r="B14" s="11" t="n"/>
      <c r="C14" s="11" t="n"/>
      <c r="D14" s="12">
        <f>IFERROR(SUM(F4:F9),0)</f>
        <v/>
      </c>
      <c r="E14" s="11" t="n"/>
    </row>
    <row r="15" ht="18" customHeight="1">
      <c r="A15" s="7" t="inlineStr">
        <is>
          <t>Debt-to-Income Ratio</t>
        </is>
      </c>
      <c r="B15" s="8" t="n"/>
      <c r="C15" s="8" t="n"/>
      <c r="D15" s="41">
        <f>IFERROR(SUM(D4:D9)/(Dashboard!D5/12),0)</f>
        <v/>
      </c>
      <c r="E15" s="8" t="n"/>
    </row>
    <row r="16" ht="18" customHeight="1">
      <c r="A16" s="10" t="inlineStr">
        <is>
          <t>Highest Interest Rate Debt</t>
        </is>
      </c>
      <c r="B16" s="11" t="n"/>
      <c r="C16" s="11" t="n"/>
      <c r="D16" s="42">
        <f>IFERROR(INDEX(A4:A9,MATCH(MAX(E4:E9),E4:E9,0)),"N/A")</f>
        <v/>
      </c>
      <c r="E16" s="11" t="n"/>
    </row>
  </sheetData>
  <mergeCells count="12">
    <mergeCell ref="A12:E12"/>
    <mergeCell ref="A13:C13"/>
    <mergeCell ref="A2:I2"/>
    <mergeCell ref="D16:E16"/>
    <mergeCell ref="D15:E15"/>
    <mergeCell ref="D13:E13"/>
    <mergeCell ref="A14:C14"/>
    <mergeCell ref="A10:B10"/>
    <mergeCell ref="A1:I1"/>
    <mergeCell ref="D14:E14"/>
    <mergeCell ref="A15:C15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05E3A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4" customWidth="1" min="8" max="8"/>
    <col width="22" customWidth="1" min="9" max="9"/>
  </cols>
  <sheetData>
    <row r="1" ht="48" customHeight="1">
      <c r="A1" s="1" t="inlineStr">
        <is>
          <t>BILL CALENDAR · 2026</t>
        </is>
      </c>
    </row>
    <row r="2" ht="18" customHeight="1">
      <c r="A2" s="2" t="inlineStr">
        <is>
          <t>Track recurring bills, auto-payments, and annual costs</t>
        </is>
      </c>
    </row>
    <row r="3" ht="20" customHeight="1">
      <c r="A3" s="5" t="inlineStr">
        <is>
          <t>BILL NAME</t>
        </is>
      </c>
      <c r="B3" s="5" t="inlineStr">
        <is>
          <t>CATEGORY</t>
        </is>
      </c>
      <c r="C3" s="5" t="inlineStr">
        <is>
          <t>AMOUNT</t>
        </is>
      </c>
      <c r="D3" s="5" t="inlineStr">
        <is>
          <t>DUE DATE</t>
        </is>
      </c>
      <c r="E3" s="5" t="inlineStr">
        <is>
          <t>FREQUENCY</t>
        </is>
      </c>
      <c r="F3" s="5" t="inlineStr">
        <is>
          <t>AUTO-PAY</t>
        </is>
      </c>
      <c r="G3" s="5" t="inlineStr">
        <is>
          <t>PAID?</t>
        </is>
      </c>
      <c r="H3" s="5" t="inlineStr">
        <is>
          <t>ANNUAL COST</t>
        </is>
      </c>
      <c r="I3" s="5" t="inlineStr">
        <is>
          <t>NOTES</t>
        </is>
      </c>
    </row>
    <row r="4" ht="18" customHeight="1">
      <c r="A4" s="19" t="inlineStr">
        <is>
          <t>Rent/Mortgage</t>
        </is>
      </c>
      <c r="B4" s="19" t="inlineStr">
        <is>
          <t>Housing</t>
        </is>
      </c>
      <c r="C4" s="9" t="n">
        <v>1200</v>
      </c>
      <c r="D4" s="20" t="inlineStr">
        <is>
          <t>01/01/2026</t>
        </is>
      </c>
      <c r="E4" s="19" t="inlineStr">
        <is>
          <t>Monthly</t>
        </is>
      </c>
      <c r="F4" s="19" t="inlineStr">
        <is>
          <t>No</t>
        </is>
      </c>
      <c r="G4" s="19" t="inlineStr">
        <is>
          <t>No</t>
        </is>
      </c>
      <c r="H4" s="25">
        <f>IFERROR(IF(E4="Monthly",C4*12,IF(E4="Annual",C4,IF(E4="Quarterly",C4*4,C4*52))),0)</f>
        <v/>
      </c>
      <c r="I4" s="19" t="inlineStr"/>
    </row>
    <row r="5" ht="18" customHeight="1">
      <c r="A5" s="22" t="inlineStr">
        <is>
          <t>Electricity</t>
        </is>
      </c>
      <c r="B5" s="22" t="inlineStr">
        <is>
          <t>Utilities</t>
        </is>
      </c>
      <c r="C5" s="15" t="n">
        <v>80</v>
      </c>
      <c r="D5" s="23" t="inlineStr">
        <is>
          <t>01/15/2026</t>
        </is>
      </c>
      <c r="E5" s="22" t="inlineStr">
        <is>
          <t>Monthly</t>
        </is>
      </c>
      <c r="F5" s="22" t="inlineStr">
        <is>
          <t>Yes</t>
        </is>
      </c>
      <c r="G5" s="22" t="inlineStr">
        <is>
          <t>No</t>
        </is>
      </c>
      <c r="H5" s="26">
        <f>IFERROR(IF(E5="Monthly",C5*12,IF(E5="Annual",C5,IF(E5="Quarterly",C5*4,C5*52))),0)</f>
        <v/>
      </c>
      <c r="I5" s="22" t="inlineStr"/>
    </row>
    <row r="6" ht="18" customHeight="1">
      <c r="A6" s="19" t="inlineStr">
        <is>
          <t>Internet</t>
        </is>
      </c>
      <c r="B6" s="19" t="inlineStr">
        <is>
          <t>Utilities</t>
        </is>
      </c>
      <c r="C6" s="9" t="n">
        <v>60</v>
      </c>
      <c r="D6" s="20" t="inlineStr">
        <is>
          <t>01/22/2026</t>
        </is>
      </c>
      <c r="E6" s="19" t="inlineStr">
        <is>
          <t>Monthly</t>
        </is>
      </c>
      <c r="F6" s="19" t="inlineStr">
        <is>
          <t>Yes</t>
        </is>
      </c>
      <c r="G6" s="19" t="inlineStr">
        <is>
          <t>No</t>
        </is>
      </c>
      <c r="H6" s="25">
        <f>IFERROR(IF(E6="Monthly",C6*12,IF(E6="Annual",C6,IF(E6="Quarterly",C6*4,C6*52))),0)</f>
        <v/>
      </c>
      <c r="I6" s="19" t="inlineStr"/>
    </row>
    <row r="7" ht="18" customHeight="1">
      <c r="A7" s="22" t="inlineStr">
        <is>
          <t>Phone</t>
        </is>
      </c>
      <c r="B7" s="22" t="inlineStr">
        <is>
          <t>Subscriptions</t>
        </is>
      </c>
      <c r="C7" s="15" t="n">
        <v>70</v>
      </c>
      <c r="D7" s="23" t="inlineStr">
        <is>
          <t>01/12/2026</t>
        </is>
      </c>
      <c r="E7" s="22" t="inlineStr">
        <is>
          <t>Monthly</t>
        </is>
      </c>
      <c r="F7" s="22" t="inlineStr">
        <is>
          <t>Yes</t>
        </is>
      </c>
      <c r="G7" s="22" t="inlineStr">
        <is>
          <t>No</t>
        </is>
      </c>
      <c r="H7" s="26">
        <f>IFERROR(IF(E7="Monthly",C7*12,IF(E7="Annual",C7,IF(E7="Quarterly",C7*4,C7*52))),0)</f>
        <v/>
      </c>
      <c r="I7" s="22" t="inlineStr"/>
    </row>
    <row r="8" ht="18" customHeight="1">
      <c r="A8" s="19" t="inlineStr">
        <is>
          <t>Car Insurance</t>
        </is>
      </c>
      <c r="B8" s="19" t="inlineStr">
        <is>
          <t>Insurance</t>
        </is>
      </c>
      <c r="C8" s="9" t="n">
        <v>120</v>
      </c>
      <c r="D8" s="20" t="inlineStr">
        <is>
          <t>01/20/2026</t>
        </is>
      </c>
      <c r="E8" s="19" t="inlineStr">
        <is>
          <t>Monthly</t>
        </is>
      </c>
      <c r="F8" s="19" t="inlineStr">
        <is>
          <t>No</t>
        </is>
      </c>
      <c r="G8" s="19" t="inlineStr">
        <is>
          <t>No</t>
        </is>
      </c>
      <c r="H8" s="25">
        <f>IFERROR(IF(E8="Monthly",C8*12,IF(E8="Annual",C8,IF(E8="Quarterly",C8*4,C8*52))),0)</f>
        <v/>
      </c>
      <c r="I8" s="19" t="inlineStr"/>
    </row>
    <row r="9" ht="18" customHeight="1">
      <c r="A9" s="22" t="inlineStr">
        <is>
          <t>Streaming</t>
        </is>
      </c>
      <c r="B9" s="22" t="inlineStr">
        <is>
          <t>Subscriptions</t>
        </is>
      </c>
      <c r="C9" s="15" t="n">
        <v>18</v>
      </c>
      <c r="D9" s="23" t="inlineStr">
        <is>
          <t>01/08/2026</t>
        </is>
      </c>
      <c r="E9" s="22" t="inlineStr">
        <is>
          <t>Monthly</t>
        </is>
      </c>
      <c r="F9" s="22" t="inlineStr">
        <is>
          <t>Yes</t>
        </is>
      </c>
      <c r="G9" s="22" t="inlineStr">
        <is>
          <t>No</t>
        </is>
      </c>
      <c r="H9" s="26">
        <f>IFERROR(IF(E9="Monthly",C9*12,IF(E9="Annual",C9,IF(E9="Quarterly",C9*4,C9*52))),0)</f>
        <v/>
      </c>
      <c r="I9" s="22" t="inlineStr"/>
    </row>
    <row r="10" ht="18" customHeight="1">
      <c r="A10" s="19" t="inlineStr">
        <is>
          <t>Gym Membership</t>
        </is>
      </c>
      <c r="B10" s="19" t="inlineStr">
        <is>
          <t>Health</t>
        </is>
      </c>
      <c r="C10" s="9" t="n">
        <v>45</v>
      </c>
      <c r="D10" s="20" t="inlineStr">
        <is>
          <t>01/01/2026</t>
        </is>
      </c>
      <c r="E10" s="19" t="inlineStr">
        <is>
          <t>Monthly</t>
        </is>
      </c>
      <c r="F10" s="19" t="inlineStr">
        <is>
          <t>Yes</t>
        </is>
      </c>
      <c r="G10" s="19" t="inlineStr">
        <is>
          <t>No</t>
        </is>
      </c>
      <c r="H10" s="25">
        <f>IFERROR(IF(E10="Monthly",C10*12,IF(E10="Annual",C10,IF(E10="Quarterly",C10*4,C10*52))),0)</f>
        <v/>
      </c>
      <c r="I10" s="19" t="inlineStr"/>
    </row>
    <row r="11" ht="18" customHeight="1">
      <c r="A11" s="22" t="inlineStr">
        <is>
          <t>Spotify</t>
        </is>
      </c>
      <c r="B11" s="22" t="inlineStr">
        <is>
          <t>Subscriptions</t>
        </is>
      </c>
      <c r="C11" s="15" t="n">
        <v>11</v>
      </c>
      <c r="D11" s="23" t="inlineStr">
        <is>
          <t>01/05/2026</t>
        </is>
      </c>
      <c r="E11" s="22" t="inlineStr">
        <is>
          <t>Monthly</t>
        </is>
      </c>
      <c r="F11" s="22" t="inlineStr">
        <is>
          <t>Yes</t>
        </is>
      </c>
      <c r="G11" s="22" t="inlineStr">
        <is>
          <t>No</t>
        </is>
      </c>
      <c r="H11" s="26">
        <f>IFERROR(IF(E11="Monthly",C11*12,IF(E11="Annual",C11,IF(E11="Quarterly",C11*4,C11*52))),0)</f>
        <v/>
      </c>
      <c r="I11" s="22" t="inlineStr"/>
    </row>
    <row r="12" ht="18" customHeight="1">
      <c r="A12" s="19" t="inlineStr">
        <is>
          <t>Home Insurance</t>
        </is>
      </c>
      <c r="B12" s="19" t="inlineStr">
        <is>
          <t>Insurance</t>
        </is>
      </c>
      <c r="C12" s="9" t="n">
        <v>150</v>
      </c>
      <c r="D12" s="20" t="inlineStr">
        <is>
          <t>01/01/2026</t>
        </is>
      </c>
      <c r="E12" s="19" t="inlineStr">
        <is>
          <t>Annual</t>
        </is>
      </c>
      <c r="F12" s="19" t="inlineStr">
        <is>
          <t>No</t>
        </is>
      </c>
      <c r="G12" s="19" t="inlineStr">
        <is>
          <t>No</t>
        </is>
      </c>
      <c r="H12" s="25">
        <f>IFERROR(IF(E12="Monthly",C12*12,IF(E12="Annual",C12,IF(E12="Quarterly",C12*4,C12*52))),0)</f>
        <v/>
      </c>
      <c r="I12" s="19" t="inlineStr"/>
    </row>
    <row r="13" ht="18" customHeight="1">
      <c r="A13" s="22" t="inlineStr">
        <is>
          <t>Car Registration</t>
        </is>
      </c>
      <c r="B13" s="22" t="inlineStr">
        <is>
          <t>Transport</t>
        </is>
      </c>
      <c r="C13" s="15" t="n">
        <v>85</v>
      </c>
      <c r="D13" s="23" t="inlineStr">
        <is>
          <t>03/01/2026</t>
        </is>
      </c>
      <c r="E13" s="22" t="inlineStr">
        <is>
          <t>Annual</t>
        </is>
      </c>
      <c r="F13" s="22" t="inlineStr">
        <is>
          <t>No</t>
        </is>
      </c>
      <c r="G13" s="22" t="inlineStr">
        <is>
          <t>No</t>
        </is>
      </c>
      <c r="H13" s="26">
        <f>IFERROR(IF(E13="Monthly",C13*12,IF(E13="Annual",C13,IF(E13="Quarterly",C13*4,C13*52))),0)</f>
        <v/>
      </c>
      <c r="I13" s="22" t="inlineStr"/>
    </row>
    <row r="14" ht="22" customHeight="1">
      <c r="A14" s="4" t="inlineStr">
        <is>
          <t>MONTHLY TOTAL</t>
        </is>
      </c>
      <c r="C14" s="33">
        <f>SUM(C4:C13)</f>
        <v/>
      </c>
      <c r="H14" s="33">
        <f>SUM(H4:H13)</f>
        <v/>
      </c>
    </row>
  </sheetData>
  <mergeCells count="3">
    <mergeCell ref="A1:I1"/>
    <mergeCell ref="A14:B14"/>
    <mergeCell ref="A2:I2"/>
  </mergeCells>
  <dataValidations count="3">
    <dataValidation sqref="B4:B13" showDropDown="0" showInputMessage="0" showErrorMessage="0" allowBlank="1" type="list">
      <formula1>"Housing,Utilities,Insurance,Subscriptions,Health,Transport,Other"</formula1>
    </dataValidation>
    <dataValidation sqref="E4:E13" showDropDown="0" showInputMessage="0" showErrorMessage="0" allowBlank="1" type="list">
      <formula1>"Monthly,Weekly,Bi-Weekly,Quarterly,Annual"</formula1>
    </dataValidation>
    <dataValidation sqref="F4:G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D5C3A"/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  <col width="16" customWidth="1" min="7" max="7"/>
    <col width="10" customWidth="1" min="8" max="8"/>
  </cols>
  <sheetData>
    <row r="1" ht="48" customHeight="1">
      <c r="A1" s="1" t="inlineStr">
        <is>
          <t>SAVINGS GOALS TRACKER</t>
        </is>
      </c>
    </row>
    <row r="2" ht="18" customHeight="1">
      <c r="A2" s="2" t="inlineStr">
        <is>
          <t>Monitor your savings goals and projected completion dates</t>
        </is>
      </c>
    </row>
    <row r="3" ht="20" customHeight="1">
      <c r="A3" s="5" t="inlineStr">
        <is>
          <t>GOAL</t>
        </is>
      </c>
      <c r="B3" s="5" t="inlineStr">
        <is>
          <t>TARGET AMOUNT</t>
        </is>
      </c>
      <c r="C3" s="5" t="inlineStr">
        <is>
          <t>SAVED SO FAR</t>
        </is>
      </c>
      <c r="D3" s="5" t="inlineStr">
        <is>
          <t>MONTHLY CONTRIB</t>
        </is>
      </c>
      <c r="E3" s="5" t="inlineStr">
        <is>
          <t>TARGET DATE</t>
        </is>
      </c>
      <c r="F3" s="5" t="inlineStr">
        <is>
          <t>% COMPLETE</t>
        </is>
      </c>
      <c r="G3" s="5" t="inlineStr">
        <is>
          <t>PROGRESS</t>
        </is>
      </c>
      <c r="H3" s="5" t="inlineStr">
        <is>
          <t>PRIORITY</t>
        </is>
      </c>
    </row>
    <row r="4" ht="18" customHeight="1">
      <c r="A4" s="13" t="inlineStr">
        <is>
          <t>Emergency Fund</t>
        </is>
      </c>
      <c r="B4" s="15" t="n">
        <v>10000</v>
      </c>
      <c r="C4" s="15" t="n">
        <v>0</v>
      </c>
      <c r="D4" s="15" t="n">
        <v>500</v>
      </c>
      <c r="E4" s="23" t="inlineStr">
        <is>
          <t>12/31/2026</t>
        </is>
      </c>
      <c r="F4" s="27">
        <f>IFERROR(C4/B4,0)</f>
        <v/>
      </c>
      <c r="G4" s="43">
        <f>IFERROR(REPT(CHAR(9608),ROUND(F4*10,0))&amp;REPT(CHAR(9617),10-ROUND(F4*10,0)),"          ")</f>
        <v/>
      </c>
      <c r="H4" s="13" t="inlineStr">
        <is>
          <t>High</t>
        </is>
      </c>
    </row>
    <row r="5" ht="18" customHeight="1">
      <c r="A5" s="10" t="inlineStr">
        <is>
          <t>Vacation</t>
        </is>
      </c>
      <c r="B5" s="31" t="n">
        <v>3000</v>
      </c>
      <c r="C5" s="31" t="n">
        <v>0</v>
      </c>
      <c r="D5" s="31" t="n">
        <v>200</v>
      </c>
      <c r="E5" s="44" t="inlineStr">
        <is>
          <t>07/01/2026</t>
        </is>
      </c>
      <c r="F5" s="32">
        <f>IFERROR(C5/B5,0)</f>
        <v/>
      </c>
      <c r="G5" s="45">
        <f>IFERROR(REPT(CHAR(9608),ROUND(F5*10,0))&amp;REPT(CHAR(9617),10-ROUND(F5*10,0)),"          ")</f>
        <v/>
      </c>
      <c r="H5" s="10" t="inlineStr">
        <is>
          <t>Medium</t>
        </is>
      </c>
    </row>
    <row r="6" ht="18" customHeight="1">
      <c r="A6" s="13" t="inlineStr">
        <is>
          <t>Home Down Payment</t>
        </is>
      </c>
      <c r="B6" s="15" t="n">
        <v>50000</v>
      </c>
      <c r="C6" s="15" t="n">
        <v>0</v>
      </c>
      <c r="D6" s="15" t="n">
        <v>800</v>
      </c>
      <c r="E6" s="23" t="inlineStr">
        <is>
          <t>01/01/2029</t>
        </is>
      </c>
      <c r="F6" s="27">
        <f>IFERROR(C6/B6,0)</f>
        <v/>
      </c>
      <c r="G6" s="43">
        <f>IFERROR(REPT(CHAR(9608),ROUND(F6*10,0))&amp;REPT(CHAR(9617),10-ROUND(F6*10,0)),"          ")</f>
        <v/>
      </c>
      <c r="H6" s="13" t="inlineStr">
        <is>
          <t>High</t>
        </is>
      </c>
    </row>
    <row r="7" ht="18" customHeight="1">
      <c r="A7" s="10" t="inlineStr">
        <is>
          <t>New Car</t>
        </is>
      </c>
      <c r="B7" s="31" t="n">
        <v>15000</v>
      </c>
      <c r="C7" s="31" t="n">
        <v>0</v>
      </c>
      <c r="D7" s="31" t="n">
        <v>300</v>
      </c>
      <c r="E7" s="44" t="inlineStr">
        <is>
          <t>06/01/2027</t>
        </is>
      </c>
      <c r="F7" s="32">
        <f>IFERROR(C7/B7,0)</f>
        <v/>
      </c>
      <c r="G7" s="45">
        <f>IFERROR(REPT(CHAR(9608),ROUND(F7*10,0))&amp;REPT(CHAR(9617),10-ROUND(F7*10,0)),"          ")</f>
        <v/>
      </c>
      <c r="H7" s="10" t="inlineStr">
        <is>
          <t>Medium</t>
        </is>
      </c>
    </row>
    <row r="8" ht="18" customHeight="1">
      <c r="A8" s="10" t="inlineStr">
        <is>
          <t>Education</t>
        </is>
      </c>
      <c r="B8" s="31" t="n">
        <v>8000</v>
      </c>
      <c r="C8" s="31" t="n">
        <v>0</v>
      </c>
      <c r="D8" s="31" t="n">
        <v>250</v>
      </c>
      <c r="E8" s="44" t="inlineStr">
        <is>
          <t>09/01/2027</t>
        </is>
      </c>
      <c r="F8" s="32">
        <f>IFERROR(C8/B8,0)</f>
        <v/>
      </c>
      <c r="G8" s="45">
        <f>IFERROR(REPT(CHAR(9608),ROUND(F8*10,0))&amp;REPT(CHAR(9617),10-ROUND(F8*10,0)),"          ")</f>
        <v/>
      </c>
      <c r="H8" s="10" t="inlineStr">
        <is>
          <t>Medium</t>
        </is>
      </c>
    </row>
    <row r="9" ht="18" customHeight="1">
      <c r="A9" s="7" t="inlineStr">
        <is>
          <t>Retirement Boost</t>
        </is>
      </c>
      <c r="B9" s="9" t="n">
        <v>20000</v>
      </c>
      <c r="C9" s="9" t="n">
        <v>0</v>
      </c>
      <c r="D9" s="9" t="n">
        <v>400</v>
      </c>
      <c r="E9" s="20" t="inlineStr">
        <is>
          <t>01/01/2030</t>
        </is>
      </c>
      <c r="F9" s="17">
        <f>IFERROR(C9/B9,0)</f>
        <v/>
      </c>
      <c r="G9" s="46">
        <f>IFERROR(REPT(CHAR(9608),ROUND(F9*10,0))&amp;REPT(CHAR(9617),10-ROUND(F9*10,0)),"          ")</f>
        <v/>
      </c>
      <c r="H9" s="7" t="inlineStr">
        <is>
          <t>Low</t>
        </is>
      </c>
    </row>
    <row r="10" ht="20" customHeight="1">
      <c r="A10" s="47" t="inlineStr">
        <is>
          <t>TOTALS</t>
        </is>
      </c>
      <c r="B10" s="29">
        <f>SUM(B4:B9)</f>
        <v/>
      </c>
      <c r="C10" s="29">
        <f>SUM(C4:C9)</f>
        <v/>
      </c>
      <c r="D10" s="29">
        <f>SUM(D4:D9)</f>
        <v/>
      </c>
      <c r="E10" s="48" t="inlineStr"/>
      <c r="F10" s="49">
        <f>IFERROR(SUM(C4:C9)/SUM(B4:B9),0)</f>
        <v/>
      </c>
      <c r="G10" s="48" t="inlineStr"/>
      <c r="H10" s="4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D5C3A"/>
    <outlinePr summaryBelow="1" summaryRight="1"/>
    <pageSetUpPr/>
  </sheetPr>
  <dimension ref="A1:P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 ht="48" customHeight="1">
      <c r="A1" s="1" t="inlineStr">
        <is>
          <t>ANNUAL OVERVIEW · 2026</t>
        </is>
      </c>
    </row>
    <row r="2" ht="18" customHeight="1">
      <c r="A2" s="2" t="inlineStr">
        <is>
          <t>Year-at-a-glance: pull from all 12 monthly sheets</t>
        </is>
      </c>
    </row>
    <row r="3" ht="20" customHeight="1">
      <c r="A3" s="5" t="inlineStr">
        <is>
          <t>LINE ITEM</t>
        </is>
      </c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Aug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Dec</t>
        </is>
      </c>
      <c r="N3" s="5" t="inlineStr">
        <is>
          <t>ANNUAL TOTAL</t>
        </is>
      </c>
      <c r="O3" s="5" t="inlineStr">
        <is>
          <t>ANNUAL BUDGET</t>
        </is>
      </c>
      <c r="P3" s="5" t="inlineStr">
        <is>
          <t>VARIANCE</t>
        </is>
      </c>
    </row>
    <row r="4" ht="18" customHeight="1">
      <c r="A4" s="50" t="inlineStr">
        <is>
          <t>INCOME</t>
        </is>
      </c>
      <c r="B4" s="51">
        <f>IFERROR(Jan!D8,0)</f>
        <v/>
      </c>
      <c r="C4" s="51">
        <f>IFERROR(Feb!D8,0)</f>
        <v/>
      </c>
      <c r="D4" s="51">
        <f>IFERROR(Mar!D8,0)</f>
        <v/>
      </c>
      <c r="E4" s="51">
        <f>IFERROR(Apr!D8,0)</f>
        <v/>
      </c>
      <c r="F4" s="51">
        <f>IFERROR(May!D8,0)</f>
        <v/>
      </c>
      <c r="G4" s="51">
        <f>IFERROR(Jun!D8,0)</f>
        <v/>
      </c>
      <c r="H4" s="51">
        <f>IFERROR(Jul!D8,0)</f>
        <v/>
      </c>
      <c r="I4" s="51">
        <f>IFERROR(Aug!D8,0)</f>
        <v/>
      </c>
      <c r="J4" s="51">
        <f>IFERROR(Sep!D8,0)</f>
        <v/>
      </c>
      <c r="K4" s="51">
        <f>IFERROR(Oct!D8,0)</f>
        <v/>
      </c>
      <c r="L4" s="51">
        <f>IFERROR(Nov!D8,0)</f>
        <v/>
      </c>
      <c r="M4" s="51">
        <f>IFERROR(Dec!D8,0)</f>
        <v/>
      </c>
      <c r="N4" s="52">
        <f>SUM(B4:M4)</f>
        <v/>
      </c>
      <c r="O4" s="53" t="n">
        <v>0</v>
      </c>
      <c r="P4" s="52">
        <f>IFERROR(N4-O4,0)</f>
        <v/>
      </c>
    </row>
    <row r="5" ht="18" customHeight="1">
      <c r="A5" s="21" t="inlineStr">
        <is>
          <t>HOUSING</t>
        </is>
      </c>
      <c r="B5" s="12">
        <f>IFERROR(Jan!D15,0)</f>
        <v/>
      </c>
      <c r="C5" s="12">
        <f>IFERROR(Feb!D15,0)</f>
        <v/>
      </c>
      <c r="D5" s="12">
        <f>IFERROR(Mar!D15,0)</f>
        <v/>
      </c>
      <c r="E5" s="12">
        <f>IFERROR(Apr!D15,0)</f>
        <v/>
      </c>
      <c r="F5" s="12">
        <f>IFERROR(May!D15,0)</f>
        <v/>
      </c>
      <c r="G5" s="12">
        <f>IFERROR(Jun!D15,0)</f>
        <v/>
      </c>
      <c r="H5" s="12">
        <f>IFERROR(Jul!D15,0)</f>
        <v/>
      </c>
      <c r="I5" s="12">
        <f>IFERROR(Aug!D15,0)</f>
        <v/>
      </c>
      <c r="J5" s="12">
        <f>IFERROR(Sep!D15,0)</f>
        <v/>
      </c>
      <c r="K5" s="12">
        <f>IFERROR(Oct!D15,0)</f>
        <v/>
      </c>
      <c r="L5" s="12">
        <f>IFERROR(Nov!D15,0)</f>
        <v/>
      </c>
      <c r="M5" s="12">
        <f>IFERROR(Dec!D15,0)</f>
        <v/>
      </c>
      <c r="N5" s="54">
        <f>SUM(B5:M5)</f>
        <v/>
      </c>
      <c r="O5" s="31" t="n">
        <v>0</v>
      </c>
      <c r="P5" s="18">
        <f>IFERROR(N5-O5,0)</f>
        <v/>
      </c>
    </row>
    <row r="6" ht="18" customHeight="1">
      <c r="A6" s="19" t="inlineStr">
        <is>
          <t>TRANSPORT</t>
        </is>
      </c>
      <c r="B6" s="16">
        <f>IFERROR(Jan!D22,0)</f>
        <v/>
      </c>
      <c r="C6" s="16">
        <f>IFERROR(Feb!D22,0)</f>
        <v/>
      </c>
      <c r="D6" s="16">
        <f>IFERROR(Mar!D22,0)</f>
        <v/>
      </c>
      <c r="E6" s="16">
        <f>IFERROR(Apr!D22,0)</f>
        <v/>
      </c>
      <c r="F6" s="16">
        <f>IFERROR(May!D22,0)</f>
        <v/>
      </c>
      <c r="G6" s="16">
        <f>IFERROR(Jun!D22,0)</f>
        <v/>
      </c>
      <c r="H6" s="16">
        <f>IFERROR(Jul!D22,0)</f>
        <v/>
      </c>
      <c r="I6" s="16">
        <f>IFERROR(Aug!D22,0)</f>
        <v/>
      </c>
      <c r="J6" s="16">
        <f>IFERROR(Sep!D22,0)</f>
        <v/>
      </c>
      <c r="K6" s="16">
        <f>IFERROR(Oct!D22,0)</f>
        <v/>
      </c>
      <c r="L6" s="16">
        <f>IFERROR(Nov!D22,0)</f>
        <v/>
      </c>
      <c r="M6" s="16">
        <f>IFERROR(Dec!D22,0)</f>
        <v/>
      </c>
      <c r="N6" s="55">
        <f>SUM(B6:M6)</f>
        <v/>
      </c>
      <c r="O6" s="9" t="n">
        <v>0</v>
      </c>
      <c r="P6" s="25">
        <f>IFERROR(N6-O6,0)</f>
        <v/>
      </c>
    </row>
    <row r="7" ht="18" customHeight="1">
      <c r="A7" s="21" t="inlineStr">
        <is>
          <t>FOOD &amp; DINING</t>
        </is>
      </c>
      <c r="B7" s="12">
        <f>IFERROR(Jan!D29,0)</f>
        <v/>
      </c>
      <c r="C7" s="12">
        <f>IFERROR(Feb!D29,0)</f>
        <v/>
      </c>
      <c r="D7" s="12">
        <f>IFERROR(Mar!D29,0)</f>
        <v/>
      </c>
      <c r="E7" s="12">
        <f>IFERROR(Apr!D29,0)</f>
        <v/>
      </c>
      <c r="F7" s="12">
        <f>IFERROR(May!D29,0)</f>
        <v/>
      </c>
      <c r="G7" s="12">
        <f>IFERROR(Jun!D29,0)</f>
        <v/>
      </c>
      <c r="H7" s="12">
        <f>IFERROR(Jul!D29,0)</f>
        <v/>
      </c>
      <c r="I7" s="12">
        <f>IFERROR(Aug!D29,0)</f>
        <v/>
      </c>
      <c r="J7" s="12">
        <f>IFERROR(Sep!D29,0)</f>
        <v/>
      </c>
      <c r="K7" s="12">
        <f>IFERROR(Oct!D29,0)</f>
        <v/>
      </c>
      <c r="L7" s="12">
        <f>IFERROR(Nov!D29,0)</f>
        <v/>
      </c>
      <c r="M7" s="12">
        <f>IFERROR(Dec!D29,0)</f>
        <v/>
      </c>
      <c r="N7" s="54">
        <f>SUM(B7:M7)</f>
        <v/>
      </c>
      <c r="O7" s="31" t="n">
        <v>0</v>
      </c>
      <c r="P7" s="18">
        <f>IFERROR(N7-O7,0)</f>
        <v/>
      </c>
    </row>
    <row r="8" ht="18" customHeight="1">
      <c r="A8" s="19" t="inlineStr">
        <is>
          <t>HEALTH &amp; WELLNESS</t>
        </is>
      </c>
      <c r="B8" s="16">
        <f>IFERROR(Jan!D36,0)</f>
        <v/>
      </c>
      <c r="C8" s="16">
        <f>IFERROR(Feb!D36,0)</f>
        <v/>
      </c>
      <c r="D8" s="16">
        <f>IFERROR(Mar!D36,0)</f>
        <v/>
      </c>
      <c r="E8" s="16">
        <f>IFERROR(Apr!D36,0)</f>
        <v/>
      </c>
      <c r="F8" s="16">
        <f>IFERROR(May!D36,0)</f>
        <v/>
      </c>
      <c r="G8" s="16">
        <f>IFERROR(Jun!D36,0)</f>
        <v/>
      </c>
      <c r="H8" s="16">
        <f>IFERROR(Jul!D36,0)</f>
        <v/>
      </c>
      <c r="I8" s="16">
        <f>IFERROR(Aug!D36,0)</f>
        <v/>
      </c>
      <c r="J8" s="16">
        <f>IFERROR(Sep!D36,0)</f>
        <v/>
      </c>
      <c r="K8" s="16">
        <f>IFERROR(Oct!D36,0)</f>
        <v/>
      </c>
      <c r="L8" s="16">
        <f>IFERROR(Nov!D36,0)</f>
        <v/>
      </c>
      <c r="M8" s="16">
        <f>IFERROR(Dec!D36,0)</f>
        <v/>
      </c>
      <c r="N8" s="55">
        <f>SUM(B8:M8)</f>
        <v/>
      </c>
      <c r="O8" s="9" t="n">
        <v>0</v>
      </c>
      <c r="P8" s="25">
        <f>IFERROR(N8-O8,0)</f>
        <v/>
      </c>
    </row>
    <row r="9" ht="18" customHeight="1">
      <c r="A9" s="21" t="inlineStr">
        <is>
          <t>LIFESTYLE</t>
        </is>
      </c>
      <c r="B9" s="12">
        <f>IFERROR(Jan!D43,0)</f>
        <v/>
      </c>
      <c r="C9" s="12">
        <f>IFERROR(Feb!D43,0)</f>
        <v/>
      </c>
      <c r="D9" s="12">
        <f>IFERROR(Mar!D43,0)</f>
        <v/>
      </c>
      <c r="E9" s="12">
        <f>IFERROR(Apr!D43,0)</f>
        <v/>
      </c>
      <c r="F9" s="12">
        <f>IFERROR(May!D43,0)</f>
        <v/>
      </c>
      <c r="G9" s="12">
        <f>IFERROR(Jun!D43,0)</f>
        <v/>
      </c>
      <c r="H9" s="12">
        <f>IFERROR(Jul!D43,0)</f>
        <v/>
      </c>
      <c r="I9" s="12">
        <f>IFERROR(Aug!D43,0)</f>
        <v/>
      </c>
      <c r="J9" s="12">
        <f>IFERROR(Sep!D43,0)</f>
        <v/>
      </c>
      <c r="K9" s="12">
        <f>IFERROR(Oct!D43,0)</f>
        <v/>
      </c>
      <c r="L9" s="12">
        <f>IFERROR(Nov!D43,0)</f>
        <v/>
      </c>
      <c r="M9" s="12">
        <f>IFERROR(Dec!D43,0)</f>
        <v/>
      </c>
      <c r="N9" s="54">
        <f>SUM(B9:M9)</f>
        <v/>
      </c>
      <c r="O9" s="31" t="n">
        <v>0</v>
      </c>
      <c r="P9" s="18">
        <f>IFERROR(N9-O9,0)</f>
        <v/>
      </c>
    </row>
    <row r="10" ht="18" customHeight="1">
      <c r="A10" s="19" t="inlineStr">
        <is>
          <t>PERSONAL</t>
        </is>
      </c>
      <c r="B10" s="16">
        <f>IFERROR(Jan!D50,0)</f>
        <v/>
      </c>
      <c r="C10" s="16">
        <f>IFERROR(Feb!D50,0)</f>
        <v/>
      </c>
      <c r="D10" s="16">
        <f>IFERROR(Mar!D50,0)</f>
        <v/>
      </c>
      <c r="E10" s="16">
        <f>IFERROR(Apr!D50,0)</f>
        <v/>
      </c>
      <c r="F10" s="16">
        <f>IFERROR(May!D50,0)</f>
        <v/>
      </c>
      <c r="G10" s="16">
        <f>IFERROR(Jun!D50,0)</f>
        <v/>
      </c>
      <c r="H10" s="16">
        <f>IFERROR(Jul!D50,0)</f>
        <v/>
      </c>
      <c r="I10" s="16">
        <f>IFERROR(Aug!D50,0)</f>
        <v/>
      </c>
      <c r="J10" s="16">
        <f>IFERROR(Sep!D50,0)</f>
        <v/>
      </c>
      <c r="K10" s="16">
        <f>IFERROR(Oct!D50,0)</f>
        <v/>
      </c>
      <c r="L10" s="16">
        <f>IFERROR(Nov!D50,0)</f>
        <v/>
      </c>
      <c r="M10" s="16">
        <f>IFERROR(Dec!D50,0)</f>
        <v/>
      </c>
      <c r="N10" s="55">
        <f>SUM(B10:M10)</f>
        <v/>
      </c>
      <c r="O10" s="9" t="n">
        <v>0</v>
      </c>
      <c r="P10" s="25">
        <f>IFERROR(N10-O10,0)</f>
        <v/>
      </c>
    </row>
    <row r="11" ht="18" customHeight="1">
      <c r="A11" s="21" t="inlineStr">
        <is>
          <t>SAVINGS &amp; INVESTMENTS</t>
        </is>
      </c>
      <c r="B11" s="12">
        <f>IFERROR(Jan!D57,0)</f>
        <v/>
      </c>
      <c r="C11" s="12">
        <f>IFERROR(Feb!D57,0)</f>
        <v/>
      </c>
      <c r="D11" s="12">
        <f>IFERROR(Mar!D57,0)</f>
        <v/>
      </c>
      <c r="E11" s="12">
        <f>IFERROR(Apr!D57,0)</f>
        <v/>
      </c>
      <c r="F11" s="12">
        <f>IFERROR(May!D57,0)</f>
        <v/>
      </c>
      <c r="G11" s="12">
        <f>IFERROR(Jun!D57,0)</f>
        <v/>
      </c>
      <c r="H11" s="12">
        <f>IFERROR(Jul!D57,0)</f>
        <v/>
      </c>
      <c r="I11" s="12">
        <f>IFERROR(Aug!D57,0)</f>
        <v/>
      </c>
      <c r="J11" s="12">
        <f>IFERROR(Sep!D57,0)</f>
        <v/>
      </c>
      <c r="K11" s="12">
        <f>IFERROR(Oct!D57,0)</f>
        <v/>
      </c>
      <c r="L11" s="12">
        <f>IFERROR(Nov!D57,0)</f>
        <v/>
      </c>
      <c r="M11" s="12">
        <f>IFERROR(Dec!D57,0)</f>
        <v/>
      </c>
      <c r="N11" s="54">
        <f>SUM(B11:M11)</f>
        <v/>
      </c>
      <c r="O11" s="31" t="n">
        <v>0</v>
      </c>
      <c r="P11" s="18">
        <f>IFERROR(N11-O11,0)</f>
        <v/>
      </c>
    </row>
    <row r="12" ht="18" customHeight="1">
      <c r="A12" s="19" t="inlineStr">
        <is>
          <t>DEBT PAYMENTS</t>
        </is>
      </c>
      <c r="B12" s="16">
        <f>IFERROR(Jan!D64,0)</f>
        <v/>
      </c>
      <c r="C12" s="16">
        <f>IFERROR(Feb!D64,0)</f>
        <v/>
      </c>
      <c r="D12" s="16">
        <f>IFERROR(Mar!D64,0)</f>
        <v/>
      </c>
      <c r="E12" s="16">
        <f>IFERROR(Apr!D64,0)</f>
        <v/>
      </c>
      <c r="F12" s="16">
        <f>IFERROR(May!D64,0)</f>
        <v/>
      </c>
      <c r="G12" s="16">
        <f>IFERROR(Jun!D64,0)</f>
        <v/>
      </c>
      <c r="H12" s="16">
        <f>IFERROR(Jul!D64,0)</f>
        <v/>
      </c>
      <c r="I12" s="16">
        <f>IFERROR(Aug!D64,0)</f>
        <v/>
      </c>
      <c r="J12" s="16">
        <f>IFERROR(Sep!D64,0)</f>
        <v/>
      </c>
      <c r="K12" s="16">
        <f>IFERROR(Oct!D64,0)</f>
        <v/>
      </c>
      <c r="L12" s="16">
        <f>IFERROR(Nov!D64,0)</f>
        <v/>
      </c>
      <c r="M12" s="16">
        <f>IFERROR(Dec!D64,0)</f>
        <v/>
      </c>
      <c r="N12" s="55">
        <f>SUM(B12:M12)</f>
        <v/>
      </c>
      <c r="O12" s="9" t="n">
        <v>0</v>
      </c>
      <c r="P12" s="25">
        <f>IFERROR(N12-O12,0)</f>
        <v/>
      </c>
    </row>
    <row r="13" ht="18" customHeight="1">
      <c r="A13" s="56" t="inlineStr">
        <is>
          <t>GRAND TOTAL EXPENSES</t>
        </is>
      </c>
      <c r="B13" s="57">
        <f>IFERROR(Jan!D65,0)</f>
        <v/>
      </c>
      <c r="C13" s="57">
        <f>IFERROR(Feb!D65,0)</f>
        <v/>
      </c>
      <c r="D13" s="57">
        <f>IFERROR(Mar!D65,0)</f>
        <v/>
      </c>
      <c r="E13" s="57">
        <f>IFERROR(Apr!D65,0)</f>
        <v/>
      </c>
      <c r="F13" s="57">
        <f>IFERROR(May!D65,0)</f>
        <v/>
      </c>
      <c r="G13" s="57">
        <f>IFERROR(Jun!D65,0)</f>
        <v/>
      </c>
      <c r="H13" s="57">
        <f>IFERROR(Jul!D65,0)</f>
        <v/>
      </c>
      <c r="I13" s="57">
        <f>IFERROR(Aug!D65,0)</f>
        <v/>
      </c>
      <c r="J13" s="57">
        <f>IFERROR(Sep!D65,0)</f>
        <v/>
      </c>
      <c r="K13" s="57">
        <f>IFERROR(Oct!D65,0)</f>
        <v/>
      </c>
      <c r="L13" s="57">
        <f>IFERROR(Nov!D65,0)</f>
        <v/>
      </c>
      <c r="M13" s="57">
        <f>IFERROR(Dec!D65,0)</f>
        <v/>
      </c>
      <c r="N13" s="58">
        <f>SUM(B13:M13)</f>
        <v/>
      </c>
      <c r="O13" s="59" t="n">
        <v>0</v>
      </c>
      <c r="P13" s="58">
        <f>IFERROR(N13-O13,0)</f>
        <v/>
      </c>
    </row>
    <row r="14" ht="18" customHeight="1">
      <c r="A14" s="60" t="inlineStr">
        <is>
          <t>NET CASH FLOW</t>
        </is>
      </c>
      <c r="B14" s="61">
        <f>IFERROR(Jan!D66,0)</f>
        <v/>
      </c>
      <c r="C14" s="61">
        <f>IFERROR(Feb!D66,0)</f>
        <v/>
      </c>
      <c r="D14" s="61">
        <f>IFERROR(Mar!D66,0)</f>
        <v/>
      </c>
      <c r="E14" s="61">
        <f>IFERROR(Apr!D66,0)</f>
        <v/>
      </c>
      <c r="F14" s="61">
        <f>IFERROR(May!D66,0)</f>
        <v/>
      </c>
      <c r="G14" s="61">
        <f>IFERROR(Jun!D66,0)</f>
        <v/>
      </c>
      <c r="H14" s="61">
        <f>IFERROR(Jul!D66,0)</f>
        <v/>
      </c>
      <c r="I14" s="61">
        <f>IFERROR(Aug!D66,0)</f>
        <v/>
      </c>
      <c r="J14" s="61">
        <f>IFERROR(Sep!D66,0)</f>
        <v/>
      </c>
      <c r="K14" s="61">
        <f>IFERROR(Oct!D66,0)</f>
        <v/>
      </c>
      <c r="L14" s="61">
        <f>IFERROR(Nov!D66,0)</f>
        <v/>
      </c>
      <c r="M14" s="61">
        <f>IFERROR(Dec!D66,0)</f>
        <v/>
      </c>
      <c r="N14" s="62">
        <f>SUM(B14:M14)</f>
        <v/>
      </c>
      <c r="O14" s="63" t="n">
        <v>0</v>
      </c>
      <c r="P14" s="62">
        <f>IFERROR(N14-O14,0)</f>
        <v/>
      </c>
    </row>
    <row r="17" ht="22" customHeight="1">
      <c r="A17" s="3" t="inlineStr">
        <is>
          <t>KEY METRICS</t>
        </is>
      </c>
    </row>
    <row r="18" ht="18" customHeight="1">
      <c r="A18" s="7" t="inlineStr">
        <is>
          <t>Best Month (lowest spend)</t>
        </is>
      </c>
      <c r="B18" s="8" t="n"/>
      <c r="C18" s="8" t="n"/>
      <c r="D18" s="64">
        <f>IFERROR(INDEX(B3:M3,MATCH(MIN(B13:M13),B13:M13,0)),"N/A")</f>
        <v/>
      </c>
      <c r="E18" s="8" t="n"/>
    </row>
    <row r="19" ht="18" customHeight="1">
      <c r="A19" s="10" t="inlineStr">
        <is>
          <t>Worst Month (highest spend)</t>
        </is>
      </c>
      <c r="B19" s="11" t="n"/>
      <c r="C19" s="11" t="n"/>
      <c r="D19" s="42">
        <f>IFERROR(INDEX(B3:M3,MATCH(MAX(B13:M13),B13:M13,0)),"N/A")</f>
        <v/>
      </c>
      <c r="E19" s="11" t="n"/>
    </row>
    <row r="20" ht="18" customHeight="1">
      <c r="A20" s="7" t="inlineStr">
        <is>
          <t>Annual Savings Rate</t>
        </is>
      </c>
      <c r="B20" s="8" t="n"/>
      <c r="C20" s="8" t="n"/>
      <c r="D20" s="41">
        <f>IFERROR((N4-N13)/N4,0)</f>
        <v/>
      </c>
      <c r="E20" s="8" t="n"/>
    </row>
    <row r="21" ht="18" customHeight="1">
      <c r="A21" s="10" t="inlineStr">
        <is>
          <t>Average Monthly Spend</t>
        </is>
      </c>
      <c r="B21" s="11" t="n"/>
      <c r="C21" s="11" t="n"/>
      <c r="D21" s="42">
        <f>IFERROR(N13/12,0)</f>
        <v/>
      </c>
      <c r="E21" s="11" t="n"/>
    </row>
  </sheetData>
  <mergeCells count="11">
    <mergeCell ref="A20:C20"/>
    <mergeCell ref="D20:E20"/>
    <mergeCell ref="A19:C19"/>
    <mergeCell ref="D21:E21"/>
    <mergeCell ref="A1:P1"/>
    <mergeCell ref="D19:E19"/>
    <mergeCell ref="A18:C18"/>
    <mergeCell ref="A21:C21"/>
    <mergeCell ref="D18:E18"/>
    <mergeCell ref="A17:E1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2026-06-22T17:03:16Z</dcterms:created>
  <dcterms:modified xsi:type="dcterms:W3CDTF">2026-06-22T17:03:16Z</dcterms:modified>
</cp:coreProperties>
</file>