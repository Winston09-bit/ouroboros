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Jan" sheetId="2" state="visible" r:id="rId2"/>
    <sheet name="Feb" sheetId="3" state="visible" r:id="rId3"/>
    <sheet name="Mar" sheetId="4" state="visible" r:id="rId4"/>
    <sheet name="Apr" sheetId="5" state="visible" r:id="rId5"/>
    <sheet name="May" sheetId="6" state="visible" r:id="rId6"/>
    <sheet name="Jun" sheetId="7" state="visible" r:id="rId7"/>
    <sheet name="Jul" sheetId="8" state="visible" r:id="rId8"/>
    <sheet name="Aug" sheetId="9" state="visible" r:id="rId9"/>
    <sheet name="Sep" sheetId="10" state="visible" r:id="rId10"/>
    <sheet name="Oct" sheetId="11" state="visible" r:id="rId11"/>
    <sheet name="Nov" sheetId="12" state="visible" r:id="rId12"/>
    <sheet name="Dec" sheetId="13" state="visible" r:id="rId13"/>
    <sheet name="Annual Budget" sheetId="14" state="visible" r:id="rId14"/>
    <sheet name="Savings Track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&quot;-&quot;"/>
    <numFmt numFmtId="165" formatCode="0.0%;[RED]-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color rgb="001A4FA0"/>
      <sz val="10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color rgb="004A6741"/>
      <sz val="10"/>
    </font>
    <font>
      <name val="Calibri"/>
      <b val="1"/>
      <color rgb="00C0392B"/>
      <sz val="10"/>
    </font>
    <font>
      <name val="Calibri"/>
      <b val="1"/>
      <color rgb="00E67E22"/>
      <sz val="10"/>
    </font>
    <font>
      <name val="Calibri"/>
      <b val="1"/>
      <color rgb="0027AE60"/>
      <sz val="10"/>
    </font>
  </fonts>
  <fills count="11">
    <fill>
      <patternFill/>
    </fill>
    <fill>
      <patternFill patternType="gray125"/>
    </fill>
    <fill>
      <patternFill patternType="solid">
        <fgColor rgb="007D3C4E"/>
      </patternFill>
    </fill>
    <fill>
      <patternFill patternType="solid">
        <fgColor rgb="00C4A882"/>
      </patternFill>
    </fill>
    <fill>
      <patternFill patternType="solid">
        <fgColor rgb="004A6741"/>
      </patternFill>
    </fill>
    <fill>
      <patternFill patternType="solid">
        <fgColor rgb="00F9E8ED"/>
      </patternFill>
    </fill>
    <fill>
      <patternFill patternType="solid">
        <fgColor rgb="00FFFFFF"/>
      </patternFill>
    </fill>
    <fill>
      <patternFill patternType="solid">
        <fgColor rgb="00C8DDB8"/>
      </patternFill>
    </fill>
    <fill>
      <patternFill patternType="solid">
        <fgColor rgb="00A85470"/>
      </patternFill>
    </fill>
    <fill>
      <patternFill patternType="solid">
        <fgColor rgb="00E8B4C0"/>
      </patternFill>
    </fill>
    <fill>
      <patternFill patternType="solid">
        <fgColor rgb="00EEF4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164" fontId="6" fillId="5" borderId="0" applyAlignment="1" pivotButton="0" quotePrefix="0" xfId="0">
      <alignment horizontal="right" vertical="center"/>
    </xf>
    <xf numFmtId="0" fontId="0" fillId="5" borderId="0" pivotButton="0" quotePrefix="0" xfId="0"/>
    <xf numFmtId="164" fontId="0" fillId="0" borderId="0" pivotButton="0" quotePrefix="0" xfId="0"/>
    <xf numFmtId="0" fontId="5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0" fillId="6" borderId="0" pivotButton="0" quotePrefix="0" xfId="0"/>
    <xf numFmtId="165" fontId="6" fillId="6" borderId="0" applyAlignment="1" pivotButton="0" quotePrefix="0" xfId="0">
      <alignment horizontal="right" vertical="center"/>
    </xf>
    <xf numFmtId="49" fontId="6" fillId="5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164" fontId="7" fillId="5" borderId="0" applyAlignment="1" pivotButton="0" quotePrefix="0" xfId="0">
      <alignment horizontal="right" vertical="center"/>
    </xf>
    <xf numFmtId="165" fontId="6" fillId="5" borderId="0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/>
    </xf>
    <xf numFmtId="164" fontId="5" fillId="7" borderId="0" applyAlignment="1" pivotButton="0" quotePrefix="0" xfId="0">
      <alignment horizontal="right" vertical="center"/>
    </xf>
    <xf numFmtId="165" fontId="5" fillId="7" borderId="0" applyAlignment="1" pivotButton="0" quotePrefix="0" xfId="0">
      <alignment horizontal="right" vertical="center"/>
    </xf>
    <xf numFmtId="0" fontId="0" fillId="7" borderId="0" pivotButton="0" quotePrefix="0" xfId="0"/>
    <xf numFmtId="0" fontId="3" fillId="8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164" fontId="5" fillId="9" borderId="0" applyAlignment="1" pivotButton="0" quotePrefix="0" xfId="0">
      <alignment horizontal="right" vertical="center"/>
    </xf>
    <xf numFmtId="165" fontId="5" fillId="9" borderId="0" applyAlignment="1" pivotButton="0" quotePrefix="0" xfId="0">
      <alignment horizontal="right" vertical="center"/>
    </xf>
    <xf numFmtId="0" fontId="0" fillId="9" borderId="0" pivotButton="0" quotePrefix="0" xfId="0"/>
    <xf numFmtId="0" fontId="4" fillId="2" borderId="0" applyAlignment="1" pivotButton="0" quotePrefix="0" xfId="0">
      <alignment horizontal="left" vertical="center"/>
    </xf>
    <xf numFmtId="164" fontId="4" fillId="2" borderId="0" applyAlignment="1" pivotButton="0" quotePrefix="0" xfId="0">
      <alignment horizontal="right" vertical="center"/>
    </xf>
    <xf numFmtId="165" fontId="4" fillId="2" borderId="0" applyAlignment="1" pivotButton="0" quotePrefix="0" xfId="0">
      <alignment horizontal="right" vertical="center"/>
    </xf>
    <xf numFmtId="0" fontId="0" fillId="2" borderId="0" pivotButton="0" quotePrefix="0" xfId="0"/>
    <xf numFmtId="164" fontId="4" fillId="4" borderId="0" applyAlignment="1" pivotButton="0" quotePrefix="0" xfId="0">
      <alignment horizontal="right" vertical="center"/>
    </xf>
    <xf numFmtId="0" fontId="0" fillId="4" borderId="0" pivotButton="0" quotePrefix="0" xfId="0"/>
    <xf numFmtId="0" fontId="3" fillId="2" borderId="0" applyAlignment="1" pivotButton="0" quotePrefix="0" xfId="0">
      <alignment horizontal="left" vertical="center"/>
    </xf>
    <xf numFmtId="164" fontId="3" fillId="2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165" fontId="6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/>
    </xf>
    <xf numFmtId="164" fontId="6" fillId="10" borderId="0" applyAlignment="1" pivotButton="0" quotePrefix="0" xfId="0">
      <alignment horizontal="right" vertical="center"/>
    </xf>
    <xf numFmtId="164" fontId="7" fillId="10" borderId="0" applyAlignment="1" pivotButton="0" quotePrefix="0" xfId="0">
      <alignment horizontal="right" vertical="center"/>
    </xf>
    <xf numFmtId="0" fontId="6" fillId="10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Income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C97B8E"/>
            </a:solidFill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'Dashboard'!$B$11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'Dashboard'!$C$11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'Dashboard'!$D$11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'Dashboard'!$E$11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'Dashboard'!$F$11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'Dashboard'!$G$11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'Dashboard'!$H$11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'Dashboard'!$I$11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'Dashboard'!$J$11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'Dashboard'!$K$11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'Dashboard'!$L$11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'Dashboard'!$M$11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Expense by Category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7D3C4E"/>
              </a:solidFill>
              <a:ln>
                <a:prstDash val="solid"/>
              </a:ln>
            </spPr>
          </dPt>
          <dPt>
            <idx val="1"/>
            <spPr>
              <a:solidFill>
                <a:srgbClr val="A85470"/>
              </a:solidFill>
              <a:ln>
                <a:prstDash val="solid"/>
              </a:ln>
            </spPr>
          </dPt>
          <dPt>
            <idx val="2"/>
            <spPr>
              <a:solidFill>
                <a:srgbClr val="C97B8E"/>
              </a:solidFill>
              <a:ln>
                <a:prstDash val="solid"/>
              </a:ln>
            </spPr>
          </dPt>
          <dPt>
            <idx val="3"/>
            <spPr>
              <a:solidFill>
                <a:srgbClr val="E8B4C0"/>
              </a:solidFill>
              <a:ln>
                <a:prstDash val="solid"/>
              </a:ln>
            </spPr>
          </dPt>
          <dPt>
            <idx val="4"/>
            <spPr>
              <a:solidFill>
                <a:srgbClr val="F9E8ED"/>
              </a:solidFill>
              <a:ln>
                <a:prstDash val="solid"/>
              </a:ln>
            </spPr>
          </dPt>
          <dPt>
            <idx val="5"/>
            <spPr>
              <a:solidFill>
                <a:srgbClr val="4A6741"/>
              </a:solidFill>
              <a:ln>
                <a:prstDash val="solid"/>
              </a:ln>
            </spPr>
          </dPt>
          <dPt>
            <idx val="6"/>
            <spPr>
              <a:solidFill>
                <a:srgbClr val="6B9E63"/>
              </a:solidFill>
              <a:ln>
                <a:prstDash val="solid"/>
              </a:ln>
            </spPr>
          </dPt>
          <dPt>
            <idx val="7"/>
            <spPr>
              <a:solidFill>
                <a:srgbClr val="C8DDB8"/>
              </a:solidFill>
              <a:ln>
                <a:prstDash val="solid"/>
              </a:ln>
            </spPr>
          </dPt>
          <cat>
            <numRef>
              <f>'Dashboard'!$P$4:$P$11</f>
            </numRef>
          </cat>
          <val>
            <numRef>
              <f>'Dashboard'!$Q$4:$Q$11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Savings by Goal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'Dashboard'!$P$13:$P$20</f>
            </numRef>
          </cat>
          <val>
            <numRef>
              <f>'Dashboard'!$Q$13:$Q$20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Goal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Savings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6B9E63"/>
            </a:solidFill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'Dashboard'!$B$14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'Dashboard'!$C$14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'Dashboard'!$D$14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'Dashboard'!$E$14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'Dashboard'!$F$14</f>
            </numRef>
          </val>
        </ser>
        <ser>
          <idx val="5"/>
          <order val="5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'Dashboard'!$G$14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'Dashboard'!$H$14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'Dashboard'!$I$14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'Dashboard'!$J$14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'Dashboard'!$K$14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'Dashboard'!$L$14</f>
            </numRef>
          </val>
        </ser>
        <ser>
          <idx val="11"/>
          <order val="11"/>
          <spPr>
            <a:ln>
              <a:prstDash val="solid"/>
            </a:ln>
          </spPr>
          <cat>
            <numRef>
              <f>'Dashboard'!$B$10:$M$10</f>
            </numRef>
          </cat>
          <val>
            <numRef>
              <f>'Dashboard'!$M$14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41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41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46" customHeight="1">
      <c r="A1" s="1" t="inlineStr">
        <is>
          <t>DASHBOARD · THE ULTIMATE MONTHLY BUDGET · 2026</t>
        </is>
      </c>
    </row>
    <row r="2" ht="20" customHeight="1">
      <c r="A2" s="2" t="inlineStr">
        <is>
          <t>Your complete financial picture at a glance</t>
        </is>
      </c>
    </row>
    <row r="3" ht="20" customHeight="1">
      <c r="A3" s="3" t="inlineStr">
        <is>
          <t>BUDGET OVERVIEW</t>
        </is>
      </c>
      <c r="P3" t="inlineStr">
        <is>
          <t>Category</t>
        </is>
      </c>
      <c r="Q3" t="inlineStr">
        <is>
          <t>Amount</t>
        </is>
      </c>
    </row>
    <row r="4" ht="17" customHeight="1">
      <c r="A4" s="4" t="inlineStr">
        <is>
          <t>Annual Income</t>
        </is>
      </c>
      <c r="B4" s="5">
        <f>Jan!D11+Feb!D11+Mar!D11+Apr!D11+May!D11+Jun!D11+Jul!D11+Aug!D11+Sep!D11+Oct!D11+Nov!D11+Dec!D11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P4" t="inlineStr">
        <is>
          <t>HOUSING</t>
        </is>
      </c>
      <c r="Q4" s="7">
        <f>Jan!D19+Feb!D19+Mar!D19+Apr!D19+May!D19+Jun!D19+Jul!D19+Aug!D19+Sep!D19+Oct!D19+Nov!D19+Dec!D19</f>
        <v/>
      </c>
    </row>
    <row r="5" ht="17" customHeight="1">
      <c r="A5" s="8" t="inlineStr">
        <is>
          <t>Annual Expenses</t>
        </is>
      </c>
      <c r="B5" s="9">
        <f>Jan!D76+Feb!D76+Mar!D76+Apr!D76+May!D76+Jun!D76+Jul!D76+Aug!D76+Sep!D76+Oct!D76+Nov!D76+Dec!D76</f>
        <v/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P5" t="inlineStr">
        <is>
          <t>TRANSPORT</t>
        </is>
      </c>
      <c r="Q5" s="7">
        <f>Jan!D27+Feb!D27+Mar!D27+Apr!D27+May!D27+Jun!D27+Jul!D27+Aug!D27+Sep!D27+Oct!D27+Nov!D27+Dec!D27</f>
        <v/>
      </c>
    </row>
    <row r="6" ht="17" customHeight="1">
      <c r="A6" s="4" t="inlineStr">
        <is>
          <t>Annual Savings</t>
        </is>
      </c>
      <c r="B6" s="5">
        <f>Jan!D67+Feb!D67+Mar!D67+Apr!D67+May!D67+Jun!D67+Jul!D67+Aug!D67+Sep!D67+Oct!D67+Nov!D67+Dec!D67</f>
        <v/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P6" t="inlineStr">
        <is>
          <t>FOOD &amp; DINING</t>
        </is>
      </c>
      <c r="Q6" s="7">
        <f>Jan!D35+Feb!D35+Mar!D35+Apr!D35+May!D35+Jun!D35+Jul!D35+Aug!D35+Sep!D35+Oct!D35+Nov!D35+Dec!D35</f>
        <v/>
      </c>
    </row>
    <row r="7" ht="17" customHeight="1">
      <c r="A7" s="8" t="inlineStr">
        <is>
          <t>Savings Rate</t>
        </is>
      </c>
      <c r="B7" s="11">
        <f>IFERROR(B6/B4,0)</f>
        <v/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P7" t="inlineStr">
        <is>
          <t>HEALTH &amp; WELLNESS</t>
        </is>
      </c>
      <c r="Q7" s="7">
        <f>Jan!D43+Feb!D43+Mar!D43+Apr!D43+May!D43+Jun!D43+Jul!D43+Aug!D43+Sep!D43+Oct!D43+Nov!D43+Dec!D43</f>
        <v/>
      </c>
    </row>
    <row r="8" ht="17" customHeight="1">
      <c r="A8" s="4" t="inlineStr">
        <is>
          <t>Best Month</t>
        </is>
      </c>
      <c r="B8" s="12">
        <f>INDEX({"Jan","Feb","Mar","Apr","May","Jun","Jul","Aug","Sep","Oct","Nov","Dec"},MATCH(MAX(Jan!D77,Feb!D77,Mar!D77,Apr!D77,May!D77,Jun!D77,Jul!D77,Aug!D77,Sep!D77,Oct!D77,Nov!D77,Dec!D77),{Jan!D77,Feb!D77,Mar!D77,Apr!D77,May!D77,Jun!D77,Jul!D77,Aug!D77,Sep!D77,Oct!D77,Nov!D77,Dec!D77},0)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P8" t="inlineStr">
        <is>
          <t>LIFESTYLE</t>
        </is>
      </c>
      <c r="Q8" s="7">
        <f>Jan!D51+Feb!D51+Mar!D51+Apr!D51+May!D51+Jun!D51+Jul!D51+Aug!D51+Sep!D51+Oct!D51+Nov!D51+Dec!D51</f>
        <v/>
      </c>
    </row>
    <row r="9" ht="17" customHeight="1">
      <c r="A9" s="8" t="inlineStr">
        <is>
          <t>Worst Month</t>
        </is>
      </c>
      <c r="B9" s="13">
        <f>INDEX({"Jan","Feb","Mar","Apr","May","Jun","Jul","Aug","Sep","Oct","Nov","Dec"},MATCH(MIN(Jan!D77,Feb!D77,Mar!D77,Apr!D77,May!D77,Jun!D77,Jul!D77,Aug!D77,Sep!D77,Oct!D77,Nov!D77,Dec!D77),{Jan!D77,Feb!D77,Mar!D77,Apr!D77,May!D77,Jun!D77,Jul!D77,Aug!D77,Sep!D77,Oct!D77,Nov!D77,Dec!D77},0))</f>
        <v/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P9" t="inlineStr">
        <is>
          <t>CHILDREN &amp; FAMILY</t>
        </is>
      </c>
      <c r="Q9" s="7">
        <f>Jan!D59+Feb!D59+Mar!D59+Apr!D59+May!D59+Jun!D59+Jul!D59+Aug!D59+Sep!D59+Oct!D59+Nov!D59+Dec!D59</f>
        <v/>
      </c>
    </row>
    <row r="10">
      <c r="A10" t="inlineStr">
        <is>
          <t>Metric</t>
        </is>
      </c>
      <c r="B10" t="inlineStr">
        <is>
          <t>Jan</t>
        </is>
      </c>
      <c r="C10" t="inlineStr">
        <is>
          <t>Feb</t>
        </is>
      </c>
      <c r="D10" t="inlineStr">
        <is>
          <t>Mar</t>
        </is>
      </c>
      <c r="E10" t="inlineStr">
        <is>
          <t>Apr</t>
        </is>
      </c>
      <c r="F10" t="inlineStr">
        <is>
          <t>May</t>
        </is>
      </c>
      <c r="G10" t="inlineStr">
        <is>
          <t>Jun</t>
        </is>
      </c>
      <c r="H10" t="inlineStr">
        <is>
          <t>Jul</t>
        </is>
      </c>
      <c r="I10" t="inlineStr">
        <is>
          <t>Aug</t>
        </is>
      </c>
      <c r="J10" t="inlineStr">
        <is>
          <t>Sep</t>
        </is>
      </c>
      <c r="K10" t="inlineStr">
        <is>
          <t>Oct</t>
        </is>
      </c>
      <c r="L10" t="inlineStr">
        <is>
          <t>Nov</t>
        </is>
      </c>
      <c r="M10" t="inlineStr">
        <is>
          <t>Dec</t>
        </is>
      </c>
      <c r="P10" t="inlineStr">
        <is>
          <t>SAVINGS &amp; INVESTMENTS</t>
        </is>
      </c>
      <c r="Q10" s="7">
        <f>Jan!D67+Feb!D67+Mar!D67+Apr!D67+May!D67+Jun!D67+Jul!D67+Aug!D67+Sep!D67+Oct!D67+Nov!D67+Dec!D67</f>
        <v/>
      </c>
    </row>
    <row r="11">
      <c r="A11" t="inlineStr">
        <is>
          <t>Monthly Income</t>
        </is>
      </c>
      <c r="B11" s="7">
        <f>Jan!D11</f>
        <v/>
      </c>
      <c r="C11" s="7">
        <f>Feb!D11</f>
        <v/>
      </c>
      <c r="D11" s="7">
        <f>Mar!D11</f>
        <v/>
      </c>
      <c r="E11" s="7">
        <f>Apr!D11</f>
        <v/>
      </c>
      <c r="F11" s="7">
        <f>May!D11</f>
        <v/>
      </c>
      <c r="G11" s="7">
        <f>Jun!D11</f>
        <v/>
      </c>
      <c r="H11" s="7">
        <f>Jul!D11</f>
        <v/>
      </c>
      <c r="I11" s="7">
        <f>Aug!D11</f>
        <v/>
      </c>
      <c r="J11" s="7">
        <f>Sep!D11</f>
        <v/>
      </c>
      <c r="K11" s="7">
        <f>Oct!D11</f>
        <v/>
      </c>
      <c r="L11" s="7">
        <f>Nov!D11</f>
        <v/>
      </c>
      <c r="M11" s="7">
        <f>Dec!D11</f>
        <v/>
      </c>
      <c r="P11" t="inlineStr">
        <is>
          <t>DEBT PAYMENTS</t>
        </is>
      </c>
      <c r="Q11" s="7">
        <f>Jan!D75+Feb!D75+Mar!D75+Apr!D75+May!D75+Jun!D75+Jul!D75+Aug!D75+Sep!D75+Oct!D75+Nov!D75+Dec!D75</f>
        <v/>
      </c>
    </row>
    <row r="12">
      <c r="A12" t="inlineStr">
        <is>
          <t>Cumulative Income</t>
        </is>
      </c>
      <c r="B12" s="7">
        <f>B11</f>
        <v/>
      </c>
      <c r="C12" s="7">
        <f>B12+C11</f>
        <v/>
      </c>
      <c r="D12" s="7">
        <f>C12+D11</f>
        <v/>
      </c>
      <c r="E12" s="7">
        <f>D12+E11</f>
        <v/>
      </c>
      <c r="F12" s="7">
        <f>E12+F11</f>
        <v/>
      </c>
      <c r="G12" s="7">
        <f>F12+G11</f>
        <v/>
      </c>
      <c r="H12" s="7">
        <f>G12+H11</f>
        <v/>
      </c>
      <c r="I12" s="7">
        <f>H12+I11</f>
        <v/>
      </c>
      <c r="J12" s="7">
        <f>I12+J11</f>
        <v/>
      </c>
      <c r="K12" s="7">
        <f>J12+K11</f>
        <v/>
      </c>
      <c r="L12" s="7">
        <f>K12+L11</f>
        <v/>
      </c>
      <c r="M12" s="7">
        <f>L12+M11</f>
        <v/>
      </c>
      <c r="P12" t="inlineStr">
        <is>
          <t>Goal</t>
        </is>
      </c>
      <c r="Q12" t="inlineStr">
        <is>
          <t>Target</t>
        </is>
      </c>
    </row>
    <row r="13">
      <c r="A13" t="inlineStr">
        <is>
          <t>Monthly Expenses</t>
        </is>
      </c>
      <c r="B13" s="7">
        <f>Jan!D76</f>
        <v/>
      </c>
      <c r="C13" s="7">
        <f>Feb!D76</f>
        <v/>
      </c>
      <c r="D13" s="7">
        <f>Mar!D76</f>
        <v/>
      </c>
      <c r="E13" s="7">
        <f>Apr!D76</f>
        <v/>
      </c>
      <c r="F13" s="7">
        <f>May!D76</f>
        <v/>
      </c>
      <c r="G13" s="7">
        <f>Jun!D76</f>
        <v/>
      </c>
      <c r="H13" s="7">
        <f>Jul!D76</f>
        <v/>
      </c>
      <c r="I13" s="7">
        <f>Aug!D76</f>
        <v/>
      </c>
      <c r="J13" s="7">
        <f>Sep!D76</f>
        <v/>
      </c>
      <c r="K13" s="7">
        <f>Oct!D76</f>
        <v/>
      </c>
      <c r="L13" s="7">
        <f>Nov!D76</f>
        <v/>
      </c>
      <c r="M13" s="7">
        <f>Dec!D76</f>
        <v/>
      </c>
      <c r="P13" t="inlineStr">
        <is>
          <t>Emergency Fund</t>
        </is>
      </c>
      <c r="Q13" s="7" t="n">
        <v>50000</v>
      </c>
    </row>
    <row r="14">
      <c r="A14" t="inlineStr">
        <is>
          <t>Monthly Savings</t>
        </is>
      </c>
      <c r="B14" s="7">
        <f>Jan!D67</f>
        <v/>
      </c>
      <c r="C14" s="7">
        <f>Feb!D67</f>
        <v/>
      </c>
      <c r="D14" s="7">
        <f>Mar!D67</f>
        <v/>
      </c>
      <c r="E14" s="7">
        <f>Apr!D67</f>
        <v/>
      </c>
      <c r="F14" s="7">
        <f>May!D67</f>
        <v/>
      </c>
      <c r="G14" s="7">
        <f>Jun!D67</f>
        <v/>
      </c>
      <c r="H14" s="7">
        <f>Jul!D67</f>
        <v/>
      </c>
      <c r="I14" s="7">
        <f>Aug!D67</f>
        <v/>
      </c>
      <c r="J14" s="7">
        <f>Sep!D67</f>
        <v/>
      </c>
      <c r="K14" s="7">
        <f>Oct!D67</f>
        <v/>
      </c>
      <c r="L14" s="7">
        <f>Nov!D67</f>
        <v/>
      </c>
      <c r="M14" s="7">
        <f>Dec!D67</f>
        <v/>
      </c>
      <c r="P14" t="inlineStr">
        <is>
          <t>Vacation — Japan</t>
        </is>
      </c>
      <c r="Q14" s="7" t="n">
        <v>25000</v>
      </c>
    </row>
    <row r="15">
      <c r="A15" t="inlineStr">
        <is>
          <t>Cumul Savings</t>
        </is>
      </c>
      <c r="B15" s="7">
        <f>B14</f>
        <v/>
      </c>
      <c r="C15" s="7">
        <f>B15+C14</f>
        <v/>
      </c>
      <c r="D15" s="7">
        <f>C15+D14</f>
        <v/>
      </c>
      <c r="E15" s="7">
        <f>D15+E14</f>
        <v/>
      </c>
      <c r="F15" s="7">
        <f>E15+F14</f>
        <v/>
      </c>
      <c r="G15" s="7">
        <f>F15+G14</f>
        <v/>
      </c>
      <c r="H15" s="7">
        <f>G15+H14</f>
        <v/>
      </c>
      <c r="I15" s="7">
        <f>H15+I14</f>
        <v/>
      </c>
      <c r="J15" s="7">
        <f>I15+J14</f>
        <v/>
      </c>
      <c r="K15" s="7">
        <f>J15+K14</f>
        <v/>
      </c>
      <c r="L15" s="7">
        <f>K15+L14</f>
        <v/>
      </c>
      <c r="M15" s="7">
        <f>L15+M14</f>
        <v/>
      </c>
      <c r="P15" t="inlineStr">
        <is>
          <t>Home Down Payment</t>
        </is>
      </c>
      <c r="Q15" s="7" t="n">
        <v>250000</v>
      </c>
    </row>
    <row r="16">
      <c r="A16" t="inlineStr">
        <is>
          <t>Net Flow</t>
        </is>
      </c>
      <c r="B16" s="7">
        <f>Jan!D77</f>
        <v/>
      </c>
      <c r="C16" s="7">
        <f>Feb!D77</f>
        <v/>
      </c>
      <c r="D16" s="7">
        <f>Mar!D77</f>
        <v/>
      </c>
      <c r="E16" s="7">
        <f>Apr!D77</f>
        <v/>
      </c>
      <c r="F16" s="7">
        <f>May!D77</f>
        <v/>
      </c>
      <c r="G16" s="7">
        <f>Jun!D77</f>
        <v/>
      </c>
      <c r="H16" s="7">
        <f>Jul!D77</f>
        <v/>
      </c>
      <c r="I16" s="7">
        <f>Aug!D77</f>
        <v/>
      </c>
      <c r="J16" s="7">
        <f>Sep!D77</f>
        <v/>
      </c>
      <c r="K16" s="7">
        <f>Oct!D77</f>
        <v/>
      </c>
      <c r="L16" s="7">
        <f>Nov!D77</f>
        <v/>
      </c>
      <c r="M16" s="7">
        <f>Dec!D77</f>
        <v/>
      </c>
      <c r="P16" t="inlineStr">
        <is>
          <t>New Car</t>
        </is>
      </c>
      <c r="Q16" s="7" t="n">
        <v>80000</v>
      </c>
    </row>
    <row r="17">
      <c r="A17" t="inlineStr">
        <is>
          <t>Category</t>
        </is>
      </c>
      <c r="B17" t="inlineStr">
        <is>
          <t>HOUSING</t>
        </is>
      </c>
      <c r="C17" t="inlineStr">
        <is>
          <t>TRANSPORT</t>
        </is>
      </c>
      <c r="D17" t="inlineStr">
        <is>
          <t>FOOD &amp; DINING</t>
        </is>
      </c>
      <c r="E17" t="inlineStr">
        <is>
          <t>HEALTH &amp; WELLNESS</t>
        </is>
      </c>
      <c r="F17" t="inlineStr">
        <is>
          <t>LIFESTYLE</t>
        </is>
      </c>
      <c r="G17" t="inlineStr">
        <is>
          <t>CHILDREN &amp; FAMILY</t>
        </is>
      </c>
      <c r="H17" t="inlineStr">
        <is>
          <t>SAVINGS &amp; INVESTMENTS</t>
        </is>
      </c>
      <c r="I17" t="inlineStr">
        <is>
          <t>DEBT PAYMENTS</t>
        </is>
      </c>
      <c r="P17" t="inlineStr">
        <is>
          <t>Retirement Boost</t>
        </is>
      </c>
      <c r="Q17" s="7" t="n">
        <v>100000</v>
      </c>
    </row>
    <row r="18">
      <c r="A18" t="inlineStr">
        <is>
          <t>Annual Amount</t>
        </is>
      </c>
      <c r="B18" s="7">
        <f>Jan!D19+Feb!D19+Mar!D19+Apr!D19+May!D19+Jun!D19+Jul!D19+Aug!D19+Sep!D19+Oct!D19+Nov!D19+Dec!D19</f>
        <v/>
      </c>
      <c r="C18" s="7">
        <f>Jan!D27+Feb!D27+Mar!D27+Apr!D27+May!D27+Jun!D27+Jul!D27+Aug!D27+Sep!D27+Oct!D27+Nov!D27+Dec!D27</f>
        <v/>
      </c>
      <c r="D18" s="7">
        <f>Jan!D35+Feb!D35+Mar!D35+Apr!D35+May!D35+Jun!D35+Jul!D35+Aug!D35+Sep!D35+Oct!D35+Nov!D35+Dec!D35</f>
        <v/>
      </c>
      <c r="E18" s="7">
        <f>Jan!D43+Feb!D43+Mar!D43+Apr!D43+May!D43+Jun!D43+Jul!D43+Aug!D43+Sep!D43+Oct!D43+Nov!D43+Dec!D43</f>
        <v/>
      </c>
      <c r="F18" s="7">
        <f>Jan!D51+Feb!D51+Mar!D51+Apr!D51+May!D51+Jun!D51+Jul!D51+Aug!D51+Sep!D51+Oct!D51+Nov!D51+Dec!D51</f>
        <v/>
      </c>
      <c r="G18" s="7">
        <f>Jan!D59+Feb!D59+Mar!D59+Apr!D59+May!D59+Jun!D59+Jul!D59+Aug!D59+Sep!D59+Oct!D59+Nov!D59+Dec!D59</f>
        <v/>
      </c>
      <c r="H18" s="7">
        <f>Jan!D67+Feb!D67+Mar!D67+Apr!D67+May!D67+Jun!D67+Jul!D67+Aug!D67+Sep!D67+Oct!D67+Nov!D67+Dec!D67</f>
        <v/>
      </c>
      <c r="I18" s="7">
        <f>Jan!D75+Feb!D75+Mar!D75+Apr!D75+May!D75+Jun!D75+Jul!D75+Aug!D75+Sep!D75+Oct!D75+Nov!D75+Dec!D75</f>
        <v/>
      </c>
      <c r="P18" t="inlineStr">
        <is>
          <t>Education Fund</t>
        </is>
      </c>
      <c r="Q18" s="7" t="n">
        <v>40000</v>
      </c>
    </row>
    <row r="19">
      <c r="A19" t="inlineStr">
        <is>
          <t>Goal</t>
        </is>
      </c>
      <c r="B19" t="inlineStr">
        <is>
          <t>Emergency Fund</t>
        </is>
      </c>
      <c r="C19" t="inlineStr">
        <is>
          <t>Vacation — Japan</t>
        </is>
      </c>
      <c r="D19" t="inlineStr">
        <is>
          <t>Home Down Payment</t>
        </is>
      </c>
      <c r="E19" t="inlineStr">
        <is>
          <t>New Car</t>
        </is>
      </c>
      <c r="F19" t="inlineStr">
        <is>
          <t>Retirement Boost</t>
        </is>
      </c>
      <c r="G19" t="inlineStr">
        <is>
          <t>Education Fund</t>
        </is>
      </c>
      <c r="H19" t="inlineStr">
        <is>
          <t>Wedding Fund</t>
        </is>
      </c>
      <c r="I19" t="inlineStr">
        <is>
          <t>Home Renovation</t>
        </is>
      </c>
      <c r="P19" t="inlineStr">
        <is>
          <t>Wedding Fund</t>
        </is>
      </c>
      <c r="Q19" s="7" t="n">
        <v>60000</v>
      </c>
    </row>
    <row r="20">
      <c r="A20" t="inlineStr">
        <is>
          <t>Target</t>
        </is>
      </c>
      <c r="B20" s="7" t="n">
        <v>50000</v>
      </c>
      <c r="C20" s="7" t="n">
        <v>25000</v>
      </c>
      <c r="D20" s="7" t="n">
        <v>250000</v>
      </c>
      <c r="E20" s="7" t="n">
        <v>80000</v>
      </c>
      <c r="F20" s="7" t="n">
        <v>100000</v>
      </c>
      <c r="G20" s="7" t="n">
        <v>40000</v>
      </c>
      <c r="H20" s="7" t="n">
        <v>60000</v>
      </c>
      <c r="I20" s="7" t="n">
        <v>35000</v>
      </c>
      <c r="P20" t="inlineStr">
        <is>
          <t>Home Renovation</t>
        </is>
      </c>
      <c r="Q20" s="7" t="n">
        <v>35000</v>
      </c>
    </row>
  </sheetData>
  <mergeCells count="3">
    <mergeCell ref="A3:N3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3" customWidth="1" min="4" max="4"/>
    <col width="13" customWidth="1" min="5" max="5"/>
    <col width="10" customWidth="1" min="6" max="6"/>
    <col width="18" customWidth="1" min="7" max="7"/>
  </cols>
  <sheetData>
    <row r="1" ht="44" customHeight="1">
      <c r="A1" s="14" t="inlineStr">
        <is>
          <t>JANUARY · MONTHLY BUDGET</t>
        </is>
      </c>
    </row>
    <row r="2" ht="18" customHeight="1">
      <c r="A2" s="15" t="inlineStr">
        <is>
          <t>Track your income, expenses, and savings for the month</t>
        </is>
      </c>
    </row>
    <row r="3" ht="20" customHeight="1">
      <c r="A3" s="16" t="inlineStr">
        <is>
          <t>CATEGORY</t>
        </is>
      </c>
      <c r="B3" s="16" t="inlineStr">
        <is>
          <t>SUBCATEGORY</t>
        </is>
      </c>
      <c r="C3" s="16" t="inlineStr">
        <is>
          <t>BUDGETED</t>
        </is>
      </c>
      <c r="D3" s="16" t="inlineStr">
        <is>
          <t>ACTUAL</t>
        </is>
      </c>
      <c r="E3" s="16" t="inlineStr">
        <is>
          <t>DIFFERENCE</t>
        </is>
      </c>
      <c r="F3" s="16" t="inlineStr">
        <is>
          <t>% USED</t>
        </is>
      </c>
      <c r="G3" s="16" t="inlineStr">
        <is>
          <t>NOTES</t>
        </is>
      </c>
    </row>
    <row r="4" ht="18" customHeight="1">
      <c r="A4" s="17" t="inlineStr">
        <is>
          <t>INCOME</t>
        </is>
      </c>
    </row>
    <row r="5">
      <c r="A5" s="4" t="inlineStr">
        <is>
          <t>INCOME</t>
        </is>
      </c>
      <c r="B5" s="18" t="inlineStr">
        <is>
          <t>Primary Salary</t>
        </is>
      </c>
      <c r="C5" s="19" t="n">
        <v>0</v>
      </c>
      <c r="D5" s="19" t="n">
        <v>0</v>
      </c>
      <c r="E5" s="5">
        <f>C5-D5</f>
        <v/>
      </c>
      <c r="F5" s="20">
        <f>IFERROR(D5/C5,0)</f>
        <v/>
      </c>
      <c r="G5" s="18" t="inlineStr"/>
    </row>
    <row r="6">
      <c r="A6" s="8" t="inlineStr">
        <is>
          <t>INCOME</t>
        </is>
      </c>
      <c r="B6" s="21" t="inlineStr">
        <is>
          <t>Freelance</t>
        </is>
      </c>
      <c r="C6" s="22" t="n">
        <v>0</v>
      </c>
      <c r="D6" s="22" t="n">
        <v>0</v>
      </c>
      <c r="E6" s="9">
        <f>C6-D6</f>
        <v/>
      </c>
      <c r="F6" s="11">
        <f>IFERROR(D6/C6,0)</f>
        <v/>
      </c>
      <c r="G6" s="21" t="inlineStr"/>
    </row>
    <row r="7">
      <c r="A7" s="4" t="inlineStr">
        <is>
          <t>INCOME</t>
        </is>
      </c>
      <c r="B7" s="18" t="inlineStr">
        <is>
          <t>Rental Income</t>
        </is>
      </c>
      <c r="C7" s="19" t="n">
        <v>0</v>
      </c>
      <c r="D7" s="19" t="n">
        <v>0</v>
      </c>
      <c r="E7" s="5">
        <f>C7-D7</f>
        <v/>
      </c>
      <c r="F7" s="20">
        <f>IFERROR(D7/C7,0)</f>
        <v/>
      </c>
      <c r="G7" s="18" t="inlineStr"/>
    </row>
    <row r="8">
      <c r="A8" s="8" t="inlineStr">
        <is>
          <t>INCOME</t>
        </is>
      </c>
      <c r="B8" s="21" t="inlineStr">
        <is>
          <t>Dividends</t>
        </is>
      </c>
      <c r="C8" s="22" t="n">
        <v>0</v>
      </c>
      <c r="D8" s="22" t="n">
        <v>0</v>
      </c>
      <c r="E8" s="9">
        <f>C8-D8</f>
        <v/>
      </c>
      <c r="F8" s="11">
        <f>IFERROR(D8/C8,0)</f>
        <v/>
      </c>
      <c r="G8" s="21" t="inlineStr"/>
    </row>
    <row r="9">
      <c r="A9" s="4" t="inlineStr">
        <is>
          <t>INCOME</t>
        </is>
      </c>
      <c r="B9" s="18" t="inlineStr">
        <is>
          <t>Side Business</t>
        </is>
      </c>
      <c r="C9" s="19" t="n">
        <v>0</v>
      </c>
      <c r="D9" s="19" t="n">
        <v>0</v>
      </c>
      <c r="E9" s="5">
        <f>C9-D9</f>
        <v/>
      </c>
      <c r="F9" s="20">
        <f>IFERROR(D9/C9,0)</f>
        <v/>
      </c>
      <c r="G9" s="18" t="inlineStr"/>
    </row>
    <row r="10">
      <c r="A10" s="8" t="inlineStr">
        <is>
          <t>INCOME</t>
        </is>
      </c>
      <c r="B10" s="21" t="inlineStr">
        <is>
          <t>Other Income</t>
        </is>
      </c>
      <c r="C10" s="22" t="n">
        <v>0</v>
      </c>
      <c r="D10" s="22" t="n">
        <v>0</v>
      </c>
      <c r="E10" s="9">
        <f>C10-D10</f>
        <v/>
      </c>
      <c r="F10" s="11">
        <f>IFERROR(D10/C10,0)</f>
        <v/>
      </c>
      <c r="G10" s="21" t="inlineStr"/>
    </row>
    <row r="11" ht="18" customHeight="1">
      <c r="A11" s="23" t="inlineStr">
        <is>
          <t>TOTAL INCOME</t>
        </is>
      </c>
      <c r="C11" s="24">
        <f>SUM(C5:C10)</f>
        <v/>
      </c>
      <c r="D11" s="24">
        <f>SUM(D5:D10)</f>
        <v/>
      </c>
      <c r="E11" s="24">
        <f>C11-D11</f>
        <v/>
      </c>
      <c r="F11" s="25">
        <f>IFERROR(D11/C11,0)</f>
        <v/>
      </c>
      <c r="G11" s="26" t="inlineStr"/>
    </row>
    <row r="12" ht="18" customHeight="1">
      <c r="A12" s="27" t="inlineStr">
        <is>
          <t>HOUSING</t>
        </is>
      </c>
    </row>
    <row r="13">
      <c r="A13" s="18" t="inlineStr">
        <is>
          <t>HOUSING</t>
        </is>
      </c>
      <c r="B13" s="18" t="inlineStr">
        <is>
          <t>Rent/Mortgage</t>
        </is>
      </c>
      <c r="C13" s="19" t="n">
        <v>0</v>
      </c>
      <c r="D13" s="19" t="n">
        <v>0</v>
      </c>
      <c r="E13" s="5">
        <f>C13-D13</f>
        <v/>
      </c>
      <c r="F13" s="20">
        <f>IFERROR(D13/C13,0)</f>
        <v/>
      </c>
      <c r="G13" s="18" t="inlineStr"/>
    </row>
    <row r="14">
      <c r="A14" s="21" t="inlineStr">
        <is>
          <t>HOUSING</t>
        </is>
      </c>
      <c r="B14" s="21" t="inlineStr">
        <is>
          <t>Electricity</t>
        </is>
      </c>
      <c r="C14" s="22" t="n">
        <v>0</v>
      </c>
      <c r="D14" s="22" t="n">
        <v>0</v>
      </c>
      <c r="E14" s="9">
        <f>C14-D14</f>
        <v/>
      </c>
      <c r="F14" s="11">
        <f>IFERROR(D14/C14,0)</f>
        <v/>
      </c>
      <c r="G14" s="21" t="inlineStr"/>
    </row>
    <row r="15">
      <c r="A15" s="18" t="inlineStr">
        <is>
          <t>HOUSING</t>
        </is>
      </c>
      <c r="B15" s="18" t="inlineStr">
        <is>
          <t>Water</t>
        </is>
      </c>
      <c r="C15" s="19" t="n">
        <v>0</v>
      </c>
      <c r="D15" s="19" t="n">
        <v>0</v>
      </c>
      <c r="E15" s="5">
        <f>C15-D15</f>
        <v/>
      </c>
      <c r="F15" s="20">
        <f>IFERROR(D15/C15,0)</f>
        <v/>
      </c>
      <c r="G15" s="18" t="inlineStr"/>
    </row>
    <row r="16">
      <c r="A16" s="21" t="inlineStr">
        <is>
          <t>HOUSING</t>
        </is>
      </c>
      <c r="B16" s="21" t="inlineStr">
        <is>
          <t>Internet</t>
        </is>
      </c>
      <c r="C16" s="22" t="n">
        <v>0</v>
      </c>
      <c r="D16" s="22" t="n">
        <v>0</v>
      </c>
      <c r="E16" s="9">
        <f>C16-D16</f>
        <v/>
      </c>
      <c r="F16" s="11">
        <f>IFERROR(D16/C16,0)</f>
        <v/>
      </c>
      <c r="G16" s="21" t="inlineStr"/>
    </row>
    <row r="17">
      <c r="A17" s="18" t="inlineStr">
        <is>
          <t>HOUSING</t>
        </is>
      </c>
      <c r="B17" s="18" t="inlineStr">
        <is>
          <t>Home Insurance</t>
        </is>
      </c>
      <c r="C17" s="19" t="n">
        <v>0</v>
      </c>
      <c r="D17" s="19" t="n">
        <v>0</v>
      </c>
      <c r="E17" s="5">
        <f>C17-D17</f>
        <v/>
      </c>
      <c r="F17" s="20">
        <f>IFERROR(D17/C17,0)</f>
        <v/>
      </c>
      <c r="G17" s="18" t="inlineStr"/>
    </row>
    <row r="18">
      <c r="A18" s="21" t="inlineStr">
        <is>
          <t>HOUSING</t>
        </is>
      </c>
      <c r="B18" s="21" t="inlineStr">
        <is>
          <t>Maintenance</t>
        </is>
      </c>
      <c r="C18" s="22" t="n">
        <v>0</v>
      </c>
      <c r="D18" s="22" t="n">
        <v>0</v>
      </c>
      <c r="E18" s="9">
        <f>C18-D18</f>
        <v/>
      </c>
      <c r="F18" s="11">
        <f>IFERROR(D18/C18,0)</f>
        <v/>
      </c>
      <c r="G18" s="21" t="inlineStr"/>
    </row>
    <row r="19" ht="18" customHeight="1">
      <c r="A19" s="28" t="inlineStr">
        <is>
          <t>HOUSING TOTAL</t>
        </is>
      </c>
      <c r="C19" s="29">
        <f>SUM(C13:C18)</f>
        <v/>
      </c>
      <c r="D19" s="29">
        <f>SUM(D13:D18)</f>
        <v/>
      </c>
      <c r="E19" s="29">
        <f>C19-D19</f>
        <v/>
      </c>
      <c r="F19" s="30">
        <f>IFERROR(D19/C19,0)</f>
        <v/>
      </c>
      <c r="G19" s="31" t="inlineStr"/>
    </row>
    <row r="20" ht="18" customHeight="1">
      <c r="A20" s="27" t="inlineStr">
        <is>
          <t>TRANSPORT</t>
        </is>
      </c>
    </row>
    <row r="21">
      <c r="A21" s="18" t="inlineStr">
        <is>
          <t>TRANSPORT</t>
        </is>
      </c>
      <c r="B21" s="18" t="inlineStr">
        <is>
          <t>Car Payment</t>
        </is>
      </c>
      <c r="C21" s="19" t="n">
        <v>0</v>
      </c>
      <c r="D21" s="19" t="n">
        <v>0</v>
      </c>
      <c r="E21" s="5">
        <f>C21-D21</f>
        <v/>
      </c>
      <c r="F21" s="20">
        <f>IFERROR(D21/C21,0)</f>
        <v/>
      </c>
      <c r="G21" s="18" t="inlineStr"/>
    </row>
    <row r="22">
      <c r="A22" s="21" t="inlineStr">
        <is>
          <t>TRANSPORT</t>
        </is>
      </c>
      <c r="B22" s="21" t="inlineStr">
        <is>
          <t>Fuel</t>
        </is>
      </c>
      <c r="C22" s="22" t="n">
        <v>0</v>
      </c>
      <c r="D22" s="22" t="n">
        <v>0</v>
      </c>
      <c r="E22" s="9">
        <f>C22-D22</f>
        <v/>
      </c>
      <c r="F22" s="11">
        <f>IFERROR(D22/C22,0)</f>
        <v/>
      </c>
      <c r="G22" s="21" t="inlineStr"/>
    </row>
    <row r="23">
      <c r="A23" s="18" t="inlineStr">
        <is>
          <t>TRANSPORT</t>
        </is>
      </c>
      <c r="B23" s="18" t="inlineStr">
        <is>
          <t>Car Insurance</t>
        </is>
      </c>
      <c r="C23" s="19" t="n">
        <v>0</v>
      </c>
      <c r="D23" s="19" t="n">
        <v>0</v>
      </c>
      <c r="E23" s="5">
        <f>C23-D23</f>
        <v/>
      </c>
      <c r="F23" s="20">
        <f>IFERROR(D23/C23,0)</f>
        <v/>
      </c>
      <c r="G23" s="18" t="inlineStr"/>
    </row>
    <row r="24">
      <c r="A24" s="21" t="inlineStr">
        <is>
          <t>TRANSPORT</t>
        </is>
      </c>
      <c r="B24" s="21" t="inlineStr">
        <is>
          <t>Parking</t>
        </is>
      </c>
      <c r="C24" s="22" t="n">
        <v>0</v>
      </c>
      <c r="D24" s="22" t="n">
        <v>0</v>
      </c>
      <c r="E24" s="9">
        <f>C24-D24</f>
        <v/>
      </c>
      <c r="F24" s="11">
        <f>IFERROR(D24/C24,0)</f>
        <v/>
      </c>
      <c r="G24" s="21" t="inlineStr"/>
    </row>
    <row r="25">
      <c r="A25" s="18" t="inlineStr">
        <is>
          <t>TRANSPORT</t>
        </is>
      </c>
      <c r="B25" s="18" t="inlineStr">
        <is>
          <t>Public Transport</t>
        </is>
      </c>
      <c r="C25" s="19" t="n">
        <v>0</v>
      </c>
      <c r="D25" s="19" t="n">
        <v>0</v>
      </c>
      <c r="E25" s="5">
        <f>C25-D25</f>
        <v/>
      </c>
      <c r="F25" s="20">
        <f>IFERROR(D25/C25,0)</f>
        <v/>
      </c>
      <c r="G25" s="18" t="inlineStr"/>
    </row>
    <row r="26">
      <c r="A26" s="21" t="inlineStr">
        <is>
          <t>TRANSPORT</t>
        </is>
      </c>
      <c r="B26" s="21" t="inlineStr">
        <is>
          <t>Ride Share</t>
        </is>
      </c>
      <c r="C26" s="22" t="n">
        <v>0</v>
      </c>
      <c r="D26" s="22" t="n">
        <v>0</v>
      </c>
      <c r="E26" s="9">
        <f>C26-D26</f>
        <v/>
      </c>
      <c r="F26" s="11">
        <f>IFERROR(D26/C26,0)</f>
        <v/>
      </c>
      <c r="G26" s="21" t="inlineStr"/>
    </row>
    <row r="27" ht="18" customHeight="1">
      <c r="A27" s="28" t="inlineStr">
        <is>
          <t>TRANSPORT TOTAL</t>
        </is>
      </c>
      <c r="C27" s="29">
        <f>SUM(C21:C26)</f>
        <v/>
      </c>
      <c r="D27" s="29">
        <f>SUM(D21:D26)</f>
        <v/>
      </c>
      <c r="E27" s="29">
        <f>C27-D27</f>
        <v/>
      </c>
      <c r="F27" s="30">
        <f>IFERROR(D27/C27,0)</f>
        <v/>
      </c>
      <c r="G27" s="31" t="inlineStr"/>
    </row>
    <row r="28" ht="18" customHeight="1">
      <c r="A28" s="27" t="inlineStr">
        <is>
          <t>FOOD &amp; DINING</t>
        </is>
      </c>
    </row>
    <row r="29">
      <c r="A29" s="18" t="inlineStr">
        <is>
          <t>FOOD &amp; DINING</t>
        </is>
      </c>
      <c r="B29" s="18" t="inlineStr">
        <is>
          <t>Groceries</t>
        </is>
      </c>
      <c r="C29" s="19" t="n">
        <v>0</v>
      </c>
      <c r="D29" s="19" t="n">
        <v>0</v>
      </c>
      <c r="E29" s="5">
        <f>C29-D29</f>
        <v/>
      </c>
      <c r="F29" s="20">
        <f>IFERROR(D29/C29,0)</f>
        <v/>
      </c>
      <c r="G29" s="18" t="inlineStr"/>
    </row>
    <row r="30">
      <c r="A30" s="21" t="inlineStr">
        <is>
          <t>FOOD &amp; DINING</t>
        </is>
      </c>
      <c r="B30" s="21" t="inlineStr">
        <is>
          <t>Restaurants</t>
        </is>
      </c>
      <c r="C30" s="22" t="n">
        <v>0</v>
      </c>
      <c r="D30" s="22" t="n">
        <v>0</v>
      </c>
      <c r="E30" s="9">
        <f>C30-D30</f>
        <v/>
      </c>
      <c r="F30" s="11">
        <f>IFERROR(D30/C30,0)</f>
        <v/>
      </c>
      <c r="G30" s="21" t="inlineStr"/>
    </row>
    <row r="31">
      <c r="A31" s="18" t="inlineStr">
        <is>
          <t>FOOD &amp; DINING</t>
        </is>
      </c>
      <c r="B31" s="18" t="inlineStr">
        <is>
          <t>Coffee Shops</t>
        </is>
      </c>
      <c r="C31" s="19" t="n">
        <v>0</v>
      </c>
      <c r="D31" s="19" t="n">
        <v>0</v>
      </c>
      <c r="E31" s="5">
        <f>C31-D31</f>
        <v/>
      </c>
      <c r="F31" s="20">
        <f>IFERROR(D31/C31,0)</f>
        <v/>
      </c>
      <c r="G31" s="18" t="inlineStr"/>
    </row>
    <row r="32">
      <c r="A32" s="21" t="inlineStr">
        <is>
          <t>FOOD &amp; DINING</t>
        </is>
      </c>
      <c r="B32" s="21" t="inlineStr">
        <is>
          <t>Food Delivery</t>
        </is>
      </c>
      <c r="C32" s="22" t="n">
        <v>0</v>
      </c>
      <c r="D32" s="22" t="n">
        <v>0</v>
      </c>
      <c r="E32" s="9">
        <f>C32-D32</f>
        <v/>
      </c>
      <c r="F32" s="11">
        <f>IFERROR(D32/C32,0)</f>
        <v/>
      </c>
      <c r="G32" s="21" t="inlineStr"/>
    </row>
    <row r="33">
      <c r="A33" s="18" t="inlineStr">
        <is>
          <t>FOOD &amp; DINING</t>
        </is>
      </c>
      <c r="B33" s="18" t="inlineStr">
        <is>
          <t>Work Lunch</t>
        </is>
      </c>
      <c r="C33" s="19" t="n">
        <v>0</v>
      </c>
      <c r="D33" s="19" t="n">
        <v>0</v>
      </c>
      <c r="E33" s="5">
        <f>C33-D33</f>
        <v/>
      </c>
      <c r="F33" s="20">
        <f>IFERROR(D33/C33,0)</f>
        <v/>
      </c>
      <c r="G33" s="18" t="inlineStr"/>
    </row>
    <row r="34">
      <c r="A34" s="21" t="inlineStr">
        <is>
          <t>FOOD &amp; DINING</t>
        </is>
      </c>
      <c r="B34" s="21" t="inlineStr">
        <is>
          <t>Other</t>
        </is>
      </c>
      <c r="C34" s="22" t="n">
        <v>0</v>
      </c>
      <c r="D34" s="22" t="n">
        <v>0</v>
      </c>
      <c r="E34" s="9">
        <f>C34-D34</f>
        <v/>
      </c>
      <c r="F34" s="11">
        <f>IFERROR(D34/C34,0)</f>
        <v/>
      </c>
      <c r="G34" s="21" t="inlineStr"/>
    </row>
    <row r="35" ht="18" customHeight="1">
      <c r="A35" s="28" t="inlineStr">
        <is>
          <t>FOOD &amp; DINING TOTAL</t>
        </is>
      </c>
      <c r="C35" s="29">
        <f>SUM(C29:C34)</f>
        <v/>
      </c>
      <c r="D35" s="29">
        <f>SUM(D29:D34)</f>
        <v/>
      </c>
      <c r="E35" s="29">
        <f>C35-D35</f>
        <v/>
      </c>
      <c r="F35" s="30">
        <f>IFERROR(D35/C35,0)</f>
        <v/>
      </c>
      <c r="G35" s="31" t="inlineStr"/>
    </row>
    <row r="36" ht="18" customHeight="1">
      <c r="A36" s="27" t="inlineStr">
        <is>
          <t>HEALTH &amp; WELLNESS</t>
        </is>
      </c>
    </row>
    <row r="37">
      <c r="A37" s="18" t="inlineStr">
        <is>
          <t>HEALTH &amp; WELLNESS</t>
        </is>
      </c>
      <c r="B37" s="18" t="inlineStr">
        <is>
          <t>Health Insurance</t>
        </is>
      </c>
      <c r="C37" s="19" t="n">
        <v>0</v>
      </c>
      <c r="D37" s="19" t="n">
        <v>0</v>
      </c>
      <c r="E37" s="5">
        <f>C37-D37</f>
        <v/>
      </c>
      <c r="F37" s="20">
        <f>IFERROR(D37/C37,0)</f>
        <v/>
      </c>
      <c r="G37" s="18" t="inlineStr"/>
    </row>
    <row r="38">
      <c r="A38" s="21" t="inlineStr">
        <is>
          <t>HEALTH &amp; WELLNESS</t>
        </is>
      </c>
      <c r="B38" s="21" t="inlineStr">
        <is>
          <t>Gym Membership</t>
        </is>
      </c>
      <c r="C38" s="22" t="n">
        <v>0</v>
      </c>
      <c r="D38" s="22" t="n">
        <v>0</v>
      </c>
      <c r="E38" s="9">
        <f>C38-D38</f>
        <v/>
      </c>
      <c r="F38" s="11">
        <f>IFERROR(D38/C38,0)</f>
        <v/>
      </c>
      <c r="G38" s="21" t="inlineStr"/>
    </row>
    <row r="39">
      <c r="A39" s="18" t="inlineStr">
        <is>
          <t>HEALTH &amp; WELLNESS</t>
        </is>
      </c>
      <c r="B39" s="18" t="inlineStr">
        <is>
          <t>Pharmacy</t>
        </is>
      </c>
      <c r="C39" s="19" t="n">
        <v>0</v>
      </c>
      <c r="D39" s="19" t="n">
        <v>0</v>
      </c>
      <c r="E39" s="5">
        <f>C39-D39</f>
        <v/>
      </c>
      <c r="F39" s="20">
        <f>IFERROR(D39/C39,0)</f>
        <v/>
      </c>
      <c r="G39" s="18" t="inlineStr"/>
    </row>
    <row r="40">
      <c r="A40" s="21" t="inlineStr">
        <is>
          <t>HEALTH &amp; WELLNESS</t>
        </is>
      </c>
      <c r="B40" s="21" t="inlineStr">
        <is>
          <t>Doctor Visits</t>
        </is>
      </c>
      <c r="C40" s="22" t="n">
        <v>0</v>
      </c>
      <c r="D40" s="22" t="n">
        <v>0</v>
      </c>
      <c r="E40" s="9">
        <f>C40-D40</f>
        <v/>
      </c>
      <c r="F40" s="11">
        <f>IFERROR(D40/C40,0)</f>
        <v/>
      </c>
      <c r="G40" s="21" t="inlineStr"/>
    </row>
    <row r="41">
      <c r="A41" s="18" t="inlineStr">
        <is>
          <t>HEALTH &amp; WELLNESS</t>
        </is>
      </c>
      <c r="B41" s="18" t="inlineStr">
        <is>
          <t>Dental</t>
        </is>
      </c>
      <c r="C41" s="19" t="n">
        <v>0</v>
      </c>
      <c r="D41" s="19" t="n">
        <v>0</v>
      </c>
      <c r="E41" s="5">
        <f>C41-D41</f>
        <v/>
      </c>
      <c r="F41" s="20">
        <f>IFERROR(D41/C41,0)</f>
        <v/>
      </c>
      <c r="G41" s="18" t="inlineStr"/>
    </row>
    <row r="42">
      <c r="A42" s="21" t="inlineStr">
        <is>
          <t>HEALTH &amp; WELLNESS</t>
        </is>
      </c>
      <c r="B42" s="21" t="inlineStr">
        <is>
          <t>Mental Health</t>
        </is>
      </c>
      <c r="C42" s="22" t="n">
        <v>0</v>
      </c>
      <c r="D42" s="22" t="n">
        <v>0</v>
      </c>
      <c r="E42" s="9">
        <f>C42-D42</f>
        <v/>
      </c>
      <c r="F42" s="11">
        <f>IFERROR(D42/C42,0)</f>
        <v/>
      </c>
      <c r="G42" s="21" t="inlineStr"/>
    </row>
    <row r="43" ht="18" customHeight="1">
      <c r="A43" s="28" t="inlineStr">
        <is>
          <t>HEALTH &amp; WELLNESS TOTAL</t>
        </is>
      </c>
      <c r="C43" s="29">
        <f>SUM(C37:C42)</f>
        <v/>
      </c>
      <c r="D43" s="29">
        <f>SUM(D37:D42)</f>
        <v/>
      </c>
      <c r="E43" s="29">
        <f>C43-D43</f>
        <v/>
      </c>
      <c r="F43" s="30">
        <f>IFERROR(D43/C43,0)</f>
        <v/>
      </c>
      <c r="G43" s="31" t="inlineStr"/>
    </row>
    <row r="44" ht="18" customHeight="1">
      <c r="A44" s="27" t="inlineStr">
        <is>
          <t>LIFESTYLE</t>
        </is>
      </c>
    </row>
    <row r="45">
      <c r="A45" s="18" t="inlineStr">
        <is>
          <t>LIFESTYLE</t>
        </is>
      </c>
      <c r="B45" s="18" t="inlineStr">
        <is>
          <t>Streaming Services</t>
        </is>
      </c>
      <c r="C45" s="19" t="n">
        <v>0</v>
      </c>
      <c r="D45" s="19" t="n">
        <v>0</v>
      </c>
      <c r="E45" s="5">
        <f>C45-D45</f>
        <v/>
      </c>
      <c r="F45" s="20">
        <f>IFERROR(D45/C45,0)</f>
        <v/>
      </c>
      <c r="G45" s="18" t="inlineStr"/>
    </row>
    <row r="46">
      <c r="A46" s="21" t="inlineStr">
        <is>
          <t>LIFESTYLE</t>
        </is>
      </c>
      <c r="B46" s="21" t="inlineStr">
        <is>
          <t>Entertainment</t>
        </is>
      </c>
      <c r="C46" s="22" t="n">
        <v>0</v>
      </c>
      <c r="D46" s="22" t="n">
        <v>0</v>
      </c>
      <c r="E46" s="9">
        <f>C46-D46</f>
        <v/>
      </c>
      <c r="F46" s="11">
        <f>IFERROR(D46/C46,0)</f>
        <v/>
      </c>
      <c r="G46" s="21" t="inlineStr"/>
    </row>
    <row r="47">
      <c r="A47" s="18" t="inlineStr">
        <is>
          <t>LIFESTYLE</t>
        </is>
      </c>
      <c r="B47" s="18" t="inlineStr">
        <is>
          <t>Hobbies</t>
        </is>
      </c>
      <c r="C47" s="19" t="n">
        <v>0</v>
      </c>
      <c r="D47" s="19" t="n">
        <v>0</v>
      </c>
      <c r="E47" s="5">
        <f>C47-D47</f>
        <v/>
      </c>
      <c r="F47" s="20">
        <f>IFERROR(D47/C47,0)</f>
        <v/>
      </c>
      <c r="G47" s="18" t="inlineStr"/>
    </row>
    <row r="48">
      <c r="A48" s="21" t="inlineStr">
        <is>
          <t>LIFESTYLE</t>
        </is>
      </c>
      <c r="B48" s="21" t="inlineStr">
        <is>
          <t>Personal Care</t>
        </is>
      </c>
      <c r="C48" s="22" t="n">
        <v>0</v>
      </c>
      <c r="D48" s="22" t="n">
        <v>0</v>
      </c>
      <c r="E48" s="9">
        <f>C48-D48</f>
        <v/>
      </c>
      <c r="F48" s="11">
        <f>IFERROR(D48/C48,0)</f>
        <v/>
      </c>
      <c r="G48" s="21" t="inlineStr"/>
    </row>
    <row r="49">
      <c r="A49" s="18" t="inlineStr">
        <is>
          <t>LIFESTYLE</t>
        </is>
      </c>
      <c r="B49" s="18" t="inlineStr">
        <is>
          <t>Books</t>
        </is>
      </c>
      <c r="C49" s="19" t="n">
        <v>0</v>
      </c>
      <c r="D49" s="19" t="n">
        <v>0</v>
      </c>
      <c r="E49" s="5">
        <f>C49-D49</f>
        <v/>
      </c>
      <c r="F49" s="20">
        <f>IFERROR(D49/C49,0)</f>
        <v/>
      </c>
      <c r="G49" s="18" t="inlineStr"/>
    </row>
    <row r="50">
      <c r="A50" s="21" t="inlineStr">
        <is>
          <t>LIFESTYLE</t>
        </is>
      </c>
      <c r="B50" s="21" t="inlineStr">
        <is>
          <t>Clothing</t>
        </is>
      </c>
      <c r="C50" s="22" t="n">
        <v>0</v>
      </c>
      <c r="D50" s="22" t="n">
        <v>0</v>
      </c>
      <c r="E50" s="9">
        <f>C50-D50</f>
        <v/>
      </c>
      <c r="F50" s="11">
        <f>IFERROR(D50/C50,0)</f>
        <v/>
      </c>
      <c r="G50" s="21" t="inlineStr"/>
    </row>
    <row r="51" ht="18" customHeight="1">
      <c r="A51" s="28" t="inlineStr">
        <is>
          <t>LIFESTYLE TOTAL</t>
        </is>
      </c>
      <c r="C51" s="29">
        <f>SUM(C45:C50)</f>
        <v/>
      </c>
      <c r="D51" s="29">
        <f>SUM(D45:D50)</f>
        <v/>
      </c>
      <c r="E51" s="29">
        <f>C51-D51</f>
        <v/>
      </c>
      <c r="F51" s="30">
        <f>IFERROR(D51/C51,0)</f>
        <v/>
      </c>
      <c r="G51" s="31" t="inlineStr"/>
    </row>
    <row r="52" ht="18" customHeight="1">
      <c r="A52" s="27" t="inlineStr">
        <is>
          <t>CHILDREN &amp; FAMILY</t>
        </is>
      </c>
    </row>
    <row r="53">
      <c r="A53" s="18" t="inlineStr">
        <is>
          <t>CHILDREN &amp; FAMILY</t>
        </is>
      </c>
      <c r="B53" s="18" t="inlineStr">
        <is>
          <t>Childcare</t>
        </is>
      </c>
      <c r="C53" s="19" t="n">
        <v>0</v>
      </c>
      <c r="D53" s="19" t="n">
        <v>0</v>
      </c>
      <c r="E53" s="5">
        <f>C53-D53</f>
        <v/>
      </c>
      <c r="F53" s="20">
        <f>IFERROR(D53/C53,0)</f>
        <v/>
      </c>
      <c r="G53" s="18" t="inlineStr"/>
    </row>
    <row r="54">
      <c r="A54" s="21" t="inlineStr">
        <is>
          <t>CHILDREN &amp; FAMILY</t>
        </is>
      </c>
      <c r="B54" s="21" t="inlineStr">
        <is>
          <t>School Fees</t>
        </is>
      </c>
      <c r="C54" s="22" t="n">
        <v>0</v>
      </c>
      <c r="D54" s="22" t="n">
        <v>0</v>
      </c>
      <c r="E54" s="9">
        <f>C54-D54</f>
        <v/>
      </c>
      <c r="F54" s="11">
        <f>IFERROR(D54/C54,0)</f>
        <v/>
      </c>
      <c r="G54" s="21" t="inlineStr"/>
    </row>
    <row r="55">
      <c r="A55" s="18" t="inlineStr">
        <is>
          <t>CHILDREN &amp; FAMILY</t>
        </is>
      </c>
      <c r="B55" s="18" t="inlineStr">
        <is>
          <t>Activities</t>
        </is>
      </c>
      <c r="C55" s="19" t="n">
        <v>0</v>
      </c>
      <c r="D55" s="19" t="n">
        <v>0</v>
      </c>
      <c r="E55" s="5">
        <f>C55-D55</f>
        <v/>
      </c>
      <c r="F55" s="20">
        <f>IFERROR(D55/C55,0)</f>
        <v/>
      </c>
      <c r="G55" s="18" t="inlineStr"/>
    </row>
    <row r="56">
      <c r="A56" s="21" t="inlineStr">
        <is>
          <t>CHILDREN &amp; FAMILY</t>
        </is>
      </c>
      <c r="B56" s="21" t="inlineStr">
        <is>
          <t>Toys &amp; Gifts</t>
        </is>
      </c>
      <c r="C56" s="22" t="n">
        <v>0</v>
      </c>
      <c r="D56" s="22" t="n">
        <v>0</v>
      </c>
      <c r="E56" s="9">
        <f>C56-D56</f>
        <v/>
      </c>
      <c r="F56" s="11">
        <f>IFERROR(D56/C56,0)</f>
        <v/>
      </c>
      <c r="G56" s="21" t="inlineStr"/>
    </row>
    <row r="57">
      <c r="A57" s="18" t="inlineStr">
        <is>
          <t>CHILDREN &amp; FAMILY</t>
        </is>
      </c>
      <c r="B57" s="18" t="inlineStr">
        <is>
          <t>Family Outings</t>
        </is>
      </c>
      <c r="C57" s="19" t="n">
        <v>0</v>
      </c>
      <c r="D57" s="19" t="n">
        <v>0</v>
      </c>
      <c r="E57" s="5">
        <f>C57-D57</f>
        <v/>
      </c>
      <c r="F57" s="20">
        <f>IFERROR(D57/C57,0)</f>
        <v/>
      </c>
      <c r="G57" s="18" t="inlineStr"/>
    </row>
    <row r="58">
      <c r="A58" s="21" t="inlineStr">
        <is>
          <t>CHILDREN &amp; FAMILY</t>
        </is>
      </c>
      <c r="B58" s="21" t="inlineStr">
        <is>
          <t>Other</t>
        </is>
      </c>
      <c r="C58" s="22" t="n">
        <v>0</v>
      </c>
      <c r="D58" s="22" t="n">
        <v>0</v>
      </c>
      <c r="E58" s="9">
        <f>C58-D58</f>
        <v/>
      </c>
      <c r="F58" s="11">
        <f>IFERROR(D58/C58,0)</f>
        <v/>
      </c>
      <c r="G58" s="21" t="inlineStr"/>
    </row>
    <row r="59" ht="18" customHeight="1">
      <c r="A59" s="28" t="inlineStr">
        <is>
          <t>CHILDREN &amp; FAMILY TOTAL</t>
        </is>
      </c>
      <c r="C59" s="29">
        <f>SUM(C53:C58)</f>
        <v/>
      </c>
      <c r="D59" s="29">
        <f>SUM(D53:D58)</f>
        <v/>
      </c>
      <c r="E59" s="29">
        <f>C59-D59</f>
        <v/>
      </c>
      <c r="F59" s="30">
        <f>IFERROR(D59/C59,0)</f>
        <v/>
      </c>
      <c r="G59" s="31" t="inlineStr"/>
    </row>
    <row r="60" ht="18" customHeight="1">
      <c r="A60" s="27" t="inlineStr">
        <is>
          <t>SAVINGS &amp; INVESTMENTS</t>
        </is>
      </c>
    </row>
    <row r="61">
      <c r="A61" s="18" t="inlineStr">
        <is>
          <t>SAVINGS &amp; INVESTMENTS</t>
        </is>
      </c>
      <c r="B61" s="18" t="inlineStr">
        <is>
          <t>Emergency Fund</t>
        </is>
      </c>
      <c r="C61" s="19" t="n">
        <v>0</v>
      </c>
      <c r="D61" s="19" t="n">
        <v>0</v>
      </c>
      <c r="E61" s="5">
        <f>C61-D61</f>
        <v/>
      </c>
      <c r="F61" s="20">
        <f>IFERROR(D61/C61,0)</f>
        <v/>
      </c>
      <c r="G61" s="18" t="inlineStr"/>
    </row>
    <row r="62">
      <c r="A62" s="21" t="inlineStr">
        <is>
          <t>SAVINGS &amp; INVESTMENTS</t>
        </is>
      </c>
      <c r="B62" s="21" t="inlineStr">
        <is>
          <t>Pension/IRA</t>
        </is>
      </c>
      <c r="C62" s="22" t="n">
        <v>0</v>
      </c>
      <c r="D62" s="22" t="n">
        <v>0</v>
      </c>
      <c r="E62" s="9">
        <f>C62-D62</f>
        <v/>
      </c>
      <c r="F62" s="11">
        <f>IFERROR(D62/C62,0)</f>
        <v/>
      </c>
      <c r="G62" s="21" t="inlineStr"/>
    </row>
    <row r="63">
      <c r="A63" s="18" t="inlineStr">
        <is>
          <t>SAVINGS &amp; INVESTMENTS</t>
        </is>
      </c>
      <c r="B63" s="18" t="inlineStr">
        <is>
          <t>Stocks &amp; ETFs</t>
        </is>
      </c>
      <c r="C63" s="19" t="n">
        <v>0</v>
      </c>
      <c r="D63" s="19" t="n">
        <v>0</v>
      </c>
      <c r="E63" s="5">
        <f>C63-D63</f>
        <v/>
      </c>
      <c r="F63" s="20">
        <f>IFERROR(D63/C63,0)</f>
        <v/>
      </c>
      <c r="G63" s="18" t="inlineStr"/>
    </row>
    <row r="64">
      <c r="A64" s="21" t="inlineStr">
        <is>
          <t>SAVINGS &amp; INVESTMENTS</t>
        </is>
      </c>
      <c r="B64" s="21" t="inlineStr">
        <is>
          <t>Vacation Fund</t>
        </is>
      </c>
      <c r="C64" s="22" t="n">
        <v>0</v>
      </c>
      <c r="D64" s="22" t="n">
        <v>0</v>
      </c>
      <c r="E64" s="9">
        <f>C64-D64</f>
        <v/>
      </c>
      <c r="F64" s="11">
        <f>IFERROR(D64/C64,0)</f>
        <v/>
      </c>
      <c r="G64" s="21" t="inlineStr"/>
    </row>
    <row r="65">
      <c r="A65" s="18" t="inlineStr">
        <is>
          <t>SAVINGS &amp; INVESTMENTS</t>
        </is>
      </c>
      <c r="B65" s="18" t="inlineStr">
        <is>
          <t>Home Fund</t>
        </is>
      </c>
      <c r="C65" s="19" t="n">
        <v>0</v>
      </c>
      <c r="D65" s="19" t="n">
        <v>0</v>
      </c>
      <c r="E65" s="5">
        <f>C65-D65</f>
        <v/>
      </c>
      <c r="F65" s="20">
        <f>IFERROR(D65/C65,0)</f>
        <v/>
      </c>
      <c r="G65" s="18" t="inlineStr"/>
    </row>
    <row r="66">
      <c r="A66" s="21" t="inlineStr">
        <is>
          <t>SAVINGS &amp; INVESTMENTS</t>
        </is>
      </c>
      <c r="B66" s="21" t="inlineStr">
        <is>
          <t>Other</t>
        </is>
      </c>
      <c r="C66" s="22" t="n">
        <v>0</v>
      </c>
      <c r="D66" s="22" t="n">
        <v>0</v>
      </c>
      <c r="E66" s="9">
        <f>C66-D66</f>
        <v/>
      </c>
      <c r="F66" s="11">
        <f>IFERROR(D66/C66,0)</f>
        <v/>
      </c>
      <c r="G66" s="21" t="inlineStr"/>
    </row>
    <row r="67" ht="18" customHeight="1">
      <c r="A67" s="28" t="inlineStr">
        <is>
          <t>SAVINGS &amp; INVESTMENTS TOTAL</t>
        </is>
      </c>
      <c r="C67" s="29">
        <f>SUM(C61:C66)</f>
        <v/>
      </c>
      <c r="D67" s="29">
        <f>SUM(D61:D66)</f>
        <v/>
      </c>
      <c r="E67" s="29">
        <f>C67-D67</f>
        <v/>
      </c>
      <c r="F67" s="30">
        <f>IFERROR(D67/C67,0)</f>
        <v/>
      </c>
      <c r="G67" s="31" t="inlineStr"/>
    </row>
    <row r="68" ht="18" customHeight="1">
      <c r="A68" s="27" t="inlineStr">
        <is>
          <t>DEBT PAYMENTS</t>
        </is>
      </c>
    </row>
    <row r="69">
      <c r="A69" s="18" t="inlineStr">
        <is>
          <t>DEBT PAYMENTS</t>
        </is>
      </c>
      <c r="B69" s="18" t="inlineStr">
        <is>
          <t>Credit Card 1</t>
        </is>
      </c>
      <c r="C69" s="19" t="n">
        <v>0</v>
      </c>
      <c r="D69" s="19" t="n">
        <v>0</v>
      </c>
      <c r="E69" s="5">
        <f>C69-D69</f>
        <v/>
      </c>
      <c r="F69" s="20">
        <f>IFERROR(D69/C69,0)</f>
        <v/>
      </c>
      <c r="G69" s="18" t="inlineStr"/>
    </row>
    <row r="70">
      <c r="A70" s="21" t="inlineStr">
        <is>
          <t>DEBT PAYMENTS</t>
        </is>
      </c>
      <c r="B70" s="21" t="inlineStr">
        <is>
          <t>Credit Card 2</t>
        </is>
      </c>
      <c r="C70" s="22" t="n">
        <v>0</v>
      </c>
      <c r="D70" s="22" t="n">
        <v>0</v>
      </c>
      <c r="E70" s="9">
        <f>C70-D70</f>
        <v/>
      </c>
      <c r="F70" s="11">
        <f>IFERROR(D70/C70,0)</f>
        <v/>
      </c>
      <c r="G70" s="21" t="inlineStr"/>
    </row>
    <row r="71">
      <c r="A71" s="18" t="inlineStr">
        <is>
          <t>DEBT PAYMENTS</t>
        </is>
      </c>
      <c r="B71" s="18" t="inlineStr">
        <is>
          <t>Student Loan</t>
        </is>
      </c>
      <c r="C71" s="19" t="n">
        <v>0</v>
      </c>
      <c r="D71" s="19" t="n">
        <v>0</v>
      </c>
      <c r="E71" s="5">
        <f>C71-D71</f>
        <v/>
      </c>
      <c r="F71" s="20">
        <f>IFERROR(D71/C71,0)</f>
        <v/>
      </c>
      <c r="G71" s="18" t="inlineStr"/>
    </row>
    <row r="72">
      <c r="A72" s="21" t="inlineStr">
        <is>
          <t>DEBT PAYMENTS</t>
        </is>
      </c>
      <c r="B72" s="21" t="inlineStr">
        <is>
          <t>Car Loan</t>
        </is>
      </c>
      <c r="C72" s="22" t="n">
        <v>0</v>
      </c>
      <c r="D72" s="22" t="n">
        <v>0</v>
      </c>
      <c r="E72" s="9">
        <f>C72-D72</f>
        <v/>
      </c>
      <c r="F72" s="11">
        <f>IFERROR(D72/C72,0)</f>
        <v/>
      </c>
      <c r="G72" s="21" t="inlineStr"/>
    </row>
    <row r="73">
      <c r="A73" s="18" t="inlineStr">
        <is>
          <t>DEBT PAYMENTS</t>
        </is>
      </c>
      <c r="B73" s="18" t="inlineStr">
        <is>
          <t>Personal Loan</t>
        </is>
      </c>
      <c r="C73" s="19" t="n">
        <v>0</v>
      </c>
      <c r="D73" s="19" t="n">
        <v>0</v>
      </c>
      <c r="E73" s="5">
        <f>C73-D73</f>
        <v/>
      </c>
      <c r="F73" s="20">
        <f>IFERROR(D73/C73,0)</f>
        <v/>
      </c>
      <c r="G73" s="18" t="inlineStr"/>
    </row>
    <row r="74">
      <c r="A74" s="21" t="inlineStr">
        <is>
          <t>DEBT PAYMENTS</t>
        </is>
      </c>
      <c r="B74" s="21" t="inlineStr">
        <is>
          <t>Other</t>
        </is>
      </c>
      <c r="C74" s="22" t="n">
        <v>0</v>
      </c>
      <c r="D74" s="22" t="n">
        <v>0</v>
      </c>
      <c r="E74" s="9">
        <f>C74-D74</f>
        <v/>
      </c>
      <c r="F74" s="11">
        <f>IFERROR(D74/C74,0)</f>
        <v/>
      </c>
      <c r="G74" s="21" t="inlineStr"/>
    </row>
    <row r="75" ht="18" customHeight="1">
      <c r="A75" s="28" t="inlineStr">
        <is>
          <t>DEBT PAYMENTS TOTAL</t>
        </is>
      </c>
      <c r="C75" s="29">
        <f>SUM(C69:C74)</f>
        <v/>
      </c>
      <c r="D75" s="29">
        <f>SUM(D69:D74)</f>
        <v/>
      </c>
      <c r="E75" s="29">
        <f>C75-D75</f>
        <v/>
      </c>
      <c r="F75" s="30">
        <f>IFERROR(D75/C75,0)</f>
        <v/>
      </c>
      <c r="G75" s="31" t="inlineStr"/>
    </row>
    <row r="76" ht="22" customHeight="1">
      <c r="A76" s="32" t="inlineStr">
        <is>
          <t>GRAND TOTAL EXPENSES</t>
        </is>
      </c>
      <c r="C76" s="33">
        <f>SUM(C19,C27,C35,C43,C51,C59,C67,C75)</f>
        <v/>
      </c>
      <c r="D76" s="33">
        <f>D19+D27+D35+D43+D51+D59+D67+D75</f>
        <v/>
      </c>
      <c r="E76" s="33">
        <f>C76-D76</f>
        <v/>
      </c>
      <c r="F76" s="34">
        <f>IFERROR(D76/C76,0)</f>
        <v/>
      </c>
      <c r="G76" s="35" t="inlineStr"/>
    </row>
    <row r="77" ht="22" customHeight="1">
      <c r="A77" s="17" t="inlineStr">
        <is>
          <t>NET CASH FLOW</t>
        </is>
      </c>
      <c r="C77" s="36">
        <f>C11-C76</f>
        <v/>
      </c>
      <c r="D77" s="36">
        <f>D11-D76</f>
        <v/>
      </c>
      <c r="E77" s="36">
        <f>C77-D77</f>
        <v/>
      </c>
      <c r="F77" s="37" t="inlineStr"/>
      <c r="G77" s="37" t="inlineStr"/>
    </row>
  </sheetData>
  <mergeCells count="22">
    <mergeCell ref="A59:B59"/>
    <mergeCell ref="A11:B11"/>
    <mergeCell ref="A51:B51"/>
    <mergeCell ref="A4:G4"/>
    <mergeCell ref="A20:G20"/>
    <mergeCell ref="A52:G52"/>
    <mergeCell ref="A68:G68"/>
    <mergeCell ref="A28:G28"/>
    <mergeCell ref="A44:G44"/>
    <mergeCell ref="A75:B75"/>
    <mergeCell ref="A60:G60"/>
    <mergeCell ref="A27:B27"/>
    <mergeCell ref="A36:G36"/>
    <mergeCell ref="A1:G1"/>
    <mergeCell ref="A76:B76"/>
    <mergeCell ref="A35:B35"/>
    <mergeCell ref="A43:B43"/>
    <mergeCell ref="A19:B19"/>
    <mergeCell ref="A12:G12"/>
    <mergeCell ref="A2:G2"/>
    <mergeCell ref="A67:B67"/>
    <mergeCell ref="A77:B7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3" customWidth="1" min="4" max="4"/>
    <col width="13" customWidth="1" min="5" max="5"/>
    <col width="10" customWidth="1" min="6" max="6"/>
    <col width="18" customWidth="1" min="7" max="7"/>
  </cols>
  <sheetData>
    <row r="1" ht="44" customHeight="1">
      <c r="A1" s="14" t="inlineStr">
        <is>
          <t>FEBRUARY · MONTHLY BUDGET</t>
        </is>
      </c>
    </row>
    <row r="2" ht="18" customHeight="1">
      <c r="A2" s="15" t="inlineStr">
        <is>
          <t>Track your income, expenses, and savings for the month</t>
        </is>
      </c>
    </row>
    <row r="3" ht="20" customHeight="1">
      <c r="A3" s="16" t="inlineStr">
        <is>
          <t>CATEGORY</t>
        </is>
      </c>
      <c r="B3" s="16" t="inlineStr">
        <is>
          <t>SUBCATEGORY</t>
        </is>
      </c>
      <c r="C3" s="16" t="inlineStr">
        <is>
          <t>BUDGETED</t>
        </is>
      </c>
      <c r="D3" s="16" t="inlineStr">
        <is>
          <t>ACTUAL</t>
        </is>
      </c>
      <c r="E3" s="16" t="inlineStr">
        <is>
          <t>DIFFERENCE</t>
        </is>
      </c>
      <c r="F3" s="16" t="inlineStr">
        <is>
          <t>% USED</t>
        </is>
      </c>
      <c r="G3" s="16" t="inlineStr">
        <is>
          <t>NOTES</t>
        </is>
      </c>
    </row>
    <row r="4" ht="18" customHeight="1">
      <c r="A4" s="17" t="inlineStr">
        <is>
          <t>INCOME</t>
        </is>
      </c>
    </row>
    <row r="5">
      <c r="A5" s="4" t="inlineStr">
        <is>
          <t>INCOME</t>
        </is>
      </c>
      <c r="B5" s="18" t="inlineStr">
        <is>
          <t>Primary Salary</t>
        </is>
      </c>
      <c r="C5" s="19" t="n">
        <v>0</v>
      </c>
      <c r="D5" s="19" t="n">
        <v>0</v>
      </c>
      <c r="E5" s="5">
        <f>C5-D5</f>
        <v/>
      </c>
      <c r="F5" s="20">
        <f>IFERROR(D5/C5,0)</f>
        <v/>
      </c>
      <c r="G5" s="18" t="inlineStr"/>
    </row>
    <row r="6">
      <c r="A6" s="8" t="inlineStr">
        <is>
          <t>INCOME</t>
        </is>
      </c>
      <c r="B6" s="21" t="inlineStr">
        <is>
          <t>Freelance</t>
        </is>
      </c>
      <c r="C6" s="22" t="n">
        <v>0</v>
      </c>
      <c r="D6" s="22" t="n">
        <v>0</v>
      </c>
      <c r="E6" s="9">
        <f>C6-D6</f>
        <v/>
      </c>
      <c r="F6" s="11">
        <f>IFERROR(D6/C6,0)</f>
        <v/>
      </c>
      <c r="G6" s="21" t="inlineStr"/>
    </row>
    <row r="7">
      <c r="A7" s="4" t="inlineStr">
        <is>
          <t>INCOME</t>
        </is>
      </c>
      <c r="B7" s="18" t="inlineStr">
        <is>
          <t>Rental Income</t>
        </is>
      </c>
      <c r="C7" s="19" t="n">
        <v>0</v>
      </c>
      <c r="D7" s="19" t="n">
        <v>0</v>
      </c>
      <c r="E7" s="5">
        <f>C7-D7</f>
        <v/>
      </c>
      <c r="F7" s="20">
        <f>IFERROR(D7/C7,0)</f>
        <v/>
      </c>
      <c r="G7" s="18" t="inlineStr"/>
    </row>
    <row r="8">
      <c r="A8" s="8" t="inlineStr">
        <is>
          <t>INCOME</t>
        </is>
      </c>
      <c r="B8" s="21" t="inlineStr">
        <is>
          <t>Dividends</t>
        </is>
      </c>
      <c r="C8" s="22" t="n">
        <v>0</v>
      </c>
      <c r="D8" s="22" t="n">
        <v>0</v>
      </c>
      <c r="E8" s="9">
        <f>C8-D8</f>
        <v/>
      </c>
      <c r="F8" s="11">
        <f>IFERROR(D8/C8,0)</f>
        <v/>
      </c>
      <c r="G8" s="21" t="inlineStr"/>
    </row>
    <row r="9">
      <c r="A9" s="4" t="inlineStr">
        <is>
          <t>INCOME</t>
        </is>
      </c>
      <c r="B9" s="18" t="inlineStr">
        <is>
          <t>Side Business</t>
        </is>
      </c>
      <c r="C9" s="19" t="n">
        <v>0</v>
      </c>
      <c r="D9" s="19" t="n">
        <v>0</v>
      </c>
      <c r="E9" s="5">
        <f>C9-D9</f>
        <v/>
      </c>
      <c r="F9" s="20">
        <f>IFERROR(D9/C9,0)</f>
        <v/>
      </c>
      <c r="G9" s="18" t="inlineStr"/>
    </row>
    <row r="10">
      <c r="A10" s="8" t="inlineStr">
        <is>
          <t>INCOME</t>
        </is>
      </c>
      <c r="B10" s="21" t="inlineStr">
        <is>
          <t>Other Income</t>
        </is>
      </c>
      <c r="C10" s="22" t="n">
        <v>0</v>
      </c>
      <c r="D10" s="22" t="n">
        <v>0</v>
      </c>
      <c r="E10" s="9">
        <f>C10-D10</f>
        <v/>
      </c>
      <c r="F10" s="11">
        <f>IFERROR(D10/C10,0)</f>
        <v/>
      </c>
      <c r="G10" s="21" t="inlineStr"/>
    </row>
    <row r="11" ht="18" customHeight="1">
      <c r="A11" s="23" t="inlineStr">
        <is>
          <t>TOTAL INCOME</t>
        </is>
      </c>
      <c r="C11" s="24">
        <f>SUM(C5:C10)</f>
        <v/>
      </c>
      <c r="D11" s="24">
        <f>SUM(D5:D10)</f>
        <v/>
      </c>
      <c r="E11" s="24">
        <f>C11-D11</f>
        <v/>
      </c>
      <c r="F11" s="25">
        <f>IFERROR(D11/C11,0)</f>
        <v/>
      </c>
      <c r="G11" s="26" t="inlineStr"/>
    </row>
    <row r="12" ht="18" customHeight="1">
      <c r="A12" s="27" t="inlineStr">
        <is>
          <t>HOUSING</t>
        </is>
      </c>
    </row>
    <row r="13">
      <c r="A13" s="18" t="inlineStr">
        <is>
          <t>HOUSING</t>
        </is>
      </c>
      <c r="B13" s="18" t="inlineStr">
        <is>
          <t>Rent/Mortgage</t>
        </is>
      </c>
      <c r="C13" s="19" t="n">
        <v>0</v>
      </c>
      <c r="D13" s="19" t="n">
        <v>0</v>
      </c>
      <c r="E13" s="5">
        <f>C13-D13</f>
        <v/>
      </c>
      <c r="F13" s="20">
        <f>IFERROR(D13/C13,0)</f>
        <v/>
      </c>
      <c r="G13" s="18" t="inlineStr"/>
    </row>
    <row r="14">
      <c r="A14" s="21" t="inlineStr">
        <is>
          <t>HOUSING</t>
        </is>
      </c>
      <c r="B14" s="21" t="inlineStr">
        <is>
          <t>Electricity</t>
        </is>
      </c>
      <c r="C14" s="22" t="n">
        <v>0</v>
      </c>
      <c r="D14" s="22" t="n">
        <v>0</v>
      </c>
      <c r="E14" s="9">
        <f>C14-D14</f>
        <v/>
      </c>
      <c r="F14" s="11">
        <f>IFERROR(D14/C14,0)</f>
        <v/>
      </c>
      <c r="G14" s="21" t="inlineStr"/>
    </row>
    <row r="15">
      <c r="A15" s="18" t="inlineStr">
        <is>
          <t>HOUSING</t>
        </is>
      </c>
      <c r="B15" s="18" t="inlineStr">
        <is>
          <t>Water</t>
        </is>
      </c>
      <c r="C15" s="19" t="n">
        <v>0</v>
      </c>
      <c r="D15" s="19" t="n">
        <v>0</v>
      </c>
      <c r="E15" s="5">
        <f>C15-D15</f>
        <v/>
      </c>
      <c r="F15" s="20">
        <f>IFERROR(D15/C15,0)</f>
        <v/>
      </c>
      <c r="G15" s="18" t="inlineStr"/>
    </row>
    <row r="16">
      <c r="A16" s="21" t="inlineStr">
        <is>
          <t>HOUSING</t>
        </is>
      </c>
      <c r="B16" s="21" t="inlineStr">
        <is>
          <t>Internet</t>
        </is>
      </c>
      <c r="C16" s="22" t="n">
        <v>0</v>
      </c>
      <c r="D16" s="22" t="n">
        <v>0</v>
      </c>
      <c r="E16" s="9">
        <f>C16-D16</f>
        <v/>
      </c>
      <c r="F16" s="11">
        <f>IFERROR(D16/C16,0)</f>
        <v/>
      </c>
      <c r="G16" s="21" t="inlineStr"/>
    </row>
    <row r="17">
      <c r="A17" s="18" t="inlineStr">
        <is>
          <t>HOUSING</t>
        </is>
      </c>
      <c r="B17" s="18" t="inlineStr">
        <is>
          <t>Home Insurance</t>
        </is>
      </c>
      <c r="C17" s="19" t="n">
        <v>0</v>
      </c>
      <c r="D17" s="19" t="n">
        <v>0</v>
      </c>
      <c r="E17" s="5">
        <f>C17-D17</f>
        <v/>
      </c>
      <c r="F17" s="20">
        <f>IFERROR(D17/C17,0)</f>
        <v/>
      </c>
      <c r="G17" s="18" t="inlineStr"/>
    </row>
    <row r="18">
      <c r="A18" s="21" t="inlineStr">
        <is>
          <t>HOUSING</t>
        </is>
      </c>
      <c r="B18" s="21" t="inlineStr">
        <is>
          <t>Maintenance</t>
        </is>
      </c>
      <c r="C18" s="22" t="n">
        <v>0</v>
      </c>
      <c r="D18" s="22" t="n">
        <v>0</v>
      </c>
      <c r="E18" s="9">
        <f>C18-D18</f>
        <v/>
      </c>
      <c r="F18" s="11">
        <f>IFERROR(D18/C18,0)</f>
        <v/>
      </c>
      <c r="G18" s="21" t="inlineStr"/>
    </row>
    <row r="19" ht="18" customHeight="1">
      <c r="A19" s="28" t="inlineStr">
        <is>
          <t>HOUSING TOTAL</t>
        </is>
      </c>
      <c r="C19" s="29">
        <f>SUM(C13:C18)</f>
        <v/>
      </c>
      <c r="D19" s="29">
        <f>SUM(D13:D18)</f>
        <v/>
      </c>
      <c r="E19" s="29">
        <f>C19-D19</f>
        <v/>
      </c>
      <c r="F19" s="30">
        <f>IFERROR(D19/C19,0)</f>
        <v/>
      </c>
      <c r="G19" s="31" t="inlineStr"/>
    </row>
    <row r="20" ht="18" customHeight="1">
      <c r="A20" s="27" t="inlineStr">
        <is>
          <t>TRANSPORT</t>
        </is>
      </c>
    </row>
    <row r="21">
      <c r="A21" s="18" t="inlineStr">
        <is>
          <t>TRANSPORT</t>
        </is>
      </c>
      <c r="B21" s="18" t="inlineStr">
        <is>
          <t>Car Payment</t>
        </is>
      </c>
      <c r="C21" s="19" t="n">
        <v>0</v>
      </c>
      <c r="D21" s="19" t="n">
        <v>0</v>
      </c>
      <c r="E21" s="5">
        <f>C21-D21</f>
        <v/>
      </c>
      <c r="F21" s="20">
        <f>IFERROR(D21/C21,0)</f>
        <v/>
      </c>
      <c r="G21" s="18" t="inlineStr"/>
    </row>
    <row r="22">
      <c r="A22" s="21" t="inlineStr">
        <is>
          <t>TRANSPORT</t>
        </is>
      </c>
      <c r="B22" s="21" t="inlineStr">
        <is>
          <t>Fuel</t>
        </is>
      </c>
      <c r="C22" s="22" t="n">
        <v>0</v>
      </c>
      <c r="D22" s="22" t="n">
        <v>0</v>
      </c>
      <c r="E22" s="9">
        <f>C22-D22</f>
        <v/>
      </c>
      <c r="F22" s="11">
        <f>IFERROR(D22/C22,0)</f>
        <v/>
      </c>
      <c r="G22" s="21" t="inlineStr"/>
    </row>
    <row r="23">
      <c r="A23" s="18" t="inlineStr">
        <is>
          <t>TRANSPORT</t>
        </is>
      </c>
      <c r="B23" s="18" t="inlineStr">
        <is>
          <t>Car Insurance</t>
        </is>
      </c>
      <c r="C23" s="19" t="n">
        <v>0</v>
      </c>
      <c r="D23" s="19" t="n">
        <v>0</v>
      </c>
      <c r="E23" s="5">
        <f>C23-D23</f>
        <v/>
      </c>
      <c r="F23" s="20">
        <f>IFERROR(D23/C23,0)</f>
        <v/>
      </c>
      <c r="G23" s="18" t="inlineStr"/>
    </row>
    <row r="24">
      <c r="A24" s="21" t="inlineStr">
        <is>
          <t>TRANSPORT</t>
        </is>
      </c>
      <c r="B24" s="21" t="inlineStr">
        <is>
          <t>Parking</t>
        </is>
      </c>
      <c r="C24" s="22" t="n">
        <v>0</v>
      </c>
      <c r="D24" s="22" t="n">
        <v>0</v>
      </c>
      <c r="E24" s="9">
        <f>C24-D24</f>
        <v/>
      </c>
      <c r="F24" s="11">
        <f>IFERROR(D24/C24,0)</f>
        <v/>
      </c>
      <c r="G24" s="21" t="inlineStr"/>
    </row>
    <row r="25">
      <c r="A25" s="18" t="inlineStr">
        <is>
          <t>TRANSPORT</t>
        </is>
      </c>
      <c r="B25" s="18" t="inlineStr">
        <is>
          <t>Public Transport</t>
        </is>
      </c>
      <c r="C25" s="19" t="n">
        <v>0</v>
      </c>
      <c r="D25" s="19" t="n">
        <v>0</v>
      </c>
      <c r="E25" s="5">
        <f>C25-D25</f>
        <v/>
      </c>
      <c r="F25" s="20">
        <f>IFERROR(D25/C25,0)</f>
        <v/>
      </c>
      <c r="G25" s="18" t="inlineStr"/>
    </row>
    <row r="26">
      <c r="A26" s="21" t="inlineStr">
        <is>
          <t>TRANSPORT</t>
        </is>
      </c>
      <c r="B26" s="21" t="inlineStr">
        <is>
          <t>Ride Share</t>
        </is>
      </c>
      <c r="C26" s="22" t="n">
        <v>0</v>
      </c>
      <c r="D26" s="22" t="n">
        <v>0</v>
      </c>
      <c r="E26" s="9">
        <f>C26-D26</f>
        <v/>
      </c>
      <c r="F26" s="11">
        <f>IFERROR(D26/C26,0)</f>
        <v/>
      </c>
      <c r="G26" s="21" t="inlineStr"/>
    </row>
    <row r="27" ht="18" customHeight="1">
      <c r="A27" s="28" t="inlineStr">
        <is>
          <t>TRANSPORT TOTAL</t>
        </is>
      </c>
      <c r="C27" s="29">
        <f>SUM(C21:C26)</f>
        <v/>
      </c>
      <c r="D27" s="29">
        <f>SUM(D21:D26)</f>
        <v/>
      </c>
      <c r="E27" s="29">
        <f>C27-D27</f>
        <v/>
      </c>
      <c r="F27" s="30">
        <f>IFERROR(D27/C27,0)</f>
        <v/>
      </c>
      <c r="G27" s="31" t="inlineStr"/>
    </row>
    <row r="28" ht="18" customHeight="1">
      <c r="A28" s="27" t="inlineStr">
        <is>
          <t>FOOD &amp; DINING</t>
        </is>
      </c>
    </row>
    <row r="29">
      <c r="A29" s="18" t="inlineStr">
        <is>
          <t>FOOD &amp; DINING</t>
        </is>
      </c>
      <c r="B29" s="18" t="inlineStr">
        <is>
          <t>Groceries</t>
        </is>
      </c>
      <c r="C29" s="19" t="n">
        <v>0</v>
      </c>
      <c r="D29" s="19" t="n">
        <v>0</v>
      </c>
      <c r="E29" s="5">
        <f>C29-D29</f>
        <v/>
      </c>
      <c r="F29" s="20">
        <f>IFERROR(D29/C29,0)</f>
        <v/>
      </c>
      <c r="G29" s="18" t="inlineStr"/>
    </row>
    <row r="30">
      <c r="A30" s="21" t="inlineStr">
        <is>
          <t>FOOD &amp; DINING</t>
        </is>
      </c>
      <c r="B30" s="21" t="inlineStr">
        <is>
          <t>Restaurants</t>
        </is>
      </c>
      <c r="C30" s="22" t="n">
        <v>0</v>
      </c>
      <c r="D30" s="22" t="n">
        <v>0</v>
      </c>
      <c r="E30" s="9">
        <f>C30-D30</f>
        <v/>
      </c>
      <c r="F30" s="11">
        <f>IFERROR(D30/C30,0)</f>
        <v/>
      </c>
      <c r="G30" s="21" t="inlineStr"/>
    </row>
    <row r="31">
      <c r="A31" s="18" t="inlineStr">
        <is>
          <t>FOOD &amp; DINING</t>
        </is>
      </c>
      <c r="B31" s="18" t="inlineStr">
        <is>
          <t>Coffee Shops</t>
        </is>
      </c>
      <c r="C31" s="19" t="n">
        <v>0</v>
      </c>
      <c r="D31" s="19" t="n">
        <v>0</v>
      </c>
      <c r="E31" s="5">
        <f>C31-D31</f>
        <v/>
      </c>
      <c r="F31" s="20">
        <f>IFERROR(D31/C31,0)</f>
        <v/>
      </c>
      <c r="G31" s="18" t="inlineStr"/>
    </row>
    <row r="32">
      <c r="A32" s="21" t="inlineStr">
        <is>
          <t>FOOD &amp; DINING</t>
        </is>
      </c>
      <c r="B32" s="21" t="inlineStr">
        <is>
          <t>Food Delivery</t>
        </is>
      </c>
      <c r="C32" s="22" t="n">
        <v>0</v>
      </c>
      <c r="D32" s="22" t="n">
        <v>0</v>
      </c>
      <c r="E32" s="9">
        <f>C32-D32</f>
        <v/>
      </c>
      <c r="F32" s="11">
        <f>IFERROR(D32/C32,0)</f>
        <v/>
      </c>
      <c r="G32" s="21" t="inlineStr"/>
    </row>
    <row r="33">
      <c r="A33" s="18" t="inlineStr">
        <is>
          <t>FOOD &amp; DINING</t>
        </is>
      </c>
      <c r="B33" s="18" t="inlineStr">
        <is>
          <t>Work Lunch</t>
        </is>
      </c>
      <c r="C33" s="19" t="n">
        <v>0</v>
      </c>
      <c r="D33" s="19" t="n">
        <v>0</v>
      </c>
      <c r="E33" s="5">
        <f>C33-D33</f>
        <v/>
      </c>
      <c r="F33" s="20">
        <f>IFERROR(D33/C33,0)</f>
        <v/>
      </c>
      <c r="G33" s="18" t="inlineStr"/>
    </row>
    <row r="34">
      <c r="A34" s="21" t="inlineStr">
        <is>
          <t>FOOD &amp; DINING</t>
        </is>
      </c>
      <c r="B34" s="21" t="inlineStr">
        <is>
          <t>Other</t>
        </is>
      </c>
      <c r="C34" s="22" t="n">
        <v>0</v>
      </c>
      <c r="D34" s="22" t="n">
        <v>0</v>
      </c>
      <c r="E34" s="9">
        <f>C34-D34</f>
        <v/>
      </c>
      <c r="F34" s="11">
        <f>IFERROR(D34/C34,0)</f>
        <v/>
      </c>
      <c r="G34" s="21" t="inlineStr"/>
    </row>
    <row r="35" ht="18" customHeight="1">
      <c r="A35" s="28" t="inlineStr">
        <is>
          <t>FOOD &amp; DINING TOTAL</t>
        </is>
      </c>
      <c r="C35" s="29">
        <f>SUM(C29:C34)</f>
        <v/>
      </c>
      <c r="D35" s="29">
        <f>SUM(D29:D34)</f>
        <v/>
      </c>
      <c r="E35" s="29">
        <f>C35-D35</f>
        <v/>
      </c>
      <c r="F35" s="30">
        <f>IFERROR(D35/C35,0)</f>
        <v/>
      </c>
      <c r="G35" s="31" t="inlineStr"/>
    </row>
    <row r="36" ht="18" customHeight="1">
      <c r="A36" s="27" t="inlineStr">
        <is>
          <t>HEALTH &amp; WELLNESS</t>
        </is>
      </c>
    </row>
    <row r="37">
      <c r="A37" s="18" t="inlineStr">
        <is>
          <t>HEALTH &amp; WELLNESS</t>
        </is>
      </c>
      <c r="B37" s="18" t="inlineStr">
        <is>
          <t>Health Insurance</t>
        </is>
      </c>
      <c r="C37" s="19" t="n">
        <v>0</v>
      </c>
      <c r="D37" s="19" t="n">
        <v>0</v>
      </c>
      <c r="E37" s="5">
        <f>C37-D37</f>
        <v/>
      </c>
      <c r="F37" s="20">
        <f>IFERROR(D37/C37,0)</f>
        <v/>
      </c>
      <c r="G37" s="18" t="inlineStr"/>
    </row>
    <row r="38">
      <c r="A38" s="21" t="inlineStr">
        <is>
          <t>HEALTH &amp; WELLNESS</t>
        </is>
      </c>
      <c r="B38" s="21" t="inlineStr">
        <is>
          <t>Gym Membership</t>
        </is>
      </c>
      <c r="C38" s="22" t="n">
        <v>0</v>
      </c>
      <c r="D38" s="22" t="n">
        <v>0</v>
      </c>
      <c r="E38" s="9">
        <f>C38-D38</f>
        <v/>
      </c>
      <c r="F38" s="11">
        <f>IFERROR(D38/C38,0)</f>
        <v/>
      </c>
      <c r="G38" s="21" t="inlineStr"/>
    </row>
    <row r="39">
      <c r="A39" s="18" t="inlineStr">
        <is>
          <t>HEALTH &amp; WELLNESS</t>
        </is>
      </c>
      <c r="B39" s="18" t="inlineStr">
        <is>
          <t>Pharmacy</t>
        </is>
      </c>
      <c r="C39" s="19" t="n">
        <v>0</v>
      </c>
      <c r="D39" s="19" t="n">
        <v>0</v>
      </c>
      <c r="E39" s="5">
        <f>C39-D39</f>
        <v/>
      </c>
      <c r="F39" s="20">
        <f>IFERROR(D39/C39,0)</f>
        <v/>
      </c>
      <c r="G39" s="18" t="inlineStr"/>
    </row>
    <row r="40">
      <c r="A40" s="21" t="inlineStr">
        <is>
          <t>HEALTH &amp; WELLNESS</t>
        </is>
      </c>
      <c r="B40" s="21" t="inlineStr">
        <is>
          <t>Doctor Visits</t>
        </is>
      </c>
      <c r="C40" s="22" t="n">
        <v>0</v>
      </c>
      <c r="D40" s="22" t="n">
        <v>0</v>
      </c>
      <c r="E40" s="9">
        <f>C40-D40</f>
        <v/>
      </c>
      <c r="F40" s="11">
        <f>IFERROR(D40/C40,0)</f>
        <v/>
      </c>
      <c r="G40" s="21" t="inlineStr"/>
    </row>
    <row r="41">
      <c r="A41" s="18" t="inlineStr">
        <is>
          <t>HEALTH &amp; WELLNESS</t>
        </is>
      </c>
      <c r="B41" s="18" t="inlineStr">
        <is>
          <t>Dental</t>
        </is>
      </c>
      <c r="C41" s="19" t="n">
        <v>0</v>
      </c>
      <c r="D41" s="19" t="n">
        <v>0</v>
      </c>
      <c r="E41" s="5">
        <f>C41-D41</f>
        <v/>
      </c>
      <c r="F41" s="20">
        <f>IFERROR(D41/C41,0)</f>
        <v/>
      </c>
      <c r="G41" s="18" t="inlineStr"/>
    </row>
    <row r="42">
      <c r="A42" s="21" t="inlineStr">
        <is>
          <t>HEALTH &amp; WELLNESS</t>
        </is>
      </c>
      <c r="B42" s="21" t="inlineStr">
        <is>
          <t>Mental Health</t>
        </is>
      </c>
      <c r="C42" s="22" t="n">
        <v>0</v>
      </c>
      <c r="D42" s="22" t="n">
        <v>0</v>
      </c>
      <c r="E42" s="9">
        <f>C42-D42</f>
        <v/>
      </c>
      <c r="F42" s="11">
        <f>IFERROR(D42/C42,0)</f>
        <v/>
      </c>
      <c r="G42" s="21" t="inlineStr"/>
    </row>
    <row r="43" ht="18" customHeight="1">
      <c r="A43" s="28" t="inlineStr">
        <is>
          <t>HEALTH &amp; WELLNESS TOTAL</t>
        </is>
      </c>
      <c r="C43" s="29">
        <f>SUM(C37:C42)</f>
        <v/>
      </c>
      <c r="D43" s="29">
        <f>SUM(D37:D42)</f>
        <v/>
      </c>
      <c r="E43" s="29">
        <f>C43-D43</f>
        <v/>
      </c>
      <c r="F43" s="30">
        <f>IFERROR(D43/C43,0)</f>
        <v/>
      </c>
      <c r="G43" s="31" t="inlineStr"/>
    </row>
    <row r="44" ht="18" customHeight="1">
      <c r="A44" s="27" t="inlineStr">
        <is>
          <t>LIFESTYLE</t>
        </is>
      </c>
    </row>
    <row r="45">
      <c r="A45" s="18" t="inlineStr">
        <is>
          <t>LIFESTYLE</t>
        </is>
      </c>
      <c r="B45" s="18" t="inlineStr">
        <is>
          <t>Streaming Services</t>
        </is>
      </c>
      <c r="C45" s="19" t="n">
        <v>0</v>
      </c>
      <c r="D45" s="19" t="n">
        <v>0</v>
      </c>
      <c r="E45" s="5">
        <f>C45-D45</f>
        <v/>
      </c>
      <c r="F45" s="20">
        <f>IFERROR(D45/C45,0)</f>
        <v/>
      </c>
      <c r="G45" s="18" t="inlineStr"/>
    </row>
    <row r="46">
      <c r="A46" s="21" t="inlineStr">
        <is>
          <t>LIFESTYLE</t>
        </is>
      </c>
      <c r="B46" s="21" t="inlineStr">
        <is>
          <t>Entertainment</t>
        </is>
      </c>
      <c r="C46" s="22" t="n">
        <v>0</v>
      </c>
      <c r="D46" s="22" t="n">
        <v>0</v>
      </c>
      <c r="E46" s="9">
        <f>C46-D46</f>
        <v/>
      </c>
      <c r="F46" s="11">
        <f>IFERROR(D46/C46,0)</f>
        <v/>
      </c>
      <c r="G46" s="21" t="inlineStr"/>
    </row>
    <row r="47">
      <c r="A47" s="18" t="inlineStr">
        <is>
          <t>LIFESTYLE</t>
        </is>
      </c>
      <c r="B47" s="18" t="inlineStr">
        <is>
          <t>Hobbies</t>
        </is>
      </c>
      <c r="C47" s="19" t="n">
        <v>0</v>
      </c>
      <c r="D47" s="19" t="n">
        <v>0</v>
      </c>
      <c r="E47" s="5">
        <f>C47-D47</f>
        <v/>
      </c>
      <c r="F47" s="20">
        <f>IFERROR(D47/C47,0)</f>
        <v/>
      </c>
      <c r="G47" s="18" t="inlineStr"/>
    </row>
    <row r="48">
      <c r="A48" s="21" t="inlineStr">
        <is>
          <t>LIFESTYLE</t>
        </is>
      </c>
      <c r="B48" s="21" t="inlineStr">
        <is>
          <t>Personal Care</t>
        </is>
      </c>
      <c r="C48" s="22" t="n">
        <v>0</v>
      </c>
      <c r="D48" s="22" t="n">
        <v>0</v>
      </c>
      <c r="E48" s="9">
        <f>C48-D48</f>
        <v/>
      </c>
      <c r="F48" s="11">
        <f>IFERROR(D48/C48,0)</f>
        <v/>
      </c>
      <c r="G48" s="21" t="inlineStr"/>
    </row>
    <row r="49">
      <c r="A49" s="18" t="inlineStr">
        <is>
          <t>LIFESTYLE</t>
        </is>
      </c>
      <c r="B49" s="18" t="inlineStr">
        <is>
          <t>Books</t>
        </is>
      </c>
      <c r="C49" s="19" t="n">
        <v>0</v>
      </c>
      <c r="D49" s="19" t="n">
        <v>0</v>
      </c>
      <c r="E49" s="5">
        <f>C49-D49</f>
        <v/>
      </c>
      <c r="F49" s="20">
        <f>IFERROR(D49/C49,0)</f>
        <v/>
      </c>
      <c r="G49" s="18" t="inlineStr"/>
    </row>
    <row r="50">
      <c r="A50" s="21" t="inlineStr">
        <is>
          <t>LIFESTYLE</t>
        </is>
      </c>
      <c r="B50" s="21" t="inlineStr">
        <is>
          <t>Clothing</t>
        </is>
      </c>
      <c r="C50" s="22" t="n">
        <v>0</v>
      </c>
      <c r="D50" s="22" t="n">
        <v>0</v>
      </c>
      <c r="E50" s="9">
        <f>C50-D50</f>
        <v/>
      </c>
      <c r="F50" s="11">
        <f>IFERROR(D50/C50,0)</f>
        <v/>
      </c>
      <c r="G50" s="21" t="inlineStr"/>
    </row>
    <row r="51" ht="18" customHeight="1">
      <c r="A51" s="28" t="inlineStr">
        <is>
          <t>LIFESTYLE TOTAL</t>
        </is>
      </c>
      <c r="C51" s="29">
        <f>SUM(C45:C50)</f>
        <v/>
      </c>
      <c r="D51" s="29">
        <f>SUM(D45:D50)</f>
        <v/>
      </c>
      <c r="E51" s="29">
        <f>C51-D51</f>
        <v/>
      </c>
      <c r="F51" s="30">
        <f>IFERROR(D51/C51,0)</f>
        <v/>
      </c>
      <c r="G51" s="31" t="inlineStr"/>
    </row>
    <row r="52" ht="18" customHeight="1">
      <c r="A52" s="27" t="inlineStr">
        <is>
          <t>CHILDREN &amp; FAMILY</t>
        </is>
      </c>
    </row>
    <row r="53">
      <c r="A53" s="18" t="inlineStr">
        <is>
          <t>CHILDREN &amp; FAMILY</t>
        </is>
      </c>
      <c r="B53" s="18" t="inlineStr">
        <is>
          <t>Childcare</t>
        </is>
      </c>
      <c r="C53" s="19" t="n">
        <v>0</v>
      </c>
      <c r="D53" s="19" t="n">
        <v>0</v>
      </c>
      <c r="E53" s="5">
        <f>C53-D53</f>
        <v/>
      </c>
      <c r="F53" s="20">
        <f>IFERROR(D53/C53,0)</f>
        <v/>
      </c>
      <c r="G53" s="18" t="inlineStr"/>
    </row>
    <row r="54">
      <c r="A54" s="21" t="inlineStr">
        <is>
          <t>CHILDREN &amp; FAMILY</t>
        </is>
      </c>
      <c r="B54" s="21" t="inlineStr">
        <is>
          <t>School Fees</t>
        </is>
      </c>
      <c r="C54" s="22" t="n">
        <v>0</v>
      </c>
      <c r="D54" s="22" t="n">
        <v>0</v>
      </c>
      <c r="E54" s="9">
        <f>C54-D54</f>
        <v/>
      </c>
      <c r="F54" s="11">
        <f>IFERROR(D54/C54,0)</f>
        <v/>
      </c>
      <c r="G54" s="21" t="inlineStr"/>
    </row>
    <row r="55">
      <c r="A55" s="18" t="inlineStr">
        <is>
          <t>CHILDREN &amp; FAMILY</t>
        </is>
      </c>
      <c r="B55" s="18" t="inlineStr">
        <is>
          <t>Activities</t>
        </is>
      </c>
      <c r="C55" s="19" t="n">
        <v>0</v>
      </c>
      <c r="D55" s="19" t="n">
        <v>0</v>
      </c>
      <c r="E55" s="5">
        <f>C55-D55</f>
        <v/>
      </c>
      <c r="F55" s="20">
        <f>IFERROR(D55/C55,0)</f>
        <v/>
      </c>
      <c r="G55" s="18" t="inlineStr"/>
    </row>
    <row r="56">
      <c r="A56" s="21" t="inlineStr">
        <is>
          <t>CHILDREN &amp; FAMILY</t>
        </is>
      </c>
      <c r="B56" s="21" t="inlineStr">
        <is>
          <t>Toys &amp; Gifts</t>
        </is>
      </c>
      <c r="C56" s="22" t="n">
        <v>0</v>
      </c>
      <c r="D56" s="22" t="n">
        <v>0</v>
      </c>
      <c r="E56" s="9">
        <f>C56-D56</f>
        <v/>
      </c>
      <c r="F56" s="11">
        <f>IFERROR(D56/C56,0)</f>
        <v/>
      </c>
      <c r="G56" s="21" t="inlineStr"/>
    </row>
    <row r="57">
      <c r="A57" s="18" t="inlineStr">
        <is>
          <t>CHILDREN &amp; FAMILY</t>
        </is>
      </c>
      <c r="B57" s="18" t="inlineStr">
        <is>
          <t>Family Outings</t>
        </is>
      </c>
      <c r="C57" s="19" t="n">
        <v>0</v>
      </c>
      <c r="D57" s="19" t="n">
        <v>0</v>
      </c>
      <c r="E57" s="5">
        <f>C57-D57</f>
        <v/>
      </c>
      <c r="F57" s="20">
        <f>IFERROR(D57/C57,0)</f>
        <v/>
      </c>
      <c r="G57" s="18" t="inlineStr"/>
    </row>
    <row r="58">
      <c r="A58" s="21" t="inlineStr">
        <is>
          <t>CHILDREN &amp; FAMILY</t>
        </is>
      </c>
      <c r="B58" s="21" t="inlineStr">
        <is>
          <t>Other</t>
        </is>
      </c>
      <c r="C58" s="22" t="n">
        <v>0</v>
      </c>
      <c r="D58" s="22" t="n">
        <v>0</v>
      </c>
      <c r="E58" s="9">
        <f>C58-D58</f>
        <v/>
      </c>
      <c r="F58" s="11">
        <f>IFERROR(D58/C58,0)</f>
        <v/>
      </c>
      <c r="G58" s="21" t="inlineStr"/>
    </row>
    <row r="59" ht="18" customHeight="1">
      <c r="A59" s="28" t="inlineStr">
        <is>
          <t>CHILDREN &amp; FAMILY TOTAL</t>
        </is>
      </c>
      <c r="C59" s="29">
        <f>SUM(C53:C58)</f>
        <v/>
      </c>
      <c r="D59" s="29">
        <f>SUM(D53:D58)</f>
        <v/>
      </c>
      <c r="E59" s="29">
        <f>C59-D59</f>
        <v/>
      </c>
      <c r="F59" s="30">
        <f>IFERROR(D59/C59,0)</f>
        <v/>
      </c>
      <c r="G59" s="31" t="inlineStr"/>
    </row>
    <row r="60" ht="18" customHeight="1">
      <c r="A60" s="27" t="inlineStr">
        <is>
          <t>SAVINGS &amp; INVESTMENTS</t>
        </is>
      </c>
    </row>
    <row r="61">
      <c r="A61" s="18" t="inlineStr">
        <is>
          <t>SAVINGS &amp; INVESTMENTS</t>
        </is>
      </c>
      <c r="B61" s="18" t="inlineStr">
        <is>
          <t>Emergency Fund</t>
        </is>
      </c>
      <c r="C61" s="19" t="n">
        <v>0</v>
      </c>
      <c r="D61" s="19" t="n">
        <v>0</v>
      </c>
      <c r="E61" s="5">
        <f>C61-D61</f>
        <v/>
      </c>
      <c r="F61" s="20">
        <f>IFERROR(D61/C61,0)</f>
        <v/>
      </c>
      <c r="G61" s="18" t="inlineStr"/>
    </row>
    <row r="62">
      <c r="A62" s="21" t="inlineStr">
        <is>
          <t>SAVINGS &amp; INVESTMENTS</t>
        </is>
      </c>
      <c r="B62" s="21" t="inlineStr">
        <is>
          <t>Pension/IRA</t>
        </is>
      </c>
      <c r="C62" s="22" t="n">
        <v>0</v>
      </c>
      <c r="D62" s="22" t="n">
        <v>0</v>
      </c>
      <c r="E62" s="9">
        <f>C62-D62</f>
        <v/>
      </c>
      <c r="F62" s="11">
        <f>IFERROR(D62/C62,0)</f>
        <v/>
      </c>
      <c r="G62" s="21" t="inlineStr"/>
    </row>
    <row r="63">
      <c r="A63" s="18" t="inlineStr">
        <is>
          <t>SAVINGS &amp; INVESTMENTS</t>
        </is>
      </c>
      <c r="B63" s="18" t="inlineStr">
        <is>
          <t>Stocks &amp; ETFs</t>
        </is>
      </c>
      <c r="C63" s="19" t="n">
        <v>0</v>
      </c>
      <c r="D63" s="19" t="n">
        <v>0</v>
      </c>
      <c r="E63" s="5">
        <f>C63-D63</f>
        <v/>
      </c>
      <c r="F63" s="20">
        <f>IFERROR(D63/C63,0)</f>
        <v/>
      </c>
      <c r="G63" s="18" t="inlineStr"/>
    </row>
    <row r="64">
      <c r="A64" s="21" t="inlineStr">
        <is>
          <t>SAVINGS &amp; INVESTMENTS</t>
        </is>
      </c>
      <c r="B64" s="21" t="inlineStr">
        <is>
          <t>Vacation Fund</t>
        </is>
      </c>
      <c r="C64" s="22" t="n">
        <v>0</v>
      </c>
      <c r="D64" s="22" t="n">
        <v>0</v>
      </c>
      <c r="E64" s="9">
        <f>C64-D64</f>
        <v/>
      </c>
      <c r="F64" s="11">
        <f>IFERROR(D64/C64,0)</f>
        <v/>
      </c>
      <c r="G64" s="21" t="inlineStr"/>
    </row>
    <row r="65">
      <c r="A65" s="18" t="inlineStr">
        <is>
          <t>SAVINGS &amp; INVESTMENTS</t>
        </is>
      </c>
      <c r="B65" s="18" t="inlineStr">
        <is>
          <t>Home Fund</t>
        </is>
      </c>
      <c r="C65" s="19" t="n">
        <v>0</v>
      </c>
      <c r="D65" s="19" t="n">
        <v>0</v>
      </c>
      <c r="E65" s="5">
        <f>C65-D65</f>
        <v/>
      </c>
      <c r="F65" s="20">
        <f>IFERROR(D65/C65,0)</f>
        <v/>
      </c>
      <c r="G65" s="18" t="inlineStr"/>
    </row>
    <row r="66">
      <c r="A66" s="21" t="inlineStr">
        <is>
          <t>SAVINGS &amp; INVESTMENTS</t>
        </is>
      </c>
      <c r="B66" s="21" t="inlineStr">
        <is>
          <t>Other</t>
        </is>
      </c>
      <c r="C66" s="22" t="n">
        <v>0</v>
      </c>
      <c r="D66" s="22" t="n">
        <v>0</v>
      </c>
      <c r="E66" s="9">
        <f>C66-D66</f>
        <v/>
      </c>
      <c r="F66" s="11">
        <f>IFERROR(D66/C66,0)</f>
        <v/>
      </c>
      <c r="G66" s="21" t="inlineStr"/>
    </row>
    <row r="67" ht="18" customHeight="1">
      <c r="A67" s="28" t="inlineStr">
        <is>
          <t>SAVINGS &amp; INVESTMENTS TOTAL</t>
        </is>
      </c>
      <c r="C67" s="29">
        <f>SUM(C61:C66)</f>
        <v/>
      </c>
      <c r="D67" s="29">
        <f>SUM(D61:D66)</f>
        <v/>
      </c>
      <c r="E67" s="29">
        <f>C67-D67</f>
        <v/>
      </c>
      <c r="F67" s="30">
        <f>IFERROR(D67/C67,0)</f>
        <v/>
      </c>
      <c r="G67" s="31" t="inlineStr"/>
    </row>
    <row r="68" ht="18" customHeight="1">
      <c r="A68" s="27" t="inlineStr">
        <is>
          <t>DEBT PAYMENTS</t>
        </is>
      </c>
    </row>
    <row r="69">
      <c r="A69" s="18" t="inlineStr">
        <is>
          <t>DEBT PAYMENTS</t>
        </is>
      </c>
      <c r="B69" s="18" t="inlineStr">
        <is>
          <t>Credit Card 1</t>
        </is>
      </c>
      <c r="C69" s="19" t="n">
        <v>0</v>
      </c>
      <c r="D69" s="19" t="n">
        <v>0</v>
      </c>
      <c r="E69" s="5">
        <f>C69-D69</f>
        <v/>
      </c>
      <c r="F69" s="20">
        <f>IFERROR(D69/C69,0)</f>
        <v/>
      </c>
      <c r="G69" s="18" t="inlineStr"/>
    </row>
    <row r="70">
      <c r="A70" s="21" t="inlineStr">
        <is>
          <t>DEBT PAYMENTS</t>
        </is>
      </c>
      <c r="B70" s="21" t="inlineStr">
        <is>
          <t>Credit Card 2</t>
        </is>
      </c>
      <c r="C70" s="22" t="n">
        <v>0</v>
      </c>
      <c r="D70" s="22" t="n">
        <v>0</v>
      </c>
      <c r="E70" s="9">
        <f>C70-D70</f>
        <v/>
      </c>
      <c r="F70" s="11">
        <f>IFERROR(D70/C70,0)</f>
        <v/>
      </c>
      <c r="G70" s="21" t="inlineStr"/>
    </row>
    <row r="71">
      <c r="A71" s="18" t="inlineStr">
        <is>
          <t>DEBT PAYMENTS</t>
        </is>
      </c>
      <c r="B71" s="18" t="inlineStr">
        <is>
          <t>Student Loan</t>
        </is>
      </c>
      <c r="C71" s="19" t="n">
        <v>0</v>
      </c>
      <c r="D71" s="19" t="n">
        <v>0</v>
      </c>
      <c r="E71" s="5">
        <f>C71-D71</f>
        <v/>
      </c>
      <c r="F71" s="20">
        <f>IFERROR(D71/C71,0)</f>
        <v/>
      </c>
      <c r="G71" s="18" t="inlineStr"/>
    </row>
    <row r="72">
      <c r="A72" s="21" t="inlineStr">
        <is>
          <t>DEBT PAYMENTS</t>
        </is>
      </c>
      <c r="B72" s="21" t="inlineStr">
        <is>
          <t>Car Loan</t>
        </is>
      </c>
      <c r="C72" s="22" t="n">
        <v>0</v>
      </c>
      <c r="D72" s="22" t="n">
        <v>0</v>
      </c>
      <c r="E72" s="9">
        <f>C72-D72</f>
        <v/>
      </c>
      <c r="F72" s="11">
        <f>IFERROR(D72/C72,0)</f>
        <v/>
      </c>
      <c r="G72" s="21" t="inlineStr"/>
    </row>
    <row r="73">
      <c r="A73" s="18" t="inlineStr">
        <is>
          <t>DEBT PAYMENTS</t>
        </is>
      </c>
      <c r="B73" s="18" t="inlineStr">
        <is>
          <t>Personal Loan</t>
        </is>
      </c>
      <c r="C73" s="19" t="n">
        <v>0</v>
      </c>
      <c r="D73" s="19" t="n">
        <v>0</v>
      </c>
      <c r="E73" s="5">
        <f>C73-D73</f>
        <v/>
      </c>
      <c r="F73" s="20">
        <f>IFERROR(D73/C73,0)</f>
        <v/>
      </c>
      <c r="G73" s="18" t="inlineStr"/>
    </row>
    <row r="74">
      <c r="A74" s="21" t="inlineStr">
        <is>
          <t>DEBT PAYMENTS</t>
        </is>
      </c>
      <c r="B74" s="21" t="inlineStr">
        <is>
          <t>Other</t>
        </is>
      </c>
      <c r="C74" s="22" t="n">
        <v>0</v>
      </c>
      <c r="D74" s="22" t="n">
        <v>0</v>
      </c>
      <c r="E74" s="9">
        <f>C74-D74</f>
        <v/>
      </c>
      <c r="F74" s="11">
        <f>IFERROR(D74/C74,0)</f>
        <v/>
      </c>
      <c r="G74" s="21" t="inlineStr"/>
    </row>
    <row r="75" ht="18" customHeight="1">
      <c r="A75" s="28" t="inlineStr">
        <is>
          <t>DEBT PAYMENTS TOTAL</t>
        </is>
      </c>
      <c r="C75" s="29">
        <f>SUM(C69:C74)</f>
        <v/>
      </c>
      <c r="D75" s="29">
        <f>SUM(D69:D74)</f>
        <v/>
      </c>
      <c r="E75" s="29">
        <f>C75-D75</f>
        <v/>
      </c>
      <c r="F75" s="30">
        <f>IFERROR(D75/C75,0)</f>
        <v/>
      </c>
      <c r="G75" s="31" t="inlineStr"/>
    </row>
    <row r="76" ht="22" customHeight="1">
      <c r="A76" s="32" t="inlineStr">
        <is>
          <t>GRAND TOTAL EXPENSES</t>
        </is>
      </c>
      <c r="C76" s="33">
        <f>SUM(C19,C27,C35,C43,C51,C59,C67,C75)</f>
        <v/>
      </c>
      <c r="D76" s="33">
        <f>D19+D27+D35+D43+D51+D59+D67+D75</f>
        <v/>
      </c>
      <c r="E76" s="33">
        <f>C76-D76</f>
        <v/>
      </c>
      <c r="F76" s="34">
        <f>IFERROR(D76/C76,0)</f>
        <v/>
      </c>
      <c r="G76" s="35" t="inlineStr"/>
    </row>
    <row r="77" ht="22" customHeight="1">
      <c r="A77" s="17" t="inlineStr">
        <is>
          <t>NET CASH FLOW</t>
        </is>
      </c>
      <c r="C77" s="36">
        <f>C11-C76</f>
        <v/>
      </c>
      <c r="D77" s="36">
        <f>D11-D76</f>
        <v/>
      </c>
      <c r="E77" s="36">
        <f>C77-D77</f>
        <v/>
      </c>
      <c r="F77" s="37" t="inlineStr"/>
      <c r="G77" s="37" t="inlineStr"/>
    </row>
  </sheetData>
  <mergeCells count="22">
    <mergeCell ref="A59:B59"/>
    <mergeCell ref="A11:B11"/>
    <mergeCell ref="A51:B51"/>
    <mergeCell ref="A4:G4"/>
    <mergeCell ref="A20:G20"/>
    <mergeCell ref="A52:G52"/>
    <mergeCell ref="A68:G68"/>
    <mergeCell ref="A28:G28"/>
    <mergeCell ref="A44:G44"/>
    <mergeCell ref="A75:B75"/>
    <mergeCell ref="A60:G60"/>
    <mergeCell ref="A27:B27"/>
    <mergeCell ref="A36:G36"/>
    <mergeCell ref="A1:G1"/>
    <mergeCell ref="A76:B76"/>
    <mergeCell ref="A35:B35"/>
    <mergeCell ref="A43:B43"/>
    <mergeCell ref="A19:B19"/>
    <mergeCell ref="A12:G12"/>
    <mergeCell ref="A2:G2"/>
    <mergeCell ref="A67:B67"/>
    <mergeCell ref="A77:B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3" customWidth="1" min="4" max="4"/>
    <col width="13" customWidth="1" min="5" max="5"/>
    <col width="10" customWidth="1" min="6" max="6"/>
    <col width="18" customWidth="1" min="7" max="7"/>
  </cols>
  <sheetData>
    <row r="1" ht="44" customHeight="1">
      <c r="A1" s="14" t="inlineStr">
        <is>
          <t>MARCH · MONTHLY BUDGET</t>
        </is>
      </c>
    </row>
    <row r="2" ht="18" customHeight="1">
      <c r="A2" s="15" t="inlineStr">
        <is>
          <t>Track your income, expenses, and savings for the month</t>
        </is>
      </c>
    </row>
    <row r="3" ht="20" customHeight="1">
      <c r="A3" s="16" t="inlineStr">
        <is>
          <t>CATEGORY</t>
        </is>
      </c>
      <c r="B3" s="16" t="inlineStr">
        <is>
          <t>SUBCATEGORY</t>
        </is>
      </c>
      <c r="C3" s="16" t="inlineStr">
        <is>
          <t>BUDGETED</t>
        </is>
      </c>
      <c r="D3" s="16" t="inlineStr">
        <is>
          <t>ACTUAL</t>
        </is>
      </c>
      <c r="E3" s="16" t="inlineStr">
        <is>
          <t>DIFFERENCE</t>
        </is>
      </c>
      <c r="F3" s="16" t="inlineStr">
        <is>
          <t>% USED</t>
        </is>
      </c>
      <c r="G3" s="16" t="inlineStr">
        <is>
          <t>NOTES</t>
        </is>
      </c>
    </row>
    <row r="4" ht="18" customHeight="1">
      <c r="A4" s="17" t="inlineStr">
        <is>
          <t>INCOME</t>
        </is>
      </c>
    </row>
    <row r="5">
      <c r="A5" s="4" t="inlineStr">
        <is>
          <t>INCOME</t>
        </is>
      </c>
      <c r="B5" s="18" t="inlineStr">
        <is>
          <t>Primary Salary</t>
        </is>
      </c>
      <c r="C5" s="19" t="n">
        <v>0</v>
      </c>
      <c r="D5" s="19" t="n">
        <v>0</v>
      </c>
      <c r="E5" s="5">
        <f>C5-D5</f>
        <v/>
      </c>
      <c r="F5" s="20">
        <f>IFERROR(D5/C5,0)</f>
        <v/>
      </c>
      <c r="G5" s="18" t="inlineStr"/>
    </row>
    <row r="6">
      <c r="A6" s="8" t="inlineStr">
        <is>
          <t>INCOME</t>
        </is>
      </c>
      <c r="B6" s="21" t="inlineStr">
        <is>
          <t>Freelance</t>
        </is>
      </c>
      <c r="C6" s="22" t="n">
        <v>0</v>
      </c>
      <c r="D6" s="22" t="n">
        <v>0</v>
      </c>
      <c r="E6" s="9">
        <f>C6-D6</f>
        <v/>
      </c>
      <c r="F6" s="11">
        <f>IFERROR(D6/C6,0)</f>
        <v/>
      </c>
      <c r="G6" s="21" t="inlineStr"/>
    </row>
    <row r="7">
      <c r="A7" s="4" t="inlineStr">
        <is>
          <t>INCOME</t>
        </is>
      </c>
      <c r="B7" s="18" t="inlineStr">
        <is>
          <t>Rental Income</t>
        </is>
      </c>
      <c r="C7" s="19" t="n">
        <v>0</v>
      </c>
      <c r="D7" s="19" t="n">
        <v>0</v>
      </c>
      <c r="E7" s="5">
        <f>C7-D7</f>
        <v/>
      </c>
      <c r="F7" s="20">
        <f>IFERROR(D7/C7,0)</f>
        <v/>
      </c>
      <c r="G7" s="18" t="inlineStr"/>
    </row>
    <row r="8">
      <c r="A8" s="8" t="inlineStr">
        <is>
          <t>INCOME</t>
        </is>
      </c>
      <c r="B8" s="21" t="inlineStr">
        <is>
          <t>Dividends</t>
        </is>
      </c>
      <c r="C8" s="22" t="n">
        <v>0</v>
      </c>
      <c r="D8" s="22" t="n">
        <v>0</v>
      </c>
      <c r="E8" s="9">
        <f>C8-D8</f>
        <v/>
      </c>
      <c r="F8" s="11">
        <f>IFERROR(D8/C8,0)</f>
        <v/>
      </c>
      <c r="G8" s="21" t="inlineStr"/>
    </row>
    <row r="9">
      <c r="A9" s="4" t="inlineStr">
        <is>
          <t>INCOME</t>
        </is>
      </c>
      <c r="B9" s="18" t="inlineStr">
        <is>
          <t>Side Business</t>
        </is>
      </c>
      <c r="C9" s="19" t="n">
        <v>0</v>
      </c>
      <c r="D9" s="19" t="n">
        <v>0</v>
      </c>
      <c r="E9" s="5">
        <f>C9-D9</f>
        <v/>
      </c>
      <c r="F9" s="20">
        <f>IFERROR(D9/C9,0)</f>
        <v/>
      </c>
      <c r="G9" s="18" t="inlineStr"/>
    </row>
    <row r="10">
      <c r="A10" s="8" t="inlineStr">
        <is>
          <t>INCOME</t>
        </is>
      </c>
      <c r="B10" s="21" t="inlineStr">
        <is>
          <t>Other Income</t>
        </is>
      </c>
      <c r="C10" s="22" t="n">
        <v>0</v>
      </c>
      <c r="D10" s="22" t="n">
        <v>0</v>
      </c>
      <c r="E10" s="9">
        <f>C10-D10</f>
        <v/>
      </c>
      <c r="F10" s="11">
        <f>IFERROR(D10/C10,0)</f>
        <v/>
      </c>
      <c r="G10" s="21" t="inlineStr"/>
    </row>
    <row r="11" ht="18" customHeight="1">
      <c r="A11" s="23" t="inlineStr">
        <is>
          <t>TOTAL INCOME</t>
        </is>
      </c>
      <c r="C11" s="24">
        <f>SUM(C5:C10)</f>
        <v/>
      </c>
      <c r="D11" s="24">
        <f>SUM(D5:D10)</f>
        <v/>
      </c>
      <c r="E11" s="24">
        <f>C11-D11</f>
        <v/>
      </c>
      <c r="F11" s="25">
        <f>IFERROR(D11/C11,0)</f>
        <v/>
      </c>
      <c r="G11" s="26" t="inlineStr"/>
    </row>
    <row r="12" ht="18" customHeight="1">
      <c r="A12" s="27" t="inlineStr">
        <is>
          <t>HOUSING</t>
        </is>
      </c>
    </row>
    <row r="13">
      <c r="A13" s="18" t="inlineStr">
        <is>
          <t>HOUSING</t>
        </is>
      </c>
      <c r="B13" s="18" t="inlineStr">
        <is>
          <t>Rent/Mortgage</t>
        </is>
      </c>
      <c r="C13" s="19" t="n">
        <v>0</v>
      </c>
      <c r="D13" s="19" t="n">
        <v>0</v>
      </c>
      <c r="E13" s="5">
        <f>C13-D13</f>
        <v/>
      </c>
      <c r="F13" s="20">
        <f>IFERROR(D13/C13,0)</f>
        <v/>
      </c>
      <c r="G13" s="18" t="inlineStr"/>
    </row>
    <row r="14">
      <c r="A14" s="21" t="inlineStr">
        <is>
          <t>HOUSING</t>
        </is>
      </c>
      <c r="B14" s="21" t="inlineStr">
        <is>
          <t>Electricity</t>
        </is>
      </c>
      <c r="C14" s="22" t="n">
        <v>0</v>
      </c>
      <c r="D14" s="22" t="n">
        <v>0</v>
      </c>
      <c r="E14" s="9">
        <f>C14-D14</f>
        <v/>
      </c>
      <c r="F14" s="11">
        <f>IFERROR(D14/C14,0)</f>
        <v/>
      </c>
      <c r="G14" s="21" t="inlineStr"/>
    </row>
    <row r="15">
      <c r="A15" s="18" t="inlineStr">
        <is>
          <t>HOUSING</t>
        </is>
      </c>
      <c r="B15" s="18" t="inlineStr">
        <is>
          <t>Water</t>
        </is>
      </c>
      <c r="C15" s="19" t="n">
        <v>0</v>
      </c>
      <c r="D15" s="19" t="n">
        <v>0</v>
      </c>
      <c r="E15" s="5">
        <f>C15-D15</f>
        <v/>
      </c>
      <c r="F15" s="20">
        <f>IFERROR(D15/C15,0)</f>
        <v/>
      </c>
      <c r="G15" s="18" t="inlineStr"/>
    </row>
    <row r="16">
      <c r="A16" s="21" t="inlineStr">
        <is>
          <t>HOUSING</t>
        </is>
      </c>
      <c r="B16" s="21" t="inlineStr">
        <is>
          <t>Internet</t>
        </is>
      </c>
      <c r="C16" s="22" t="n">
        <v>0</v>
      </c>
      <c r="D16" s="22" t="n">
        <v>0</v>
      </c>
      <c r="E16" s="9">
        <f>C16-D16</f>
        <v/>
      </c>
      <c r="F16" s="11">
        <f>IFERROR(D16/C16,0)</f>
        <v/>
      </c>
      <c r="G16" s="21" t="inlineStr"/>
    </row>
    <row r="17">
      <c r="A17" s="18" t="inlineStr">
        <is>
          <t>HOUSING</t>
        </is>
      </c>
      <c r="B17" s="18" t="inlineStr">
        <is>
          <t>Home Insurance</t>
        </is>
      </c>
      <c r="C17" s="19" t="n">
        <v>0</v>
      </c>
      <c r="D17" s="19" t="n">
        <v>0</v>
      </c>
      <c r="E17" s="5">
        <f>C17-D17</f>
        <v/>
      </c>
      <c r="F17" s="20">
        <f>IFERROR(D17/C17,0)</f>
        <v/>
      </c>
      <c r="G17" s="18" t="inlineStr"/>
    </row>
    <row r="18">
      <c r="A18" s="21" t="inlineStr">
        <is>
          <t>HOUSING</t>
        </is>
      </c>
      <c r="B18" s="21" t="inlineStr">
        <is>
          <t>Maintenance</t>
        </is>
      </c>
      <c r="C18" s="22" t="n">
        <v>0</v>
      </c>
      <c r="D18" s="22" t="n">
        <v>0</v>
      </c>
      <c r="E18" s="9">
        <f>C18-D18</f>
        <v/>
      </c>
      <c r="F18" s="11">
        <f>IFERROR(D18/C18,0)</f>
        <v/>
      </c>
      <c r="G18" s="21" t="inlineStr"/>
    </row>
    <row r="19" ht="18" customHeight="1">
      <c r="A19" s="28" t="inlineStr">
        <is>
          <t>HOUSING TOTAL</t>
        </is>
      </c>
      <c r="C19" s="29">
        <f>SUM(C13:C18)</f>
        <v/>
      </c>
      <c r="D19" s="29">
        <f>SUM(D13:D18)</f>
        <v/>
      </c>
      <c r="E19" s="29">
        <f>C19-D19</f>
        <v/>
      </c>
      <c r="F19" s="30">
        <f>IFERROR(D19/C19,0)</f>
        <v/>
      </c>
      <c r="G19" s="31" t="inlineStr"/>
    </row>
    <row r="20" ht="18" customHeight="1">
      <c r="A20" s="27" t="inlineStr">
        <is>
          <t>TRANSPORT</t>
        </is>
      </c>
    </row>
    <row r="21">
      <c r="A21" s="18" t="inlineStr">
        <is>
          <t>TRANSPORT</t>
        </is>
      </c>
      <c r="B21" s="18" t="inlineStr">
        <is>
          <t>Car Payment</t>
        </is>
      </c>
      <c r="C21" s="19" t="n">
        <v>0</v>
      </c>
      <c r="D21" s="19" t="n">
        <v>0</v>
      </c>
      <c r="E21" s="5">
        <f>C21-D21</f>
        <v/>
      </c>
      <c r="F21" s="20">
        <f>IFERROR(D21/C21,0)</f>
        <v/>
      </c>
      <c r="G21" s="18" t="inlineStr"/>
    </row>
    <row r="22">
      <c r="A22" s="21" t="inlineStr">
        <is>
          <t>TRANSPORT</t>
        </is>
      </c>
      <c r="B22" s="21" t="inlineStr">
        <is>
          <t>Fuel</t>
        </is>
      </c>
      <c r="C22" s="22" t="n">
        <v>0</v>
      </c>
      <c r="D22" s="22" t="n">
        <v>0</v>
      </c>
      <c r="E22" s="9">
        <f>C22-D22</f>
        <v/>
      </c>
      <c r="F22" s="11">
        <f>IFERROR(D22/C22,0)</f>
        <v/>
      </c>
      <c r="G22" s="21" t="inlineStr"/>
    </row>
    <row r="23">
      <c r="A23" s="18" t="inlineStr">
        <is>
          <t>TRANSPORT</t>
        </is>
      </c>
      <c r="B23" s="18" t="inlineStr">
        <is>
          <t>Car Insurance</t>
        </is>
      </c>
      <c r="C23" s="19" t="n">
        <v>0</v>
      </c>
      <c r="D23" s="19" t="n">
        <v>0</v>
      </c>
      <c r="E23" s="5">
        <f>C23-D23</f>
        <v/>
      </c>
      <c r="F23" s="20">
        <f>IFERROR(D23/C23,0)</f>
        <v/>
      </c>
      <c r="G23" s="18" t="inlineStr"/>
    </row>
    <row r="24">
      <c r="A24" s="21" t="inlineStr">
        <is>
          <t>TRANSPORT</t>
        </is>
      </c>
      <c r="B24" s="21" t="inlineStr">
        <is>
          <t>Parking</t>
        </is>
      </c>
      <c r="C24" s="22" t="n">
        <v>0</v>
      </c>
      <c r="D24" s="22" t="n">
        <v>0</v>
      </c>
      <c r="E24" s="9">
        <f>C24-D24</f>
        <v/>
      </c>
      <c r="F24" s="11">
        <f>IFERROR(D24/C24,0)</f>
        <v/>
      </c>
      <c r="G24" s="21" t="inlineStr"/>
    </row>
    <row r="25">
      <c r="A25" s="18" t="inlineStr">
        <is>
          <t>TRANSPORT</t>
        </is>
      </c>
      <c r="B25" s="18" t="inlineStr">
        <is>
          <t>Public Transport</t>
        </is>
      </c>
      <c r="C25" s="19" t="n">
        <v>0</v>
      </c>
      <c r="D25" s="19" t="n">
        <v>0</v>
      </c>
      <c r="E25" s="5">
        <f>C25-D25</f>
        <v/>
      </c>
      <c r="F25" s="20">
        <f>IFERROR(D25/C25,0)</f>
        <v/>
      </c>
      <c r="G25" s="18" t="inlineStr"/>
    </row>
    <row r="26">
      <c r="A26" s="21" t="inlineStr">
        <is>
          <t>TRANSPORT</t>
        </is>
      </c>
      <c r="B26" s="21" t="inlineStr">
        <is>
          <t>Ride Share</t>
        </is>
      </c>
      <c r="C26" s="22" t="n">
        <v>0</v>
      </c>
      <c r="D26" s="22" t="n">
        <v>0</v>
      </c>
      <c r="E26" s="9">
        <f>C26-D26</f>
        <v/>
      </c>
      <c r="F26" s="11">
        <f>IFERROR(D26/C26,0)</f>
        <v/>
      </c>
      <c r="G26" s="21" t="inlineStr"/>
    </row>
    <row r="27" ht="18" customHeight="1">
      <c r="A27" s="28" t="inlineStr">
        <is>
          <t>TRANSPORT TOTAL</t>
        </is>
      </c>
      <c r="C27" s="29">
        <f>SUM(C21:C26)</f>
        <v/>
      </c>
      <c r="D27" s="29">
        <f>SUM(D21:D26)</f>
        <v/>
      </c>
      <c r="E27" s="29">
        <f>C27-D27</f>
        <v/>
      </c>
      <c r="F27" s="30">
        <f>IFERROR(D27/C27,0)</f>
        <v/>
      </c>
      <c r="G27" s="31" t="inlineStr"/>
    </row>
    <row r="28" ht="18" customHeight="1">
      <c r="A28" s="27" t="inlineStr">
        <is>
          <t>FOOD &amp; DINING</t>
        </is>
      </c>
    </row>
    <row r="29">
      <c r="A29" s="18" t="inlineStr">
        <is>
          <t>FOOD &amp; DINING</t>
        </is>
      </c>
      <c r="B29" s="18" t="inlineStr">
        <is>
          <t>Groceries</t>
        </is>
      </c>
      <c r="C29" s="19" t="n">
        <v>0</v>
      </c>
      <c r="D29" s="19" t="n">
        <v>0</v>
      </c>
      <c r="E29" s="5">
        <f>C29-D29</f>
        <v/>
      </c>
      <c r="F29" s="20">
        <f>IFERROR(D29/C29,0)</f>
        <v/>
      </c>
      <c r="G29" s="18" t="inlineStr"/>
    </row>
    <row r="30">
      <c r="A30" s="21" t="inlineStr">
        <is>
          <t>FOOD &amp; DINING</t>
        </is>
      </c>
      <c r="B30" s="21" t="inlineStr">
        <is>
          <t>Restaurants</t>
        </is>
      </c>
      <c r="C30" s="22" t="n">
        <v>0</v>
      </c>
      <c r="D30" s="22" t="n">
        <v>0</v>
      </c>
      <c r="E30" s="9">
        <f>C30-D30</f>
        <v/>
      </c>
      <c r="F30" s="11">
        <f>IFERROR(D30/C30,0)</f>
        <v/>
      </c>
      <c r="G30" s="21" t="inlineStr"/>
    </row>
    <row r="31">
      <c r="A31" s="18" t="inlineStr">
        <is>
          <t>FOOD &amp; DINING</t>
        </is>
      </c>
      <c r="B31" s="18" t="inlineStr">
        <is>
          <t>Coffee Shops</t>
        </is>
      </c>
      <c r="C31" s="19" t="n">
        <v>0</v>
      </c>
      <c r="D31" s="19" t="n">
        <v>0</v>
      </c>
      <c r="E31" s="5">
        <f>C31-D31</f>
        <v/>
      </c>
      <c r="F31" s="20">
        <f>IFERROR(D31/C31,0)</f>
        <v/>
      </c>
      <c r="G31" s="18" t="inlineStr"/>
    </row>
    <row r="32">
      <c r="A32" s="21" t="inlineStr">
        <is>
          <t>FOOD &amp; DINING</t>
        </is>
      </c>
      <c r="B32" s="21" t="inlineStr">
        <is>
          <t>Food Delivery</t>
        </is>
      </c>
      <c r="C32" s="22" t="n">
        <v>0</v>
      </c>
      <c r="D32" s="22" t="n">
        <v>0</v>
      </c>
      <c r="E32" s="9">
        <f>C32-D32</f>
        <v/>
      </c>
      <c r="F32" s="11">
        <f>IFERROR(D32/C32,0)</f>
        <v/>
      </c>
      <c r="G32" s="21" t="inlineStr"/>
    </row>
    <row r="33">
      <c r="A33" s="18" t="inlineStr">
        <is>
          <t>FOOD &amp; DINING</t>
        </is>
      </c>
      <c r="B33" s="18" t="inlineStr">
        <is>
          <t>Work Lunch</t>
        </is>
      </c>
      <c r="C33" s="19" t="n">
        <v>0</v>
      </c>
      <c r="D33" s="19" t="n">
        <v>0</v>
      </c>
      <c r="E33" s="5">
        <f>C33-D33</f>
        <v/>
      </c>
      <c r="F33" s="20">
        <f>IFERROR(D33/C33,0)</f>
        <v/>
      </c>
      <c r="G33" s="18" t="inlineStr"/>
    </row>
    <row r="34">
      <c r="A34" s="21" t="inlineStr">
        <is>
          <t>FOOD &amp; DINING</t>
        </is>
      </c>
      <c r="B34" s="21" t="inlineStr">
        <is>
          <t>Other</t>
        </is>
      </c>
      <c r="C34" s="22" t="n">
        <v>0</v>
      </c>
      <c r="D34" s="22" t="n">
        <v>0</v>
      </c>
      <c r="E34" s="9">
        <f>C34-D34</f>
        <v/>
      </c>
      <c r="F34" s="11">
        <f>IFERROR(D34/C34,0)</f>
        <v/>
      </c>
      <c r="G34" s="21" t="inlineStr"/>
    </row>
    <row r="35" ht="18" customHeight="1">
      <c r="A35" s="28" t="inlineStr">
        <is>
          <t>FOOD &amp; DINING TOTAL</t>
        </is>
      </c>
      <c r="C35" s="29">
        <f>SUM(C29:C34)</f>
        <v/>
      </c>
      <c r="D35" s="29">
        <f>SUM(D29:D34)</f>
        <v/>
      </c>
      <c r="E35" s="29">
        <f>C35-D35</f>
        <v/>
      </c>
      <c r="F35" s="30">
        <f>IFERROR(D35/C35,0)</f>
        <v/>
      </c>
      <c r="G35" s="31" t="inlineStr"/>
    </row>
    <row r="36" ht="18" customHeight="1">
      <c r="A36" s="27" t="inlineStr">
        <is>
          <t>HEALTH &amp; WELLNESS</t>
        </is>
      </c>
    </row>
    <row r="37">
      <c r="A37" s="18" t="inlineStr">
        <is>
          <t>HEALTH &amp; WELLNESS</t>
        </is>
      </c>
      <c r="B37" s="18" t="inlineStr">
        <is>
          <t>Health Insurance</t>
        </is>
      </c>
      <c r="C37" s="19" t="n">
        <v>0</v>
      </c>
      <c r="D37" s="19" t="n">
        <v>0</v>
      </c>
      <c r="E37" s="5">
        <f>C37-D37</f>
        <v/>
      </c>
      <c r="F37" s="20">
        <f>IFERROR(D37/C37,0)</f>
        <v/>
      </c>
      <c r="G37" s="18" t="inlineStr"/>
    </row>
    <row r="38">
      <c r="A38" s="21" t="inlineStr">
        <is>
          <t>HEALTH &amp; WELLNESS</t>
        </is>
      </c>
      <c r="B38" s="21" t="inlineStr">
        <is>
          <t>Gym Membership</t>
        </is>
      </c>
      <c r="C38" s="22" t="n">
        <v>0</v>
      </c>
      <c r="D38" s="22" t="n">
        <v>0</v>
      </c>
      <c r="E38" s="9">
        <f>C38-D38</f>
        <v/>
      </c>
      <c r="F38" s="11">
        <f>IFERROR(D38/C38,0)</f>
        <v/>
      </c>
      <c r="G38" s="21" t="inlineStr"/>
    </row>
    <row r="39">
      <c r="A39" s="18" t="inlineStr">
        <is>
          <t>HEALTH &amp; WELLNESS</t>
        </is>
      </c>
      <c r="B39" s="18" t="inlineStr">
        <is>
          <t>Pharmacy</t>
        </is>
      </c>
      <c r="C39" s="19" t="n">
        <v>0</v>
      </c>
      <c r="D39" s="19" t="n">
        <v>0</v>
      </c>
      <c r="E39" s="5">
        <f>C39-D39</f>
        <v/>
      </c>
      <c r="F39" s="20">
        <f>IFERROR(D39/C39,0)</f>
        <v/>
      </c>
      <c r="G39" s="18" t="inlineStr"/>
    </row>
    <row r="40">
      <c r="A40" s="21" t="inlineStr">
        <is>
          <t>HEALTH &amp; WELLNESS</t>
        </is>
      </c>
      <c r="B40" s="21" t="inlineStr">
        <is>
          <t>Doctor Visits</t>
        </is>
      </c>
      <c r="C40" s="22" t="n">
        <v>0</v>
      </c>
      <c r="D40" s="22" t="n">
        <v>0</v>
      </c>
      <c r="E40" s="9">
        <f>C40-D40</f>
        <v/>
      </c>
      <c r="F40" s="11">
        <f>IFERROR(D40/C40,0)</f>
        <v/>
      </c>
      <c r="G40" s="21" t="inlineStr"/>
    </row>
    <row r="41">
      <c r="A41" s="18" t="inlineStr">
        <is>
          <t>HEALTH &amp; WELLNESS</t>
        </is>
      </c>
      <c r="B41" s="18" t="inlineStr">
        <is>
          <t>Dental</t>
        </is>
      </c>
      <c r="C41" s="19" t="n">
        <v>0</v>
      </c>
      <c r="D41" s="19" t="n">
        <v>0</v>
      </c>
      <c r="E41" s="5">
        <f>C41-D41</f>
        <v/>
      </c>
      <c r="F41" s="20">
        <f>IFERROR(D41/C41,0)</f>
        <v/>
      </c>
      <c r="G41" s="18" t="inlineStr"/>
    </row>
    <row r="42">
      <c r="A42" s="21" t="inlineStr">
        <is>
          <t>HEALTH &amp; WELLNESS</t>
        </is>
      </c>
      <c r="B42" s="21" t="inlineStr">
        <is>
          <t>Mental Health</t>
        </is>
      </c>
      <c r="C42" s="22" t="n">
        <v>0</v>
      </c>
      <c r="D42" s="22" t="n">
        <v>0</v>
      </c>
      <c r="E42" s="9">
        <f>C42-D42</f>
        <v/>
      </c>
      <c r="F42" s="11">
        <f>IFERROR(D42/C42,0)</f>
        <v/>
      </c>
      <c r="G42" s="21" t="inlineStr"/>
    </row>
    <row r="43" ht="18" customHeight="1">
      <c r="A43" s="28" t="inlineStr">
        <is>
          <t>HEALTH &amp; WELLNESS TOTAL</t>
        </is>
      </c>
      <c r="C43" s="29">
        <f>SUM(C37:C42)</f>
        <v/>
      </c>
      <c r="D43" s="29">
        <f>SUM(D37:D42)</f>
        <v/>
      </c>
      <c r="E43" s="29">
        <f>C43-D43</f>
        <v/>
      </c>
      <c r="F43" s="30">
        <f>IFERROR(D43/C43,0)</f>
        <v/>
      </c>
      <c r="G43" s="31" t="inlineStr"/>
    </row>
    <row r="44" ht="18" customHeight="1">
      <c r="A44" s="27" t="inlineStr">
        <is>
          <t>LIFESTYLE</t>
        </is>
      </c>
    </row>
    <row r="45">
      <c r="A45" s="18" t="inlineStr">
        <is>
          <t>LIFESTYLE</t>
        </is>
      </c>
      <c r="B45" s="18" t="inlineStr">
        <is>
          <t>Streaming Services</t>
        </is>
      </c>
      <c r="C45" s="19" t="n">
        <v>0</v>
      </c>
      <c r="D45" s="19" t="n">
        <v>0</v>
      </c>
      <c r="E45" s="5">
        <f>C45-D45</f>
        <v/>
      </c>
      <c r="F45" s="20">
        <f>IFERROR(D45/C45,0)</f>
        <v/>
      </c>
      <c r="G45" s="18" t="inlineStr"/>
    </row>
    <row r="46">
      <c r="A46" s="21" t="inlineStr">
        <is>
          <t>LIFESTYLE</t>
        </is>
      </c>
      <c r="B46" s="21" t="inlineStr">
        <is>
          <t>Entertainment</t>
        </is>
      </c>
      <c r="C46" s="22" t="n">
        <v>0</v>
      </c>
      <c r="D46" s="22" t="n">
        <v>0</v>
      </c>
      <c r="E46" s="9">
        <f>C46-D46</f>
        <v/>
      </c>
      <c r="F46" s="11">
        <f>IFERROR(D46/C46,0)</f>
        <v/>
      </c>
      <c r="G46" s="21" t="inlineStr"/>
    </row>
    <row r="47">
      <c r="A47" s="18" t="inlineStr">
        <is>
          <t>LIFESTYLE</t>
        </is>
      </c>
      <c r="B47" s="18" t="inlineStr">
        <is>
          <t>Hobbies</t>
        </is>
      </c>
      <c r="C47" s="19" t="n">
        <v>0</v>
      </c>
      <c r="D47" s="19" t="n">
        <v>0</v>
      </c>
      <c r="E47" s="5">
        <f>C47-D47</f>
        <v/>
      </c>
      <c r="F47" s="20">
        <f>IFERROR(D47/C47,0)</f>
        <v/>
      </c>
      <c r="G47" s="18" t="inlineStr"/>
    </row>
    <row r="48">
      <c r="A48" s="21" t="inlineStr">
        <is>
          <t>LIFESTYLE</t>
        </is>
      </c>
      <c r="B48" s="21" t="inlineStr">
        <is>
          <t>Personal Care</t>
        </is>
      </c>
      <c r="C48" s="22" t="n">
        <v>0</v>
      </c>
      <c r="D48" s="22" t="n">
        <v>0</v>
      </c>
      <c r="E48" s="9">
        <f>C48-D48</f>
        <v/>
      </c>
      <c r="F48" s="11">
        <f>IFERROR(D48/C48,0)</f>
        <v/>
      </c>
      <c r="G48" s="21" t="inlineStr"/>
    </row>
    <row r="49">
      <c r="A49" s="18" t="inlineStr">
        <is>
          <t>LIFESTYLE</t>
        </is>
      </c>
      <c r="B49" s="18" t="inlineStr">
        <is>
          <t>Books</t>
        </is>
      </c>
      <c r="C49" s="19" t="n">
        <v>0</v>
      </c>
      <c r="D49" s="19" t="n">
        <v>0</v>
      </c>
      <c r="E49" s="5">
        <f>C49-D49</f>
        <v/>
      </c>
      <c r="F49" s="20">
        <f>IFERROR(D49/C49,0)</f>
        <v/>
      </c>
      <c r="G49" s="18" t="inlineStr"/>
    </row>
    <row r="50">
      <c r="A50" s="21" t="inlineStr">
        <is>
          <t>LIFESTYLE</t>
        </is>
      </c>
      <c r="B50" s="21" t="inlineStr">
        <is>
          <t>Clothing</t>
        </is>
      </c>
      <c r="C50" s="22" t="n">
        <v>0</v>
      </c>
      <c r="D50" s="22" t="n">
        <v>0</v>
      </c>
      <c r="E50" s="9">
        <f>C50-D50</f>
        <v/>
      </c>
      <c r="F50" s="11">
        <f>IFERROR(D50/C50,0)</f>
        <v/>
      </c>
      <c r="G50" s="21" t="inlineStr"/>
    </row>
    <row r="51" ht="18" customHeight="1">
      <c r="A51" s="28" t="inlineStr">
        <is>
          <t>LIFESTYLE TOTAL</t>
        </is>
      </c>
      <c r="C51" s="29">
        <f>SUM(C45:C50)</f>
        <v/>
      </c>
      <c r="D51" s="29">
        <f>SUM(D45:D50)</f>
        <v/>
      </c>
      <c r="E51" s="29">
        <f>C51-D51</f>
        <v/>
      </c>
      <c r="F51" s="30">
        <f>IFERROR(D51/C51,0)</f>
        <v/>
      </c>
      <c r="G51" s="31" t="inlineStr"/>
    </row>
    <row r="52" ht="18" customHeight="1">
      <c r="A52" s="27" t="inlineStr">
        <is>
          <t>CHILDREN &amp; FAMILY</t>
        </is>
      </c>
    </row>
    <row r="53">
      <c r="A53" s="18" t="inlineStr">
        <is>
          <t>CHILDREN &amp; FAMILY</t>
        </is>
      </c>
      <c r="B53" s="18" t="inlineStr">
        <is>
          <t>Childcare</t>
        </is>
      </c>
      <c r="C53" s="19" t="n">
        <v>0</v>
      </c>
      <c r="D53" s="19" t="n">
        <v>0</v>
      </c>
      <c r="E53" s="5">
        <f>C53-D53</f>
        <v/>
      </c>
      <c r="F53" s="20">
        <f>IFERROR(D53/C53,0)</f>
        <v/>
      </c>
      <c r="G53" s="18" t="inlineStr"/>
    </row>
    <row r="54">
      <c r="A54" s="21" t="inlineStr">
        <is>
          <t>CHILDREN &amp; FAMILY</t>
        </is>
      </c>
      <c r="B54" s="21" t="inlineStr">
        <is>
          <t>School Fees</t>
        </is>
      </c>
      <c r="C54" s="22" t="n">
        <v>0</v>
      </c>
      <c r="D54" s="22" t="n">
        <v>0</v>
      </c>
      <c r="E54" s="9">
        <f>C54-D54</f>
        <v/>
      </c>
      <c r="F54" s="11">
        <f>IFERROR(D54/C54,0)</f>
        <v/>
      </c>
      <c r="G54" s="21" t="inlineStr"/>
    </row>
    <row r="55">
      <c r="A55" s="18" t="inlineStr">
        <is>
          <t>CHILDREN &amp; FAMILY</t>
        </is>
      </c>
      <c r="B55" s="18" t="inlineStr">
        <is>
          <t>Activities</t>
        </is>
      </c>
      <c r="C55" s="19" t="n">
        <v>0</v>
      </c>
      <c r="D55" s="19" t="n">
        <v>0</v>
      </c>
      <c r="E55" s="5">
        <f>C55-D55</f>
        <v/>
      </c>
      <c r="F55" s="20">
        <f>IFERROR(D55/C55,0)</f>
        <v/>
      </c>
      <c r="G55" s="18" t="inlineStr"/>
    </row>
    <row r="56">
      <c r="A56" s="21" t="inlineStr">
        <is>
          <t>CHILDREN &amp; FAMILY</t>
        </is>
      </c>
      <c r="B56" s="21" t="inlineStr">
        <is>
          <t>Toys &amp; Gifts</t>
        </is>
      </c>
      <c r="C56" s="22" t="n">
        <v>0</v>
      </c>
      <c r="D56" s="22" t="n">
        <v>0</v>
      </c>
      <c r="E56" s="9">
        <f>C56-D56</f>
        <v/>
      </c>
      <c r="F56" s="11">
        <f>IFERROR(D56/C56,0)</f>
        <v/>
      </c>
      <c r="G56" s="21" t="inlineStr"/>
    </row>
    <row r="57">
      <c r="A57" s="18" t="inlineStr">
        <is>
          <t>CHILDREN &amp; FAMILY</t>
        </is>
      </c>
      <c r="B57" s="18" t="inlineStr">
        <is>
          <t>Family Outings</t>
        </is>
      </c>
      <c r="C57" s="19" t="n">
        <v>0</v>
      </c>
      <c r="D57" s="19" t="n">
        <v>0</v>
      </c>
      <c r="E57" s="5">
        <f>C57-D57</f>
        <v/>
      </c>
      <c r="F57" s="20">
        <f>IFERROR(D57/C57,0)</f>
        <v/>
      </c>
      <c r="G57" s="18" t="inlineStr"/>
    </row>
    <row r="58">
      <c r="A58" s="21" t="inlineStr">
        <is>
          <t>CHILDREN &amp; FAMILY</t>
        </is>
      </c>
      <c r="B58" s="21" t="inlineStr">
        <is>
          <t>Other</t>
        </is>
      </c>
      <c r="C58" s="22" t="n">
        <v>0</v>
      </c>
      <c r="D58" s="22" t="n">
        <v>0</v>
      </c>
      <c r="E58" s="9">
        <f>C58-D58</f>
        <v/>
      </c>
      <c r="F58" s="11">
        <f>IFERROR(D58/C58,0)</f>
        <v/>
      </c>
      <c r="G58" s="21" t="inlineStr"/>
    </row>
    <row r="59" ht="18" customHeight="1">
      <c r="A59" s="28" t="inlineStr">
        <is>
          <t>CHILDREN &amp; FAMILY TOTAL</t>
        </is>
      </c>
      <c r="C59" s="29">
        <f>SUM(C53:C58)</f>
        <v/>
      </c>
      <c r="D59" s="29">
        <f>SUM(D53:D58)</f>
        <v/>
      </c>
      <c r="E59" s="29">
        <f>C59-D59</f>
        <v/>
      </c>
      <c r="F59" s="30">
        <f>IFERROR(D59/C59,0)</f>
        <v/>
      </c>
      <c r="G59" s="31" t="inlineStr"/>
    </row>
    <row r="60" ht="18" customHeight="1">
      <c r="A60" s="27" t="inlineStr">
        <is>
          <t>SAVINGS &amp; INVESTMENTS</t>
        </is>
      </c>
    </row>
    <row r="61">
      <c r="A61" s="18" t="inlineStr">
        <is>
          <t>SAVINGS &amp; INVESTMENTS</t>
        </is>
      </c>
      <c r="B61" s="18" t="inlineStr">
        <is>
          <t>Emergency Fund</t>
        </is>
      </c>
      <c r="C61" s="19" t="n">
        <v>0</v>
      </c>
      <c r="D61" s="19" t="n">
        <v>0</v>
      </c>
      <c r="E61" s="5">
        <f>C61-D61</f>
        <v/>
      </c>
      <c r="F61" s="20">
        <f>IFERROR(D61/C61,0)</f>
        <v/>
      </c>
      <c r="G61" s="18" t="inlineStr"/>
    </row>
    <row r="62">
      <c r="A62" s="21" t="inlineStr">
        <is>
          <t>SAVINGS &amp; INVESTMENTS</t>
        </is>
      </c>
      <c r="B62" s="21" t="inlineStr">
        <is>
          <t>Pension/IRA</t>
        </is>
      </c>
      <c r="C62" s="22" t="n">
        <v>0</v>
      </c>
      <c r="D62" s="22" t="n">
        <v>0</v>
      </c>
      <c r="E62" s="9">
        <f>C62-D62</f>
        <v/>
      </c>
      <c r="F62" s="11">
        <f>IFERROR(D62/C62,0)</f>
        <v/>
      </c>
      <c r="G62" s="21" t="inlineStr"/>
    </row>
    <row r="63">
      <c r="A63" s="18" t="inlineStr">
        <is>
          <t>SAVINGS &amp; INVESTMENTS</t>
        </is>
      </c>
      <c r="B63" s="18" t="inlineStr">
        <is>
          <t>Stocks &amp; ETFs</t>
        </is>
      </c>
      <c r="C63" s="19" t="n">
        <v>0</v>
      </c>
      <c r="D63" s="19" t="n">
        <v>0</v>
      </c>
      <c r="E63" s="5">
        <f>C63-D63</f>
        <v/>
      </c>
      <c r="F63" s="20">
        <f>IFERROR(D63/C63,0)</f>
        <v/>
      </c>
      <c r="G63" s="18" t="inlineStr"/>
    </row>
    <row r="64">
      <c r="A64" s="21" t="inlineStr">
        <is>
          <t>SAVINGS &amp; INVESTMENTS</t>
        </is>
      </c>
      <c r="B64" s="21" t="inlineStr">
        <is>
          <t>Vacation Fund</t>
        </is>
      </c>
      <c r="C64" s="22" t="n">
        <v>0</v>
      </c>
      <c r="D64" s="22" t="n">
        <v>0</v>
      </c>
      <c r="E64" s="9">
        <f>C64-D64</f>
        <v/>
      </c>
      <c r="F64" s="11">
        <f>IFERROR(D64/C64,0)</f>
        <v/>
      </c>
      <c r="G64" s="21" t="inlineStr"/>
    </row>
    <row r="65">
      <c r="A65" s="18" t="inlineStr">
        <is>
          <t>SAVINGS &amp; INVESTMENTS</t>
        </is>
      </c>
      <c r="B65" s="18" t="inlineStr">
        <is>
          <t>Home Fund</t>
        </is>
      </c>
      <c r="C65" s="19" t="n">
        <v>0</v>
      </c>
      <c r="D65" s="19" t="n">
        <v>0</v>
      </c>
      <c r="E65" s="5">
        <f>C65-D65</f>
        <v/>
      </c>
      <c r="F65" s="20">
        <f>IFERROR(D65/C65,0)</f>
        <v/>
      </c>
      <c r="G65" s="18" t="inlineStr"/>
    </row>
    <row r="66">
      <c r="A66" s="21" t="inlineStr">
        <is>
          <t>SAVINGS &amp; INVESTMENTS</t>
        </is>
      </c>
      <c r="B66" s="21" t="inlineStr">
        <is>
          <t>Other</t>
        </is>
      </c>
      <c r="C66" s="22" t="n">
        <v>0</v>
      </c>
      <c r="D66" s="22" t="n">
        <v>0</v>
      </c>
      <c r="E66" s="9">
        <f>C66-D66</f>
        <v/>
      </c>
      <c r="F66" s="11">
        <f>IFERROR(D66/C66,0)</f>
        <v/>
      </c>
      <c r="G66" s="21" t="inlineStr"/>
    </row>
    <row r="67" ht="18" customHeight="1">
      <c r="A67" s="28" t="inlineStr">
        <is>
          <t>SAVINGS &amp; INVESTMENTS TOTAL</t>
        </is>
      </c>
      <c r="C67" s="29">
        <f>SUM(C61:C66)</f>
        <v/>
      </c>
      <c r="D67" s="29">
        <f>SUM(D61:D66)</f>
        <v/>
      </c>
      <c r="E67" s="29">
        <f>C67-D67</f>
        <v/>
      </c>
      <c r="F67" s="30">
        <f>IFERROR(D67/C67,0)</f>
        <v/>
      </c>
      <c r="G67" s="31" t="inlineStr"/>
    </row>
    <row r="68" ht="18" customHeight="1">
      <c r="A68" s="27" t="inlineStr">
        <is>
          <t>DEBT PAYMENTS</t>
        </is>
      </c>
    </row>
    <row r="69">
      <c r="A69" s="18" t="inlineStr">
        <is>
          <t>DEBT PAYMENTS</t>
        </is>
      </c>
      <c r="B69" s="18" t="inlineStr">
        <is>
          <t>Credit Card 1</t>
        </is>
      </c>
      <c r="C69" s="19" t="n">
        <v>0</v>
      </c>
      <c r="D69" s="19" t="n">
        <v>0</v>
      </c>
      <c r="E69" s="5">
        <f>C69-D69</f>
        <v/>
      </c>
      <c r="F69" s="20">
        <f>IFERROR(D69/C69,0)</f>
        <v/>
      </c>
      <c r="G69" s="18" t="inlineStr"/>
    </row>
    <row r="70">
      <c r="A70" s="21" t="inlineStr">
        <is>
          <t>DEBT PAYMENTS</t>
        </is>
      </c>
      <c r="B70" s="21" t="inlineStr">
        <is>
          <t>Credit Card 2</t>
        </is>
      </c>
      <c r="C70" s="22" t="n">
        <v>0</v>
      </c>
      <c r="D70" s="22" t="n">
        <v>0</v>
      </c>
      <c r="E70" s="9">
        <f>C70-D70</f>
        <v/>
      </c>
      <c r="F70" s="11">
        <f>IFERROR(D70/C70,0)</f>
        <v/>
      </c>
      <c r="G70" s="21" t="inlineStr"/>
    </row>
    <row r="71">
      <c r="A71" s="18" t="inlineStr">
        <is>
          <t>DEBT PAYMENTS</t>
        </is>
      </c>
      <c r="B71" s="18" t="inlineStr">
        <is>
          <t>Student Loan</t>
        </is>
      </c>
      <c r="C71" s="19" t="n">
        <v>0</v>
      </c>
      <c r="D71" s="19" t="n">
        <v>0</v>
      </c>
      <c r="E71" s="5">
        <f>C71-D71</f>
        <v/>
      </c>
      <c r="F71" s="20">
        <f>IFERROR(D71/C71,0)</f>
        <v/>
      </c>
      <c r="G71" s="18" t="inlineStr"/>
    </row>
    <row r="72">
      <c r="A72" s="21" t="inlineStr">
        <is>
          <t>DEBT PAYMENTS</t>
        </is>
      </c>
      <c r="B72" s="21" t="inlineStr">
        <is>
          <t>Car Loan</t>
        </is>
      </c>
      <c r="C72" s="22" t="n">
        <v>0</v>
      </c>
      <c r="D72" s="22" t="n">
        <v>0</v>
      </c>
      <c r="E72" s="9">
        <f>C72-D72</f>
        <v/>
      </c>
      <c r="F72" s="11">
        <f>IFERROR(D72/C72,0)</f>
        <v/>
      </c>
      <c r="G72" s="21" t="inlineStr"/>
    </row>
    <row r="73">
      <c r="A73" s="18" t="inlineStr">
        <is>
          <t>DEBT PAYMENTS</t>
        </is>
      </c>
      <c r="B73" s="18" t="inlineStr">
        <is>
          <t>Personal Loan</t>
        </is>
      </c>
      <c r="C73" s="19" t="n">
        <v>0</v>
      </c>
      <c r="D73" s="19" t="n">
        <v>0</v>
      </c>
      <c r="E73" s="5">
        <f>C73-D73</f>
        <v/>
      </c>
      <c r="F73" s="20">
        <f>IFERROR(D73/C73,0)</f>
        <v/>
      </c>
      <c r="G73" s="18" t="inlineStr"/>
    </row>
    <row r="74">
      <c r="A74" s="21" t="inlineStr">
        <is>
          <t>DEBT PAYMENTS</t>
        </is>
      </c>
      <c r="B74" s="21" t="inlineStr">
        <is>
          <t>Other</t>
        </is>
      </c>
      <c r="C74" s="22" t="n">
        <v>0</v>
      </c>
      <c r="D74" s="22" t="n">
        <v>0</v>
      </c>
      <c r="E74" s="9">
        <f>C74-D74</f>
        <v/>
      </c>
      <c r="F74" s="11">
        <f>IFERROR(D74/C74,0)</f>
        <v/>
      </c>
      <c r="G74" s="21" t="inlineStr"/>
    </row>
    <row r="75" ht="18" customHeight="1">
      <c r="A75" s="28" t="inlineStr">
        <is>
          <t>DEBT PAYMENTS TOTAL</t>
        </is>
      </c>
      <c r="C75" s="29">
        <f>SUM(C69:C74)</f>
        <v/>
      </c>
      <c r="D75" s="29">
        <f>SUM(D69:D74)</f>
        <v/>
      </c>
      <c r="E75" s="29">
        <f>C75-D75</f>
        <v/>
      </c>
      <c r="F75" s="30">
        <f>IFERROR(D75/C75,0)</f>
        <v/>
      </c>
      <c r="G75" s="31" t="inlineStr"/>
    </row>
    <row r="76" ht="22" customHeight="1">
      <c r="A76" s="32" t="inlineStr">
        <is>
          <t>GRAND TOTAL EXPENSES</t>
        </is>
      </c>
      <c r="C76" s="33">
        <f>SUM(C19,C27,C35,C43,C51,C59,C67,C75)</f>
        <v/>
      </c>
      <c r="D76" s="33">
        <f>D19+D27+D35+D43+D51+D59+D67+D75</f>
        <v/>
      </c>
      <c r="E76" s="33">
        <f>C76-D76</f>
        <v/>
      </c>
      <c r="F76" s="34">
        <f>IFERROR(D76/C76,0)</f>
        <v/>
      </c>
      <c r="G76" s="35" t="inlineStr"/>
    </row>
    <row r="77" ht="22" customHeight="1">
      <c r="A77" s="17" t="inlineStr">
        <is>
          <t>NET CASH FLOW</t>
        </is>
      </c>
      <c r="C77" s="36">
        <f>C11-C76</f>
        <v/>
      </c>
      <c r="D77" s="36">
        <f>D11-D76</f>
        <v/>
      </c>
      <c r="E77" s="36">
        <f>C77-D77</f>
        <v/>
      </c>
      <c r="F77" s="37" t="inlineStr"/>
      <c r="G77" s="37" t="inlineStr"/>
    </row>
  </sheetData>
  <mergeCells count="22">
    <mergeCell ref="A59:B59"/>
    <mergeCell ref="A11:B11"/>
    <mergeCell ref="A51:B51"/>
    <mergeCell ref="A4:G4"/>
    <mergeCell ref="A20:G20"/>
    <mergeCell ref="A52:G52"/>
    <mergeCell ref="A68:G68"/>
    <mergeCell ref="A28:G28"/>
    <mergeCell ref="A44:G44"/>
    <mergeCell ref="A75:B75"/>
    <mergeCell ref="A60:G60"/>
    <mergeCell ref="A27:B27"/>
    <mergeCell ref="A36:G36"/>
    <mergeCell ref="A1:G1"/>
    <mergeCell ref="A76:B76"/>
    <mergeCell ref="A35:B35"/>
    <mergeCell ref="A43:B43"/>
    <mergeCell ref="A19:B19"/>
    <mergeCell ref="A12:G12"/>
    <mergeCell ref="A2:G2"/>
    <mergeCell ref="A67:B67"/>
    <mergeCell ref="A77:B7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3" customWidth="1" min="4" max="4"/>
    <col width="13" customWidth="1" min="5" max="5"/>
    <col width="10" customWidth="1" min="6" max="6"/>
    <col width="18" customWidth="1" min="7" max="7"/>
  </cols>
  <sheetData>
    <row r="1" ht="44" customHeight="1">
      <c r="A1" s="14" t="inlineStr">
        <is>
          <t>APRIL · MONTHLY BUDGET</t>
        </is>
      </c>
    </row>
    <row r="2" ht="18" customHeight="1">
      <c r="A2" s="15" t="inlineStr">
        <is>
          <t>Track your income, expenses, and savings for the month</t>
        </is>
      </c>
    </row>
    <row r="3" ht="20" customHeight="1">
      <c r="A3" s="16" t="inlineStr">
        <is>
          <t>CATEGORY</t>
        </is>
      </c>
      <c r="B3" s="16" t="inlineStr">
        <is>
          <t>SUBCATEGORY</t>
        </is>
      </c>
      <c r="C3" s="16" t="inlineStr">
        <is>
          <t>BUDGETED</t>
        </is>
      </c>
      <c r="D3" s="16" t="inlineStr">
        <is>
          <t>ACTUAL</t>
        </is>
      </c>
      <c r="E3" s="16" t="inlineStr">
        <is>
          <t>DIFFERENCE</t>
        </is>
      </c>
      <c r="F3" s="16" t="inlineStr">
        <is>
          <t>% USED</t>
        </is>
      </c>
      <c r="G3" s="16" t="inlineStr">
        <is>
          <t>NOTES</t>
        </is>
      </c>
    </row>
    <row r="4" ht="18" customHeight="1">
      <c r="A4" s="17" t="inlineStr">
        <is>
          <t>INCOME</t>
        </is>
      </c>
    </row>
    <row r="5">
      <c r="A5" s="4" t="inlineStr">
        <is>
          <t>INCOME</t>
        </is>
      </c>
      <c r="B5" s="18" t="inlineStr">
        <is>
          <t>Primary Salary</t>
        </is>
      </c>
      <c r="C5" s="19" t="n">
        <v>0</v>
      </c>
      <c r="D5" s="19" t="n">
        <v>0</v>
      </c>
      <c r="E5" s="5">
        <f>C5-D5</f>
        <v/>
      </c>
      <c r="F5" s="20">
        <f>IFERROR(D5/C5,0)</f>
        <v/>
      </c>
      <c r="G5" s="18" t="inlineStr"/>
    </row>
    <row r="6">
      <c r="A6" s="8" t="inlineStr">
        <is>
          <t>INCOME</t>
        </is>
      </c>
      <c r="B6" s="21" t="inlineStr">
        <is>
          <t>Freelance</t>
        </is>
      </c>
      <c r="C6" s="22" t="n">
        <v>0</v>
      </c>
      <c r="D6" s="22" t="n">
        <v>0</v>
      </c>
      <c r="E6" s="9">
        <f>C6-D6</f>
        <v/>
      </c>
      <c r="F6" s="11">
        <f>IFERROR(D6/C6,0)</f>
        <v/>
      </c>
      <c r="G6" s="21" t="inlineStr"/>
    </row>
    <row r="7">
      <c r="A7" s="4" t="inlineStr">
        <is>
          <t>INCOME</t>
        </is>
      </c>
      <c r="B7" s="18" t="inlineStr">
        <is>
          <t>Rental Income</t>
        </is>
      </c>
      <c r="C7" s="19" t="n">
        <v>0</v>
      </c>
      <c r="D7" s="19" t="n">
        <v>0</v>
      </c>
      <c r="E7" s="5">
        <f>C7-D7</f>
        <v/>
      </c>
      <c r="F7" s="20">
        <f>IFERROR(D7/C7,0)</f>
        <v/>
      </c>
      <c r="G7" s="18" t="inlineStr"/>
    </row>
    <row r="8">
      <c r="A8" s="8" t="inlineStr">
        <is>
          <t>INCOME</t>
        </is>
      </c>
      <c r="B8" s="21" t="inlineStr">
        <is>
          <t>Dividends</t>
        </is>
      </c>
      <c r="C8" s="22" t="n">
        <v>0</v>
      </c>
      <c r="D8" s="22" t="n">
        <v>0</v>
      </c>
      <c r="E8" s="9">
        <f>C8-D8</f>
        <v/>
      </c>
      <c r="F8" s="11">
        <f>IFERROR(D8/C8,0)</f>
        <v/>
      </c>
      <c r="G8" s="21" t="inlineStr"/>
    </row>
    <row r="9">
      <c r="A9" s="4" t="inlineStr">
        <is>
          <t>INCOME</t>
        </is>
      </c>
      <c r="B9" s="18" t="inlineStr">
        <is>
          <t>Side Business</t>
        </is>
      </c>
      <c r="C9" s="19" t="n">
        <v>0</v>
      </c>
      <c r="D9" s="19" t="n">
        <v>0</v>
      </c>
      <c r="E9" s="5">
        <f>C9-D9</f>
        <v/>
      </c>
      <c r="F9" s="20">
        <f>IFERROR(D9/C9,0)</f>
        <v/>
      </c>
      <c r="G9" s="18" t="inlineStr"/>
    </row>
    <row r="10">
      <c r="A10" s="8" t="inlineStr">
        <is>
          <t>INCOME</t>
        </is>
      </c>
      <c r="B10" s="21" t="inlineStr">
        <is>
          <t>Other Income</t>
        </is>
      </c>
      <c r="C10" s="22" t="n">
        <v>0</v>
      </c>
      <c r="D10" s="22" t="n">
        <v>0</v>
      </c>
      <c r="E10" s="9">
        <f>C10-D10</f>
        <v/>
      </c>
      <c r="F10" s="11">
        <f>IFERROR(D10/C10,0)</f>
        <v/>
      </c>
      <c r="G10" s="21" t="inlineStr"/>
    </row>
    <row r="11" ht="18" customHeight="1">
      <c r="A11" s="23" t="inlineStr">
        <is>
          <t>TOTAL INCOME</t>
        </is>
      </c>
      <c r="C11" s="24">
        <f>SUM(C5:C10)</f>
        <v/>
      </c>
      <c r="D11" s="24">
        <f>SUM(D5:D10)</f>
        <v/>
      </c>
      <c r="E11" s="24">
        <f>C11-D11</f>
        <v/>
      </c>
      <c r="F11" s="25">
        <f>IFERROR(D11/C11,0)</f>
        <v/>
      </c>
      <c r="G11" s="26" t="inlineStr"/>
    </row>
    <row r="12" ht="18" customHeight="1">
      <c r="A12" s="27" t="inlineStr">
        <is>
          <t>HOUSING</t>
        </is>
      </c>
    </row>
    <row r="13">
      <c r="A13" s="18" t="inlineStr">
        <is>
          <t>HOUSING</t>
        </is>
      </c>
      <c r="B13" s="18" t="inlineStr">
        <is>
          <t>Rent/Mortgage</t>
        </is>
      </c>
      <c r="C13" s="19" t="n">
        <v>0</v>
      </c>
      <c r="D13" s="19" t="n">
        <v>0</v>
      </c>
      <c r="E13" s="5">
        <f>C13-D13</f>
        <v/>
      </c>
      <c r="F13" s="20">
        <f>IFERROR(D13/C13,0)</f>
        <v/>
      </c>
      <c r="G13" s="18" t="inlineStr"/>
    </row>
    <row r="14">
      <c r="A14" s="21" t="inlineStr">
        <is>
          <t>HOUSING</t>
        </is>
      </c>
      <c r="B14" s="21" t="inlineStr">
        <is>
          <t>Electricity</t>
        </is>
      </c>
      <c r="C14" s="22" t="n">
        <v>0</v>
      </c>
      <c r="D14" s="22" t="n">
        <v>0</v>
      </c>
      <c r="E14" s="9">
        <f>C14-D14</f>
        <v/>
      </c>
      <c r="F14" s="11">
        <f>IFERROR(D14/C14,0)</f>
        <v/>
      </c>
      <c r="G14" s="21" t="inlineStr"/>
    </row>
    <row r="15">
      <c r="A15" s="18" t="inlineStr">
        <is>
          <t>HOUSING</t>
        </is>
      </c>
      <c r="B15" s="18" t="inlineStr">
        <is>
          <t>Water</t>
        </is>
      </c>
      <c r="C15" s="19" t="n">
        <v>0</v>
      </c>
      <c r="D15" s="19" t="n">
        <v>0</v>
      </c>
      <c r="E15" s="5">
        <f>C15-D15</f>
        <v/>
      </c>
      <c r="F15" s="20">
        <f>IFERROR(D15/C15,0)</f>
        <v/>
      </c>
      <c r="G15" s="18" t="inlineStr"/>
    </row>
    <row r="16">
      <c r="A16" s="21" t="inlineStr">
        <is>
          <t>HOUSING</t>
        </is>
      </c>
      <c r="B16" s="21" t="inlineStr">
        <is>
          <t>Internet</t>
        </is>
      </c>
      <c r="C16" s="22" t="n">
        <v>0</v>
      </c>
      <c r="D16" s="22" t="n">
        <v>0</v>
      </c>
      <c r="E16" s="9">
        <f>C16-D16</f>
        <v/>
      </c>
      <c r="F16" s="11">
        <f>IFERROR(D16/C16,0)</f>
        <v/>
      </c>
      <c r="G16" s="21" t="inlineStr"/>
    </row>
    <row r="17">
      <c r="A17" s="18" t="inlineStr">
        <is>
          <t>HOUSING</t>
        </is>
      </c>
      <c r="B17" s="18" t="inlineStr">
        <is>
          <t>Home Insurance</t>
        </is>
      </c>
      <c r="C17" s="19" t="n">
        <v>0</v>
      </c>
      <c r="D17" s="19" t="n">
        <v>0</v>
      </c>
      <c r="E17" s="5">
        <f>C17-D17</f>
        <v/>
      </c>
      <c r="F17" s="20">
        <f>IFERROR(D17/C17,0)</f>
        <v/>
      </c>
      <c r="G17" s="18" t="inlineStr"/>
    </row>
    <row r="18">
      <c r="A18" s="21" t="inlineStr">
        <is>
          <t>HOUSING</t>
        </is>
      </c>
      <c r="B18" s="21" t="inlineStr">
        <is>
          <t>Maintenance</t>
        </is>
      </c>
      <c r="C18" s="22" t="n">
        <v>0</v>
      </c>
      <c r="D18" s="22" t="n">
        <v>0</v>
      </c>
      <c r="E18" s="9">
        <f>C18-D18</f>
        <v/>
      </c>
      <c r="F18" s="11">
        <f>IFERROR(D18/C18,0)</f>
        <v/>
      </c>
      <c r="G18" s="21" t="inlineStr"/>
    </row>
    <row r="19" ht="18" customHeight="1">
      <c r="A19" s="28" t="inlineStr">
        <is>
          <t>HOUSING TOTAL</t>
        </is>
      </c>
      <c r="C19" s="29">
        <f>SUM(C13:C18)</f>
        <v/>
      </c>
      <c r="D19" s="29">
        <f>SUM(D13:D18)</f>
        <v/>
      </c>
      <c r="E19" s="29">
        <f>C19-D19</f>
        <v/>
      </c>
      <c r="F19" s="30">
        <f>IFERROR(D19/C19,0)</f>
        <v/>
      </c>
      <c r="G19" s="31" t="inlineStr"/>
    </row>
    <row r="20" ht="18" customHeight="1">
      <c r="A20" s="27" t="inlineStr">
        <is>
          <t>TRANSPORT</t>
        </is>
      </c>
    </row>
    <row r="21">
      <c r="A21" s="18" t="inlineStr">
        <is>
          <t>TRANSPORT</t>
        </is>
      </c>
      <c r="B21" s="18" t="inlineStr">
        <is>
          <t>Car Payment</t>
        </is>
      </c>
      <c r="C21" s="19" t="n">
        <v>0</v>
      </c>
      <c r="D21" s="19" t="n">
        <v>0</v>
      </c>
      <c r="E21" s="5">
        <f>C21-D21</f>
        <v/>
      </c>
      <c r="F21" s="20">
        <f>IFERROR(D21/C21,0)</f>
        <v/>
      </c>
      <c r="G21" s="18" t="inlineStr"/>
    </row>
    <row r="22">
      <c r="A22" s="21" t="inlineStr">
        <is>
          <t>TRANSPORT</t>
        </is>
      </c>
      <c r="B22" s="21" t="inlineStr">
        <is>
          <t>Fuel</t>
        </is>
      </c>
      <c r="C22" s="22" t="n">
        <v>0</v>
      </c>
      <c r="D22" s="22" t="n">
        <v>0</v>
      </c>
      <c r="E22" s="9">
        <f>C22-D22</f>
        <v/>
      </c>
      <c r="F22" s="11">
        <f>IFERROR(D22/C22,0)</f>
        <v/>
      </c>
      <c r="G22" s="21" t="inlineStr"/>
    </row>
    <row r="23">
      <c r="A23" s="18" t="inlineStr">
        <is>
          <t>TRANSPORT</t>
        </is>
      </c>
      <c r="B23" s="18" t="inlineStr">
        <is>
          <t>Car Insurance</t>
        </is>
      </c>
      <c r="C23" s="19" t="n">
        <v>0</v>
      </c>
      <c r="D23" s="19" t="n">
        <v>0</v>
      </c>
      <c r="E23" s="5">
        <f>C23-D23</f>
        <v/>
      </c>
      <c r="F23" s="20">
        <f>IFERROR(D23/C23,0)</f>
        <v/>
      </c>
      <c r="G23" s="18" t="inlineStr"/>
    </row>
    <row r="24">
      <c r="A24" s="21" t="inlineStr">
        <is>
          <t>TRANSPORT</t>
        </is>
      </c>
      <c r="B24" s="21" t="inlineStr">
        <is>
          <t>Parking</t>
        </is>
      </c>
      <c r="C24" s="22" t="n">
        <v>0</v>
      </c>
      <c r="D24" s="22" t="n">
        <v>0</v>
      </c>
      <c r="E24" s="9">
        <f>C24-D24</f>
        <v/>
      </c>
      <c r="F24" s="11">
        <f>IFERROR(D24/C24,0)</f>
        <v/>
      </c>
      <c r="G24" s="21" t="inlineStr"/>
    </row>
    <row r="25">
      <c r="A25" s="18" t="inlineStr">
        <is>
          <t>TRANSPORT</t>
        </is>
      </c>
      <c r="B25" s="18" t="inlineStr">
        <is>
          <t>Public Transport</t>
        </is>
      </c>
      <c r="C25" s="19" t="n">
        <v>0</v>
      </c>
      <c r="D25" s="19" t="n">
        <v>0</v>
      </c>
      <c r="E25" s="5">
        <f>C25-D25</f>
        <v/>
      </c>
      <c r="F25" s="20">
        <f>IFERROR(D25/C25,0)</f>
        <v/>
      </c>
      <c r="G25" s="18" t="inlineStr"/>
    </row>
    <row r="26">
      <c r="A26" s="21" t="inlineStr">
        <is>
          <t>TRANSPORT</t>
        </is>
      </c>
      <c r="B26" s="21" t="inlineStr">
        <is>
          <t>Ride Share</t>
        </is>
      </c>
      <c r="C26" s="22" t="n">
        <v>0</v>
      </c>
      <c r="D26" s="22" t="n">
        <v>0</v>
      </c>
      <c r="E26" s="9">
        <f>C26-D26</f>
        <v/>
      </c>
      <c r="F26" s="11">
        <f>IFERROR(D26/C26,0)</f>
        <v/>
      </c>
      <c r="G26" s="21" t="inlineStr"/>
    </row>
    <row r="27" ht="18" customHeight="1">
      <c r="A27" s="28" t="inlineStr">
        <is>
          <t>TRANSPORT TOTAL</t>
        </is>
      </c>
      <c r="C27" s="29">
        <f>SUM(C21:C26)</f>
        <v/>
      </c>
      <c r="D27" s="29">
        <f>SUM(D21:D26)</f>
        <v/>
      </c>
      <c r="E27" s="29">
        <f>C27-D27</f>
        <v/>
      </c>
      <c r="F27" s="30">
        <f>IFERROR(D27/C27,0)</f>
        <v/>
      </c>
      <c r="G27" s="31" t="inlineStr"/>
    </row>
    <row r="28" ht="18" customHeight="1">
      <c r="A28" s="27" t="inlineStr">
        <is>
          <t>FOOD &amp; DINING</t>
        </is>
      </c>
    </row>
    <row r="29">
      <c r="A29" s="18" t="inlineStr">
        <is>
          <t>FOOD &amp; DINING</t>
        </is>
      </c>
      <c r="B29" s="18" t="inlineStr">
        <is>
          <t>Groceries</t>
        </is>
      </c>
      <c r="C29" s="19" t="n">
        <v>0</v>
      </c>
      <c r="D29" s="19" t="n">
        <v>0</v>
      </c>
      <c r="E29" s="5">
        <f>C29-D29</f>
        <v/>
      </c>
      <c r="F29" s="20">
        <f>IFERROR(D29/C29,0)</f>
        <v/>
      </c>
      <c r="G29" s="18" t="inlineStr"/>
    </row>
    <row r="30">
      <c r="A30" s="21" t="inlineStr">
        <is>
          <t>FOOD &amp; DINING</t>
        </is>
      </c>
      <c r="B30" s="21" t="inlineStr">
        <is>
          <t>Restaurants</t>
        </is>
      </c>
      <c r="C30" s="22" t="n">
        <v>0</v>
      </c>
      <c r="D30" s="22" t="n">
        <v>0</v>
      </c>
      <c r="E30" s="9">
        <f>C30-D30</f>
        <v/>
      </c>
      <c r="F30" s="11">
        <f>IFERROR(D30/C30,0)</f>
        <v/>
      </c>
      <c r="G30" s="21" t="inlineStr"/>
    </row>
    <row r="31">
      <c r="A31" s="18" t="inlineStr">
        <is>
          <t>FOOD &amp; DINING</t>
        </is>
      </c>
      <c r="B31" s="18" t="inlineStr">
        <is>
          <t>Coffee Shops</t>
        </is>
      </c>
      <c r="C31" s="19" t="n">
        <v>0</v>
      </c>
      <c r="D31" s="19" t="n">
        <v>0</v>
      </c>
      <c r="E31" s="5">
        <f>C31-D31</f>
        <v/>
      </c>
      <c r="F31" s="20">
        <f>IFERROR(D31/C31,0)</f>
        <v/>
      </c>
      <c r="G31" s="18" t="inlineStr"/>
    </row>
    <row r="32">
      <c r="A32" s="21" t="inlineStr">
        <is>
          <t>FOOD &amp; DINING</t>
        </is>
      </c>
      <c r="B32" s="21" t="inlineStr">
        <is>
          <t>Food Delivery</t>
        </is>
      </c>
      <c r="C32" s="22" t="n">
        <v>0</v>
      </c>
      <c r="D32" s="22" t="n">
        <v>0</v>
      </c>
      <c r="E32" s="9">
        <f>C32-D32</f>
        <v/>
      </c>
      <c r="F32" s="11">
        <f>IFERROR(D32/C32,0)</f>
        <v/>
      </c>
      <c r="G32" s="21" t="inlineStr"/>
    </row>
    <row r="33">
      <c r="A33" s="18" t="inlineStr">
        <is>
          <t>FOOD &amp; DINING</t>
        </is>
      </c>
      <c r="B33" s="18" t="inlineStr">
        <is>
          <t>Work Lunch</t>
        </is>
      </c>
      <c r="C33" s="19" t="n">
        <v>0</v>
      </c>
      <c r="D33" s="19" t="n">
        <v>0</v>
      </c>
      <c r="E33" s="5">
        <f>C33-D33</f>
        <v/>
      </c>
      <c r="F33" s="20">
        <f>IFERROR(D33/C33,0)</f>
        <v/>
      </c>
      <c r="G33" s="18" t="inlineStr"/>
    </row>
    <row r="34">
      <c r="A34" s="21" t="inlineStr">
        <is>
          <t>FOOD &amp; DINING</t>
        </is>
      </c>
      <c r="B34" s="21" t="inlineStr">
        <is>
          <t>Other</t>
        </is>
      </c>
      <c r="C34" s="22" t="n">
        <v>0</v>
      </c>
      <c r="D34" s="22" t="n">
        <v>0</v>
      </c>
      <c r="E34" s="9">
        <f>C34-D34</f>
        <v/>
      </c>
      <c r="F34" s="11">
        <f>IFERROR(D34/C34,0)</f>
        <v/>
      </c>
      <c r="G34" s="21" t="inlineStr"/>
    </row>
    <row r="35" ht="18" customHeight="1">
      <c r="A35" s="28" t="inlineStr">
        <is>
          <t>FOOD &amp; DINING TOTAL</t>
        </is>
      </c>
      <c r="C35" s="29">
        <f>SUM(C29:C34)</f>
        <v/>
      </c>
      <c r="D35" s="29">
        <f>SUM(D29:D34)</f>
        <v/>
      </c>
      <c r="E35" s="29">
        <f>C35-D35</f>
        <v/>
      </c>
      <c r="F35" s="30">
        <f>IFERROR(D35/C35,0)</f>
        <v/>
      </c>
      <c r="G35" s="31" t="inlineStr"/>
    </row>
    <row r="36" ht="18" customHeight="1">
      <c r="A36" s="27" t="inlineStr">
        <is>
          <t>HEALTH &amp; WELLNESS</t>
        </is>
      </c>
    </row>
    <row r="37">
      <c r="A37" s="18" t="inlineStr">
        <is>
          <t>HEALTH &amp; WELLNESS</t>
        </is>
      </c>
      <c r="B37" s="18" t="inlineStr">
        <is>
          <t>Health Insurance</t>
        </is>
      </c>
      <c r="C37" s="19" t="n">
        <v>0</v>
      </c>
      <c r="D37" s="19" t="n">
        <v>0</v>
      </c>
      <c r="E37" s="5">
        <f>C37-D37</f>
        <v/>
      </c>
      <c r="F37" s="20">
        <f>IFERROR(D37/C37,0)</f>
        <v/>
      </c>
      <c r="G37" s="18" t="inlineStr"/>
    </row>
    <row r="38">
      <c r="A38" s="21" t="inlineStr">
        <is>
          <t>HEALTH &amp; WELLNESS</t>
        </is>
      </c>
      <c r="B38" s="21" t="inlineStr">
        <is>
          <t>Gym Membership</t>
        </is>
      </c>
      <c r="C38" s="22" t="n">
        <v>0</v>
      </c>
      <c r="D38" s="22" t="n">
        <v>0</v>
      </c>
      <c r="E38" s="9">
        <f>C38-D38</f>
        <v/>
      </c>
      <c r="F38" s="11">
        <f>IFERROR(D38/C38,0)</f>
        <v/>
      </c>
      <c r="G38" s="21" t="inlineStr"/>
    </row>
    <row r="39">
      <c r="A39" s="18" t="inlineStr">
        <is>
          <t>HEALTH &amp; WELLNESS</t>
        </is>
      </c>
      <c r="B39" s="18" t="inlineStr">
        <is>
          <t>Pharmacy</t>
        </is>
      </c>
      <c r="C39" s="19" t="n">
        <v>0</v>
      </c>
      <c r="D39" s="19" t="n">
        <v>0</v>
      </c>
      <c r="E39" s="5">
        <f>C39-D39</f>
        <v/>
      </c>
      <c r="F39" s="20">
        <f>IFERROR(D39/C39,0)</f>
        <v/>
      </c>
      <c r="G39" s="18" t="inlineStr"/>
    </row>
    <row r="40">
      <c r="A40" s="21" t="inlineStr">
        <is>
          <t>HEALTH &amp; WELLNESS</t>
        </is>
      </c>
      <c r="B40" s="21" t="inlineStr">
        <is>
          <t>Doctor Visits</t>
        </is>
      </c>
      <c r="C40" s="22" t="n">
        <v>0</v>
      </c>
      <c r="D40" s="22" t="n">
        <v>0</v>
      </c>
      <c r="E40" s="9">
        <f>C40-D40</f>
        <v/>
      </c>
      <c r="F40" s="11">
        <f>IFERROR(D40/C40,0)</f>
        <v/>
      </c>
      <c r="G40" s="21" t="inlineStr"/>
    </row>
    <row r="41">
      <c r="A41" s="18" t="inlineStr">
        <is>
          <t>HEALTH &amp; WELLNESS</t>
        </is>
      </c>
      <c r="B41" s="18" t="inlineStr">
        <is>
          <t>Dental</t>
        </is>
      </c>
      <c r="C41" s="19" t="n">
        <v>0</v>
      </c>
      <c r="D41" s="19" t="n">
        <v>0</v>
      </c>
      <c r="E41" s="5">
        <f>C41-D41</f>
        <v/>
      </c>
      <c r="F41" s="20">
        <f>IFERROR(D41/C41,0)</f>
        <v/>
      </c>
      <c r="G41" s="18" t="inlineStr"/>
    </row>
    <row r="42">
      <c r="A42" s="21" t="inlineStr">
        <is>
          <t>HEALTH &amp; WELLNESS</t>
        </is>
      </c>
      <c r="B42" s="21" t="inlineStr">
        <is>
          <t>Mental Health</t>
        </is>
      </c>
      <c r="C42" s="22" t="n">
        <v>0</v>
      </c>
      <c r="D42" s="22" t="n">
        <v>0</v>
      </c>
      <c r="E42" s="9">
        <f>C42-D42</f>
        <v/>
      </c>
      <c r="F42" s="11">
        <f>IFERROR(D42/C42,0)</f>
        <v/>
      </c>
      <c r="G42" s="21" t="inlineStr"/>
    </row>
    <row r="43" ht="18" customHeight="1">
      <c r="A43" s="28" t="inlineStr">
        <is>
          <t>HEALTH &amp; WELLNESS TOTAL</t>
        </is>
      </c>
      <c r="C43" s="29">
        <f>SUM(C37:C42)</f>
        <v/>
      </c>
      <c r="D43" s="29">
        <f>SUM(D37:D42)</f>
        <v/>
      </c>
      <c r="E43" s="29">
        <f>C43-D43</f>
        <v/>
      </c>
      <c r="F43" s="30">
        <f>IFERROR(D43/C43,0)</f>
        <v/>
      </c>
      <c r="G43" s="31" t="inlineStr"/>
    </row>
    <row r="44" ht="18" customHeight="1">
      <c r="A44" s="27" t="inlineStr">
        <is>
          <t>LIFESTYLE</t>
        </is>
      </c>
    </row>
    <row r="45">
      <c r="A45" s="18" t="inlineStr">
        <is>
          <t>LIFESTYLE</t>
        </is>
      </c>
      <c r="B45" s="18" t="inlineStr">
        <is>
          <t>Streaming Services</t>
        </is>
      </c>
      <c r="C45" s="19" t="n">
        <v>0</v>
      </c>
      <c r="D45" s="19" t="n">
        <v>0</v>
      </c>
      <c r="E45" s="5">
        <f>C45-D45</f>
        <v/>
      </c>
      <c r="F45" s="20">
        <f>IFERROR(D45/C45,0)</f>
        <v/>
      </c>
      <c r="G45" s="18" t="inlineStr"/>
    </row>
    <row r="46">
      <c r="A46" s="21" t="inlineStr">
        <is>
          <t>LIFESTYLE</t>
        </is>
      </c>
      <c r="B46" s="21" t="inlineStr">
        <is>
          <t>Entertainment</t>
        </is>
      </c>
      <c r="C46" s="22" t="n">
        <v>0</v>
      </c>
      <c r="D46" s="22" t="n">
        <v>0</v>
      </c>
      <c r="E46" s="9">
        <f>C46-D46</f>
        <v/>
      </c>
      <c r="F46" s="11">
        <f>IFERROR(D46/C46,0)</f>
        <v/>
      </c>
      <c r="G46" s="21" t="inlineStr"/>
    </row>
    <row r="47">
      <c r="A47" s="18" t="inlineStr">
        <is>
          <t>LIFESTYLE</t>
        </is>
      </c>
      <c r="B47" s="18" t="inlineStr">
        <is>
          <t>Hobbies</t>
        </is>
      </c>
      <c r="C47" s="19" t="n">
        <v>0</v>
      </c>
      <c r="D47" s="19" t="n">
        <v>0</v>
      </c>
      <c r="E47" s="5">
        <f>C47-D47</f>
        <v/>
      </c>
      <c r="F47" s="20">
        <f>IFERROR(D47/C47,0)</f>
        <v/>
      </c>
      <c r="G47" s="18" t="inlineStr"/>
    </row>
    <row r="48">
      <c r="A48" s="21" t="inlineStr">
        <is>
          <t>LIFESTYLE</t>
        </is>
      </c>
      <c r="B48" s="21" t="inlineStr">
        <is>
          <t>Personal Care</t>
        </is>
      </c>
      <c r="C48" s="22" t="n">
        <v>0</v>
      </c>
      <c r="D48" s="22" t="n">
        <v>0</v>
      </c>
      <c r="E48" s="9">
        <f>C48-D48</f>
        <v/>
      </c>
      <c r="F48" s="11">
        <f>IFERROR(D48/C48,0)</f>
        <v/>
      </c>
      <c r="G48" s="21" t="inlineStr"/>
    </row>
    <row r="49">
      <c r="A49" s="18" t="inlineStr">
        <is>
          <t>LIFESTYLE</t>
        </is>
      </c>
      <c r="B49" s="18" t="inlineStr">
        <is>
          <t>Books</t>
        </is>
      </c>
      <c r="C49" s="19" t="n">
        <v>0</v>
      </c>
      <c r="D49" s="19" t="n">
        <v>0</v>
      </c>
      <c r="E49" s="5">
        <f>C49-D49</f>
        <v/>
      </c>
      <c r="F49" s="20">
        <f>IFERROR(D49/C49,0)</f>
        <v/>
      </c>
      <c r="G49" s="18" t="inlineStr"/>
    </row>
    <row r="50">
      <c r="A50" s="21" t="inlineStr">
        <is>
          <t>LIFESTYLE</t>
        </is>
      </c>
      <c r="B50" s="21" t="inlineStr">
        <is>
          <t>Clothing</t>
        </is>
      </c>
      <c r="C50" s="22" t="n">
        <v>0</v>
      </c>
      <c r="D50" s="22" t="n">
        <v>0</v>
      </c>
      <c r="E50" s="9">
        <f>C50-D50</f>
        <v/>
      </c>
      <c r="F50" s="11">
        <f>IFERROR(D50/C50,0)</f>
        <v/>
      </c>
      <c r="G50" s="21" t="inlineStr"/>
    </row>
    <row r="51" ht="18" customHeight="1">
      <c r="A51" s="28" t="inlineStr">
        <is>
          <t>LIFESTYLE TOTAL</t>
        </is>
      </c>
      <c r="C51" s="29">
        <f>SUM(C45:C50)</f>
        <v/>
      </c>
      <c r="D51" s="29">
        <f>SUM(D45:D50)</f>
        <v/>
      </c>
      <c r="E51" s="29">
        <f>C51-D51</f>
        <v/>
      </c>
      <c r="F51" s="30">
        <f>IFERROR(D51/C51,0)</f>
        <v/>
      </c>
      <c r="G51" s="31" t="inlineStr"/>
    </row>
    <row r="52" ht="18" customHeight="1">
      <c r="A52" s="27" t="inlineStr">
        <is>
          <t>CHILDREN &amp; FAMILY</t>
        </is>
      </c>
    </row>
    <row r="53">
      <c r="A53" s="18" t="inlineStr">
        <is>
          <t>CHILDREN &amp; FAMILY</t>
        </is>
      </c>
      <c r="B53" s="18" t="inlineStr">
        <is>
          <t>Childcare</t>
        </is>
      </c>
      <c r="C53" s="19" t="n">
        <v>0</v>
      </c>
      <c r="D53" s="19" t="n">
        <v>0</v>
      </c>
      <c r="E53" s="5">
        <f>C53-D53</f>
        <v/>
      </c>
      <c r="F53" s="20">
        <f>IFERROR(D53/C53,0)</f>
        <v/>
      </c>
      <c r="G53" s="18" t="inlineStr"/>
    </row>
    <row r="54">
      <c r="A54" s="21" t="inlineStr">
        <is>
          <t>CHILDREN &amp; FAMILY</t>
        </is>
      </c>
      <c r="B54" s="21" t="inlineStr">
        <is>
          <t>School Fees</t>
        </is>
      </c>
      <c r="C54" s="22" t="n">
        <v>0</v>
      </c>
      <c r="D54" s="22" t="n">
        <v>0</v>
      </c>
      <c r="E54" s="9">
        <f>C54-D54</f>
        <v/>
      </c>
      <c r="F54" s="11">
        <f>IFERROR(D54/C54,0)</f>
        <v/>
      </c>
      <c r="G54" s="21" t="inlineStr"/>
    </row>
    <row r="55">
      <c r="A55" s="18" t="inlineStr">
        <is>
          <t>CHILDREN &amp; FAMILY</t>
        </is>
      </c>
      <c r="B55" s="18" t="inlineStr">
        <is>
          <t>Activities</t>
        </is>
      </c>
      <c r="C55" s="19" t="n">
        <v>0</v>
      </c>
      <c r="D55" s="19" t="n">
        <v>0</v>
      </c>
      <c r="E55" s="5">
        <f>C55-D55</f>
        <v/>
      </c>
      <c r="F55" s="20">
        <f>IFERROR(D55/C55,0)</f>
        <v/>
      </c>
      <c r="G55" s="18" t="inlineStr"/>
    </row>
    <row r="56">
      <c r="A56" s="21" t="inlineStr">
        <is>
          <t>CHILDREN &amp; FAMILY</t>
        </is>
      </c>
      <c r="B56" s="21" t="inlineStr">
        <is>
          <t>Toys &amp; Gifts</t>
        </is>
      </c>
      <c r="C56" s="22" t="n">
        <v>0</v>
      </c>
      <c r="D56" s="22" t="n">
        <v>0</v>
      </c>
      <c r="E56" s="9">
        <f>C56-D56</f>
        <v/>
      </c>
      <c r="F56" s="11">
        <f>IFERROR(D56/C56,0)</f>
        <v/>
      </c>
      <c r="G56" s="21" t="inlineStr"/>
    </row>
    <row r="57">
      <c r="A57" s="18" t="inlineStr">
        <is>
          <t>CHILDREN &amp; FAMILY</t>
        </is>
      </c>
      <c r="B57" s="18" t="inlineStr">
        <is>
          <t>Family Outings</t>
        </is>
      </c>
      <c r="C57" s="19" t="n">
        <v>0</v>
      </c>
      <c r="D57" s="19" t="n">
        <v>0</v>
      </c>
      <c r="E57" s="5">
        <f>C57-D57</f>
        <v/>
      </c>
      <c r="F57" s="20">
        <f>IFERROR(D57/C57,0)</f>
        <v/>
      </c>
      <c r="G57" s="18" t="inlineStr"/>
    </row>
    <row r="58">
      <c r="A58" s="21" t="inlineStr">
        <is>
          <t>CHILDREN &amp; FAMILY</t>
        </is>
      </c>
      <c r="B58" s="21" t="inlineStr">
        <is>
          <t>Other</t>
        </is>
      </c>
      <c r="C58" s="22" t="n">
        <v>0</v>
      </c>
      <c r="D58" s="22" t="n">
        <v>0</v>
      </c>
      <c r="E58" s="9">
        <f>C58-D58</f>
        <v/>
      </c>
      <c r="F58" s="11">
        <f>IFERROR(D58/C58,0)</f>
        <v/>
      </c>
      <c r="G58" s="21" t="inlineStr"/>
    </row>
    <row r="59" ht="18" customHeight="1">
      <c r="A59" s="28" t="inlineStr">
        <is>
          <t>CHILDREN &amp; FAMILY TOTAL</t>
        </is>
      </c>
      <c r="C59" s="29">
        <f>SUM(C53:C58)</f>
        <v/>
      </c>
      <c r="D59" s="29">
        <f>SUM(D53:D58)</f>
        <v/>
      </c>
      <c r="E59" s="29">
        <f>C59-D59</f>
        <v/>
      </c>
      <c r="F59" s="30">
        <f>IFERROR(D59/C59,0)</f>
        <v/>
      </c>
      <c r="G59" s="31" t="inlineStr"/>
    </row>
    <row r="60" ht="18" customHeight="1">
      <c r="A60" s="27" t="inlineStr">
        <is>
          <t>SAVINGS &amp; INVESTMENTS</t>
        </is>
      </c>
    </row>
    <row r="61">
      <c r="A61" s="18" t="inlineStr">
        <is>
          <t>SAVINGS &amp; INVESTMENTS</t>
        </is>
      </c>
      <c r="B61" s="18" t="inlineStr">
        <is>
          <t>Emergency Fund</t>
        </is>
      </c>
      <c r="C61" s="19" t="n">
        <v>0</v>
      </c>
      <c r="D61" s="19" t="n">
        <v>0</v>
      </c>
      <c r="E61" s="5">
        <f>C61-D61</f>
        <v/>
      </c>
      <c r="F61" s="20">
        <f>IFERROR(D61/C61,0)</f>
        <v/>
      </c>
      <c r="G61" s="18" t="inlineStr"/>
    </row>
    <row r="62">
      <c r="A62" s="21" t="inlineStr">
        <is>
          <t>SAVINGS &amp; INVESTMENTS</t>
        </is>
      </c>
      <c r="B62" s="21" t="inlineStr">
        <is>
          <t>Pension/IRA</t>
        </is>
      </c>
      <c r="C62" s="22" t="n">
        <v>0</v>
      </c>
      <c r="D62" s="22" t="n">
        <v>0</v>
      </c>
      <c r="E62" s="9">
        <f>C62-D62</f>
        <v/>
      </c>
      <c r="F62" s="11">
        <f>IFERROR(D62/C62,0)</f>
        <v/>
      </c>
      <c r="G62" s="21" t="inlineStr"/>
    </row>
    <row r="63">
      <c r="A63" s="18" t="inlineStr">
        <is>
          <t>SAVINGS &amp; INVESTMENTS</t>
        </is>
      </c>
      <c r="B63" s="18" t="inlineStr">
        <is>
          <t>Stocks &amp; ETFs</t>
        </is>
      </c>
      <c r="C63" s="19" t="n">
        <v>0</v>
      </c>
      <c r="D63" s="19" t="n">
        <v>0</v>
      </c>
      <c r="E63" s="5">
        <f>C63-D63</f>
        <v/>
      </c>
      <c r="F63" s="20">
        <f>IFERROR(D63/C63,0)</f>
        <v/>
      </c>
      <c r="G63" s="18" t="inlineStr"/>
    </row>
    <row r="64">
      <c r="A64" s="21" t="inlineStr">
        <is>
          <t>SAVINGS &amp; INVESTMENTS</t>
        </is>
      </c>
      <c r="B64" s="21" t="inlineStr">
        <is>
          <t>Vacation Fund</t>
        </is>
      </c>
      <c r="C64" s="22" t="n">
        <v>0</v>
      </c>
      <c r="D64" s="22" t="n">
        <v>0</v>
      </c>
      <c r="E64" s="9">
        <f>C64-D64</f>
        <v/>
      </c>
      <c r="F64" s="11">
        <f>IFERROR(D64/C64,0)</f>
        <v/>
      </c>
      <c r="G64" s="21" t="inlineStr"/>
    </row>
    <row r="65">
      <c r="A65" s="18" t="inlineStr">
        <is>
          <t>SAVINGS &amp; INVESTMENTS</t>
        </is>
      </c>
      <c r="B65" s="18" t="inlineStr">
        <is>
          <t>Home Fund</t>
        </is>
      </c>
      <c r="C65" s="19" t="n">
        <v>0</v>
      </c>
      <c r="D65" s="19" t="n">
        <v>0</v>
      </c>
      <c r="E65" s="5">
        <f>C65-D65</f>
        <v/>
      </c>
      <c r="F65" s="20">
        <f>IFERROR(D65/C65,0)</f>
        <v/>
      </c>
      <c r="G65" s="18" t="inlineStr"/>
    </row>
    <row r="66">
      <c r="A66" s="21" t="inlineStr">
        <is>
          <t>SAVINGS &amp; INVESTMENTS</t>
        </is>
      </c>
      <c r="B66" s="21" t="inlineStr">
        <is>
          <t>Other</t>
        </is>
      </c>
      <c r="C66" s="22" t="n">
        <v>0</v>
      </c>
      <c r="D66" s="22" t="n">
        <v>0</v>
      </c>
      <c r="E66" s="9">
        <f>C66-D66</f>
        <v/>
      </c>
      <c r="F66" s="11">
        <f>IFERROR(D66/C66,0)</f>
        <v/>
      </c>
      <c r="G66" s="21" t="inlineStr"/>
    </row>
    <row r="67" ht="18" customHeight="1">
      <c r="A67" s="28" t="inlineStr">
        <is>
          <t>SAVINGS &amp; INVESTMENTS TOTAL</t>
        </is>
      </c>
      <c r="C67" s="29">
        <f>SUM(C61:C66)</f>
        <v/>
      </c>
      <c r="D67" s="29">
        <f>SUM(D61:D66)</f>
        <v/>
      </c>
      <c r="E67" s="29">
        <f>C67-D67</f>
        <v/>
      </c>
      <c r="F67" s="30">
        <f>IFERROR(D67/C67,0)</f>
        <v/>
      </c>
      <c r="G67" s="31" t="inlineStr"/>
    </row>
    <row r="68" ht="18" customHeight="1">
      <c r="A68" s="27" t="inlineStr">
        <is>
          <t>DEBT PAYMENTS</t>
        </is>
      </c>
    </row>
    <row r="69">
      <c r="A69" s="18" t="inlineStr">
        <is>
          <t>DEBT PAYMENTS</t>
        </is>
      </c>
      <c r="B69" s="18" t="inlineStr">
        <is>
          <t>Credit Card 1</t>
        </is>
      </c>
      <c r="C69" s="19" t="n">
        <v>0</v>
      </c>
      <c r="D69" s="19" t="n">
        <v>0</v>
      </c>
      <c r="E69" s="5">
        <f>C69-D69</f>
        <v/>
      </c>
      <c r="F69" s="20">
        <f>IFERROR(D69/C69,0)</f>
        <v/>
      </c>
      <c r="G69" s="18" t="inlineStr"/>
    </row>
    <row r="70">
      <c r="A70" s="21" t="inlineStr">
        <is>
          <t>DEBT PAYMENTS</t>
        </is>
      </c>
      <c r="B70" s="21" t="inlineStr">
        <is>
          <t>Credit Card 2</t>
        </is>
      </c>
      <c r="C70" s="22" t="n">
        <v>0</v>
      </c>
      <c r="D70" s="22" t="n">
        <v>0</v>
      </c>
      <c r="E70" s="9">
        <f>C70-D70</f>
        <v/>
      </c>
      <c r="F70" s="11">
        <f>IFERROR(D70/C70,0)</f>
        <v/>
      </c>
      <c r="G70" s="21" t="inlineStr"/>
    </row>
    <row r="71">
      <c r="A71" s="18" t="inlineStr">
        <is>
          <t>DEBT PAYMENTS</t>
        </is>
      </c>
      <c r="B71" s="18" t="inlineStr">
        <is>
          <t>Student Loan</t>
        </is>
      </c>
      <c r="C71" s="19" t="n">
        <v>0</v>
      </c>
      <c r="D71" s="19" t="n">
        <v>0</v>
      </c>
      <c r="E71" s="5">
        <f>C71-D71</f>
        <v/>
      </c>
      <c r="F71" s="20">
        <f>IFERROR(D71/C71,0)</f>
        <v/>
      </c>
      <c r="G71" s="18" t="inlineStr"/>
    </row>
    <row r="72">
      <c r="A72" s="21" t="inlineStr">
        <is>
          <t>DEBT PAYMENTS</t>
        </is>
      </c>
      <c r="B72" s="21" t="inlineStr">
        <is>
          <t>Car Loan</t>
        </is>
      </c>
      <c r="C72" s="22" t="n">
        <v>0</v>
      </c>
      <c r="D72" s="22" t="n">
        <v>0</v>
      </c>
      <c r="E72" s="9">
        <f>C72-D72</f>
        <v/>
      </c>
      <c r="F72" s="11">
        <f>IFERROR(D72/C72,0)</f>
        <v/>
      </c>
      <c r="G72" s="21" t="inlineStr"/>
    </row>
    <row r="73">
      <c r="A73" s="18" t="inlineStr">
        <is>
          <t>DEBT PAYMENTS</t>
        </is>
      </c>
      <c r="B73" s="18" t="inlineStr">
        <is>
          <t>Personal Loan</t>
        </is>
      </c>
      <c r="C73" s="19" t="n">
        <v>0</v>
      </c>
      <c r="D73" s="19" t="n">
        <v>0</v>
      </c>
      <c r="E73" s="5">
        <f>C73-D73</f>
        <v/>
      </c>
      <c r="F73" s="20">
        <f>IFERROR(D73/C73,0)</f>
        <v/>
      </c>
      <c r="G73" s="18" t="inlineStr"/>
    </row>
    <row r="74">
      <c r="A74" s="21" t="inlineStr">
        <is>
          <t>DEBT PAYMENTS</t>
        </is>
      </c>
      <c r="B74" s="21" t="inlineStr">
        <is>
          <t>Other</t>
        </is>
      </c>
      <c r="C74" s="22" t="n">
        <v>0</v>
      </c>
      <c r="D74" s="22" t="n">
        <v>0</v>
      </c>
      <c r="E74" s="9">
        <f>C74-D74</f>
        <v/>
      </c>
      <c r="F74" s="11">
        <f>IFERROR(D74/C74,0)</f>
        <v/>
      </c>
      <c r="G74" s="21" t="inlineStr"/>
    </row>
    <row r="75" ht="18" customHeight="1">
      <c r="A75" s="28" t="inlineStr">
        <is>
          <t>DEBT PAYMENTS TOTAL</t>
        </is>
      </c>
      <c r="C75" s="29">
        <f>SUM(C69:C74)</f>
        <v/>
      </c>
      <c r="D75" s="29">
        <f>SUM(D69:D74)</f>
        <v/>
      </c>
      <c r="E75" s="29">
        <f>C75-D75</f>
        <v/>
      </c>
      <c r="F75" s="30">
        <f>IFERROR(D75/C75,0)</f>
        <v/>
      </c>
      <c r="G75" s="31" t="inlineStr"/>
    </row>
    <row r="76" ht="22" customHeight="1">
      <c r="A76" s="32" t="inlineStr">
        <is>
          <t>GRAND TOTAL EXPENSES</t>
        </is>
      </c>
      <c r="C76" s="33">
        <f>SUM(C19,C27,C35,C43,C51,C59,C67,C75)</f>
        <v/>
      </c>
      <c r="D76" s="33">
        <f>D19+D27+D35+D43+D51+D59+D67+D75</f>
        <v/>
      </c>
      <c r="E76" s="33">
        <f>C76-D76</f>
        <v/>
      </c>
      <c r="F76" s="34">
        <f>IFERROR(D76/C76,0)</f>
        <v/>
      </c>
      <c r="G76" s="35" t="inlineStr"/>
    </row>
    <row r="77" ht="22" customHeight="1">
      <c r="A77" s="17" t="inlineStr">
        <is>
          <t>NET CASH FLOW</t>
        </is>
      </c>
      <c r="C77" s="36">
        <f>C11-C76</f>
        <v/>
      </c>
      <c r="D77" s="36">
        <f>D11-D76</f>
        <v/>
      </c>
      <c r="E77" s="36">
        <f>C77-D77</f>
        <v/>
      </c>
      <c r="F77" s="37" t="inlineStr"/>
      <c r="G77" s="37" t="inlineStr"/>
    </row>
  </sheetData>
  <mergeCells count="22">
    <mergeCell ref="A59:B59"/>
    <mergeCell ref="A11:B11"/>
    <mergeCell ref="A51:B51"/>
    <mergeCell ref="A4:G4"/>
    <mergeCell ref="A20:G20"/>
    <mergeCell ref="A52:G52"/>
    <mergeCell ref="A68:G68"/>
    <mergeCell ref="A28:G28"/>
    <mergeCell ref="A44:G44"/>
    <mergeCell ref="A75:B75"/>
    <mergeCell ref="A60:G60"/>
    <mergeCell ref="A27:B27"/>
    <mergeCell ref="A36:G36"/>
    <mergeCell ref="A1:G1"/>
    <mergeCell ref="A76:B76"/>
    <mergeCell ref="A35:B35"/>
    <mergeCell ref="A43:B43"/>
    <mergeCell ref="A19:B19"/>
    <mergeCell ref="A12:G12"/>
    <mergeCell ref="A2:G2"/>
    <mergeCell ref="A67:B67"/>
    <mergeCell ref="A77:B7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3" customWidth="1" min="4" max="4"/>
    <col width="13" customWidth="1" min="5" max="5"/>
    <col width="10" customWidth="1" min="6" max="6"/>
    <col width="18" customWidth="1" min="7" max="7"/>
  </cols>
  <sheetData>
    <row r="1" ht="44" customHeight="1">
      <c r="A1" s="14" t="inlineStr">
        <is>
          <t>MAY · MONTHLY BUDGET</t>
        </is>
      </c>
    </row>
    <row r="2" ht="18" customHeight="1">
      <c r="A2" s="15" t="inlineStr">
        <is>
          <t>Track your income, expenses, and savings for the month</t>
        </is>
      </c>
    </row>
    <row r="3" ht="20" customHeight="1">
      <c r="A3" s="16" t="inlineStr">
        <is>
          <t>CATEGORY</t>
        </is>
      </c>
      <c r="B3" s="16" t="inlineStr">
        <is>
          <t>SUBCATEGORY</t>
        </is>
      </c>
      <c r="C3" s="16" t="inlineStr">
        <is>
          <t>BUDGETED</t>
        </is>
      </c>
      <c r="D3" s="16" t="inlineStr">
        <is>
          <t>ACTUAL</t>
        </is>
      </c>
      <c r="E3" s="16" t="inlineStr">
        <is>
          <t>DIFFERENCE</t>
        </is>
      </c>
      <c r="F3" s="16" t="inlineStr">
        <is>
          <t>% USED</t>
        </is>
      </c>
      <c r="G3" s="16" t="inlineStr">
        <is>
          <t>NOTES</t>
        </is>
      </c>
    </row>
    <row r="4" ht="18" customHeight="1">
      <c r="A4" s="17" t="inlineStr">
        <is>
          <t>INCOME</t>
        </is>
      </c>
    </row>
    <row r="5">
      <c r="A5" s="4" t="inlineStr">
        <is>
          <t>INCOME</t>
        </is>
      </c>
      <c r="B5" s="18" t="inlineStr">
        <is>
          <t>Primary Salary</t>
        </is>
      </c>
      <c r="C5" s="19" t="n">
        <v>0</v>
      </c>
      <c r="D5" s="19" t="n">
        <v>0</v>
      </c>
      <c r="E5" s="5">
        <f>C5-D5</f>
        <v/>
      </c>
      <c r="F5" s="20">
        <f>IFERROR(D5/C5,0)</f>
        <v/>
      </c>
      <c r="G5" s="18" t="inlineStr"/>
    </row>
    <row r="6">
      <c r="A6" s="8" t="inlineStr">
        <is>
          <t>INCOME</t>
        </is>
      </c>
      <c r="B6" s="21" t="inlineStr">
        <is>
          <t>Freelance</t>
        </is>
      </c>
      <c r="C6" s="22" t="n">
        <v>0</v>
      </c>
      <c r="D6" s="22" t="n">
        <v>0</v>
      </c>
      <c r="E6" s="9">
        <f>C6-D6</f>
        <v/>
      </c>
      <c r="F6" s="11">
        <f>IFERROR(D6/C6,0)</f>
        <v/>
      </c>
      <c r="G6" s="21" t="inlineStr"/>
    </row>
    <row r="7">
      <c r="A7" s="4" t="inlineStr">
        <is>
          <t>INCOME</t>
        </is>
      </c>
      <c r="B7" s="18" t="inlineStr">
        <is>
          <t>Rental Income</t>
        </is>
      </c>
      <c r="C7" s="19" t="n">
        <v>0</v>
      </c>
      <c r="D7" s="19" t="n">
        <v>0</v>
      </c>
      <c r="E7" s="5">
        <f>C7-D7</f>
        <v/>
      </c>
      <c r="F7" s="20">
        <f>IFERROR(D7/C7,0)</f>
        <v/>
      </c>
      <c r="G7" s="18" t="inlineStr"/>
    </row>
    <row r="8">
      <c r="A8" s="8" t="inlineStr">
        <is>
          <t>INCOME</t>
        </is>
      </c>
      <c r="B8" s="21" t="inlineStr">
        <is>
          <t>Dividends</t>
        </is>
      </c>
      <c r="C8" s="22" t="n">
        <v>0</v>
      </c>
      <c r="D8" s="22" t="n">
        <v>0</v>
      </c>
      <c r="E8" s="9">
        <f>C8-D8</f>
        <v/>
      </c>
      <c r="F8" s="11">
        <f>IFERROR(D8/C8,0)</f>
        <v/>
      </c>
      <c r="G8" s="21" t="inlineStr"/>
    </row>
    <row r="9">
      <c r="A9" s="4" t="inlineStr">
        <is>
          <t>INCOME</t>
        </is>
      </c>
      <c r="B9" s="18" t="inlineStr">
        <is>
          <t>Side Business</t>
        </is>
      </c>
      <c r="C9" s="19" t="n">
        <v>0</v>
      </c>
      <c r="D9" s="19" t="n">
        <v>0</v>
      </c>
      <c r="E9" s="5">
        <f>C9-D9</f>
        <v/>
      </c>
      <c r="F9" s="20">
        <f>IFERROR(D9/C9,0)</f>
        <v/>
      </c>
      <c r="G9" s="18" t="inlineStr"/>
    </row>
    <row r="10">
      <c r="A10" s="8" t="inlineStr">
        <is>
          <t>INCOME</t>
        </is>
      </c>
      <c r="B10" s="21" t="inlineStr">
        <is>
          <t>Other Income</t>
        </is>
      </c>
      <c r="C10" s="22" t="n">
        <v>0</v>
      </c>
      <c r="D10" s="22" t="n">
        <v>0</v>
      </c>
      <c r="E10" s="9">
        <f>C10-D10</f>
        <v/>
      </c>
      <c r="F10" s="11">
        <f>IFERROR(D10/C10,0)</f>
        <v/>
      </c>
      <c r="G10" s="21" t="inlineStr"/>
    </row>
    <row r="11" ht="18" customHeight="1">
      <c r="A11" s="23" t="inlineStr">
        <is>
          <t>TOTAL INCOME</t>
        </is>
      </c>
      <c r="C11" s="24">
        <f>SUM(C5:C10)</f>
        <v/>
      </c>
      <c r="D11" s="24">
        <f>SUM(D5:D10)</f>
        <v/>
      </c>
      <c r="E11" s="24">
        <f>C11-D11</f>
        <v/>
      </c>
      <c r="F11" s="25">
        <f>IFERROR(D11/C11,0)</f>
        <v/>
      </c>
      <c r="G11" s="26" t="inlineStr"/>
    </row>
    <row r="12" ht="18" customHeight="1">
      <c r="A12" s="27" t="inlineStr">
        <is>
          <t>HOUSING</t>
        </is>
      </c>
    </row>
    <row r="13">
      <c r="A13" s="18" t="inlineStr">
        <is>
          <t>HOUSING</t>
        </is>
      </c>
      <c r="B13" s="18" t="inlineStr">
        <is>
          <t>Rent/Mortgage</t>
        </is>
      </c>
      <c r="C13" s="19" t="n">
        <v>0</v>
      </c>
      <c r="D13" s="19" t="n">
        <v>0</v>
      </c>
      <c r="E13" s="5">
        <f>C13-D13</f>
        <v/>
      </c>
      <c r="F13" s="20">
        <f>IFERROR(D13/C13,0)</f>
        <v/>
      </c>
      <c r="G13" s="18" t="inlineStr"/>
    </row>
    <row r="14">
      <c r="A14" s="21" t="inlineStr">
        <is>
          <t>HOUSING</t>
        </is>
      </c>
      <c r="B14" s="21" t="inlineStr">
        <is>
          <t>Electricity</t>
        </is>
      </c>
      <c r="C14" s="22" t="n">
        <v>0</v>
      </c>
      <c r="D14" s="22" t="n">
        <v>0</v>
      </c>
      <c r="E14" s="9">
        <f>C14-D14</f>
        <v/>
      </c>
      <c r="F14" s="11">
        <f>IFERROR(D14/C14,0)</f>
        <v/>
      </c>
      <c r="G14" s="21" t="inlineStr"/>
    </row>
    <row r="15">
      <c r="A15" s="18" t="inlineStr">
        <is>
          <t>HOUSING</t>
        </is>
      </c>
      <c r="B15" s="18" t="inlineStr">
        <is>
          <t>Water</t>
        </is>
      </c>
      <c r="C15" s="19" t="n">
        <v>0</v>
      </c>
      <c r="D15" s="19" t="n">
        <v>0</v>
      </c>
      <c r="E15" s="5">
        <f>C15-D15</f>
        <v/>
      </c>
      <c r="F15" s="20">
        <f>IFERROR(D15/C15,0)</f>
        <v/>
      </c>
      <c r="G15" s="18" t="inlineStr"/>
    </row>
    <row r="16">
      <c r="A16" s="21" t="inlineStr">
        <is>
          <t>HOUSING</t>
        </is>
      </c>
      <c r="B16" s="21" t="inlineStr">
        <is>
          <t>Internet</t>
        </is>
      </c>
      <c r="C16" s="22" t="n">
        <v>0</v>
      </c>
      <c r="D16" s="22" t="n">
        <v>0</v>
      </c>
      <c r="E16" s="9">
        <f>C16-D16</f>
        <v/>
      </c>
      <c r="F16" s="11">
        <f>IFERROR(D16/C16,0)</f>
        <v/>
      </c>
      <c r="G16" s="21" t="inlineStr"/>
    </row>
    <row r="17">
      <c r="A17" s="18" t="inlineStr">
        <is>
          <t>HOUSING</t>
        </is>
      </c>
      <c r="B17" s="18" t="inlineStr">
        <is>
          <t>Home Insurance</t>
        </is>
      </c>
      <c r="C17" s="19" t="n">
        <v>0</v>
      </c>
      <c r="D17" s="19" t="n">
        <v>0</v>
      </c>
      <c r="E17" s="5">
        <f>C17-D17</f>
        <v/>
      </c>
      <c r="F17" s="20">
        <f>IFERROR(D17/C17,0)</f>
        <v/>
      </c>
      <c r="G17" s="18" t="inlineStr"/>
    </row>
    <row r="18">
      <c r="A18" s="21" t="inlineStr">
        <is>
          <t>HOUSING</t>
        </is>
      </c>
      <c r="B18" s="21" t="inlineStr">
        <is>
          <t>Maintenance</t>
        </is>
      </c>
      <c r="C18" s="22" t="n">
        <v>0</v>
      </c>
      <c r="D18" s="22" t="n">
        <v>0</v>
      </c>
      <c r="E18" s="9">
        <f>C18-D18</f>
        <v/>
      </c>
      <c r="F18" s="11">
        <f>IFERROR(D18/C18,0)</f>
        <v/>
      </c>
      <c r="G18" s="21" t="inlineStr"/>
    </row>
    <row r="19" ht="18" customHeight="1">
      <c r="A19" s="28" t="inlineStr">
        <is>
          <t>HOUSING TOTAL</t>
        </is>
      </c>
      <c r="C19" s="29">
        <f>SUM(C13:C18)</f>
        <v/>
      </c>
      <c r="D19" s="29">
        <f>SUM(D13:D18)</f>
        <v/>
      </c>
      <c r="E19" s="29">
        <f>C19-D19</f>
        <v/>
      </c>
      <c r="F19" s="30">
        <f>IFERROR(D19/C19,0)</f>
        <v/>
      </c>
      <c r="G19" s="31" t="inlineStr"/>
    </row>
    <row r="20" ht="18" customHeight="1">
      <c r="A20" s="27" t="inlineStr">
        <is>
          <t>TRANSPORT</t>
        </is>
      </c>
    </row>
    <row r="21">
      <c r="A21" s="18" t="inlineStr">
        <is>
          <t>TRANSPORT</t>
        </is>
      </c>
      <c r="B21" s="18" t="inlineStr">
        <is>
          <t>Car Payment</t>
        </is>
      </c>
      <c r="C21" s="19" t="n">
        <v>0</v>
      </c>
      <c r="D21" s="19" t="n">
        <v>0</v>
      </c>
      <c r="E21" s="5">
        <f>C21-D21</f>
        <v/>
      </c>
      <c r="F21" s="20">
        <f>IFERROR(D21/C21,0)</f>
        <v/>
      </c>
      <c r="G21" s="18" t="inlineStr"/>
    </row>
    <row r="22">
      <c r="A22" s="21" t="inlineStr">
        <is>
          <t>TRANSPORT</t>
        </is>
      </c>
      <c r="B22" s="21" t="inlineStr">
        <is>
          <t>Fuel</t>
        </is>
      </c>
      <c r="C22" s="22" t="n">
        <v>0</v>
      </c>
      <c r="D22" s="22" t="n">
        <v>0</v>
      </c>
      <c r="E22" s="9">
        <f>C22-D22</f>
        <v/>
      </c>
      <c r="F22" s="11">
        <f>IFERROR(D22/C22,0)</f>
        <v/>
      </c>
      <c r="G22" s="21" t="inlineStr"/>
    </row>
    <row r="23">
      <c r="A23" s="18" t="inlineStr">
        <is>
          <t>TRANSPORT</t>
        </is>
      </c>
      <c r="B23" s="18" t="inlineStr">
        <is>
          <t>Car Insurance</t>
        </is>
      </c>
      <c r="C23" s="19" t="n">
        <v>0</v>
      </c>
      <c r="D23" s="19" t="n">
        <v>0</v>
      </c>
      <c r="E23" s="5">
        <f>C23-D23</f>
        <v/>
      </c>
      <c r="F23" s="20">
        <f>IFERROR(D23/C23,0)</f>
        <v/>
      </c>
      <c r="G23" s="18" t="inlineStr"/>
    </row>
    <row r="24">
      <c r="A24" s="21" t="inlineStr">
        <is>
          <t>TRANSPORT</t>
        </is>
      </c>
      <c r="B24" s="21" t="inlineStr">
        <is>
          <t>Parking</t>
        </is>
      </c>
      <c r="C24" s="22" t="n">
        <v>0</v>
      </c>
      <c r="D24" s="22" t="n">
        <v>0</v>
      </c>
      <c r="E24" s="9">
        <f>C24-D24</f>
        <v/>
      </c>
      <c r="F24" s="11">
        <f>IFERROR(D24/C24,0)</f>
        <v/>
      </c>
      <c r="G24" s="21" t="inlineStr"/>
    </row>
    <row r="25">
      <c r="A25" s="18" t="inlineStr">
        <is>
          <t>TRANSPORT</t>
        </is>
      </c>
      <c r="B25" s="18" t="inlineStr">
        <is>
          <t>Public Transport</t>
        </is>
      </c>
      <c r="C25" s="19" t="n">
        <v>0</v>
      </c>
      <c r="D25" s="19" t="n">
        <v>0</v>
      </c>
      <c r="E25" s="5">
        <f>C25-D25</f>
        <v/>
      </c>
      <c r="F25" s="20">
        <f>IFERROR(D25/C25,0)</f>
        <v/>
      </c>
      <c r="G25" s="18" t="inlineStr"/>
    </row>
    <row r="26">
      <c r="A26" s="21" t="inlineStr">
        <is>
          <t>TRANSPORT</t>
        </is>
      </c>
      <c r="B26" s="21" t="inlineStr">
        <is>
          <t>Ride Share</t>
        </is>
      </c>
      <c r="C26" s="22" t="n">
        <v>0</v>
      </c>
      <c r="D26" s="22" t="n">
        <v>0</v>
      </c>
      <c r="E26" s="9">
        <f>C26-D26</f>
        <v/>
      </c>
      <c r="F26" s="11">
        <f>IFERROR(D26/C26,0)</f>
        <v/>
      </c>
      <c r="G26" s="21" t="inlineStr"/>
    </row>
    <row r="27" ht="18" customHeight="1">
      <c r="A27" s="28" t="inlineStr">
        <is>
          <t>TRANSPORT TOTAL</t>
        </is>
      </c>
      <c r="C27" s="29">
        <f>SUM(C21:C26)</f>
        <v/>
      </c>
      <c r="D27" s="29">
        <f>SUM(D21:D26)</f>
        <v/>
      </c>
      <c r="E27" s="29">
        <f>C27-D27</f>
        <v/>
      </c>
      <c r="F27" s="30">
        <f>IFERROR(D27/C27,0)</f>
        <v/>
      </c>
      <c r="G27" s="31" t="inlineStr"/>
    </row>
    <row r="28" ht="18" customHeight="1">
      <c r="A28" s="27" t="inlineStr">
        <is>
          <t>FOOD &amp; DINING</t>
        </is>
      </c>
    </row>
    <row r="29">
      <c r="A29" s="18" t="inlineStr">
        <is>
          <t>FOOD &amp; DINING</t>
        </is>
      </c>
      <c r="B29" s="18" t="inlineStr">
        <is>
          <t>Groceries</t>
        </is>
      </c>
      <c r="C29" s="19" t="n">
        <v>0</v>
      </c>
      <c r="D29" s="19" t="n">
        <v>0</v>
      </c>
      <c r="E29" s="5">
        <f>C29-D29</f>
        <v/>
      </c>
      <c r="F29" s="20">
        <f>IFERROR(D29/C29,0)</f>
        <v/>
      </c>
      <c r="G29" s="18" t="inlineStr"/>
    </row>
    <row r="30">
      <c r="A30" s="21" t="inlineStr">
        <is>
          <t>FOOD &amp; DINING</t>
        </is>
      </c>
      <c r="B30" s="21" t="inlineStr">
        <is>
          <t>Restaurants</t>
        </is>
      </c>
      <c r="C30" s="22" t="n">
        <v>0</v>
      </c>
      <c r="D30" s="22" t="n">
        <v>0</v>
      </c>
      <c r="E30" s="9">
        <f>C30-D30</f>
        <v/>
      </c>
      <c r="F30" s="11">
        <f>IFERROR(D30/C30,0)</f>
        <v/>
      </c>
      <c r="G30" s="21" t="inlineStr"/>
    </row>
    <row r="31">
      <c r="A31" s="18" t="inlineStr">
        <is>
          <t>FOOD &amp; DINING</t>
        </is>
      </c>
      <c r="B31" s="18" t="inlineStr">
        <is>
          <t>Coffee Shops</t>
        </is>
      </c>
      <c r="C31" s="19" t="n">
        <v>0</v>
      </c>
      <c r="D31" s="19" t="n">
        <v>0</v>
      </c>
      <c r="E31" s="5">
        <f>C31-D31</f>
        <v/>
      </c>
      <c r="F31" s="20">
        <f>IFERROR(D31/C31,0)</f>
        <v/>
      </c>
      <c r="G31" s="18" t="inlineStr"/>
    </row>
    <row r="32">
      <c r="A32" s="21" t="inlineStr">
        <is>
          <t>FOOD &amp; DINING</t>
        </is>
      </c>
      <c r="B32" s="21" t="inlineStr">
        <is>
          <t>Food Delivery</t>
        </is>
      </c>
      <c r="C32" s="22" t="n">
        <v>0</v>
      </c>
      <c r="D32" s="22" t="n">
        <v>0</v>
      </c>
      <c r="E32" s="9">
        <f>C32-D32</f>
        <v/>
      </c>
      <c r="F32" s="11">
        <f>IFERROR(D32/C32,0)</f>
        <v/>
      </c>
      <c r="G32" s="21" t="inlineStr"/>
    </row>
    <row r="33">
      <c r="A33" s="18" t="inlineStr">
        <is>
          <t>FOOD &amp; DINING</t>
        </is>
      </c>
      <c r="B33" s="18" t="inlineStr">
        <is>
          <t>Work Lunch</t>
        </is>
      </c>
      <c r="C33" s="19" t="n">
        <v>0</v>
      </c>
      <c r="D33" s="19" t="n">
        <v>0</v>
      </c>
      <c r="E33" s="5">
        <f>C33-D33</f>
        <v/>
      </c>
      <c r="F33" s="20">
        <f>IFERROR(D33/C33,0)</f>
        <v/>
      </c>
      <c r="G33" s="18" t="inlineStr"/>
    </row>
    <row r="34">
      <c r="A34" s="21" t="inlineStr">
        <is>
          <t>FOOD &amp; DINING</t>
        </is>
      </c>
      <c r="B34" s="21" t="inlineStr">
        <is>
          <t>Other</t>
        </is>
      </c>
      <c r="C34" s="22" t="n">
        <v>0</v>
      </c>
      <c r="D34" s="22" t="n">
        <v>0</v>
      </c>
      <c r="E34" s="9">
        <f>C34-D34</f>
        <v/>
      </c>
      <c r="F34" s="11">
        <f>IFERROR(D34/C34,0)</f>
        <v/>
      </c>
      <c r="G34" s="21" t="inlineStr"/>
    </row>
    <row r="35" ht="18" customHeight="1">
      <c r="A35" s="28" t="inlineStr">
        <is>
          <t>FOOD &amp; DINING TOTAL</t>
        </is>
      </c>
      <c r="C35" s="29">
        <f>SUM(C29:C34)</f>
        <v/>
      </c>
      <c r="D35" s="29">
        <f>SUM(D29:D34)</f>
        <v/>
      </c>
      <c r="E35" s="29">
        <f>C35-D35</f>
        <v/>
      </c>
      <c r="F35" s="30">
        <f>IFERROR(D35/C35,0)</f>
        <v/>
      </c>
      <c r="G35" s="31" t="inlineStr"/>
    </row>
    <row r="36" ht="18" customHeight="1">
      <c r="A36" s="27" t="inlineStr">
        <is>
          <t>HEALTH &amp; WELLNESS</t>
        </is>
      </c>
    </row>
    <row r="37">
      <c r="A37" s="18" t="inlineStr">
        <is>
          <t>HEALTH &amp; WELLNESS</t>
        </is>
      </c>
      <c r="B37" s="18" t="inlineStr">
        <is>
          <t>Health Insurance</t>
        </is>
      </c>
      <c r="C37" s="19" t="n">
        <v>0</v>
      </c>
      <c r="D37" s="19" t="n">
        <v>0</v>
      </c>
      <c r="E37" s="5">
        <f>C37-D37</f>
        <v/>
      </c>
      <c r="F37" s="20">
        <f>IFERROR(D37/C37,0)</f>
        <v/>
      </c>
      <c r="G37" s="18" t="inlineStr"/>
    </row>
    <row r="38">
      <c r="A38" s="21" t="inlineStr">
        <is>
          <t>HEALTH &amp; WELLNESS</t>
        </is>
      </c>
      <c r="B38" s="21" t="inlineStr">
        <is>
          <t>Gym Membership</t>
        </is>
      </c>
      <c r="C38" s="22" t="n">
        <v>0</v>
      </c>
      <c r="D38" s="22" t="n">
        <v>0</v>
      </c>
      <c r="E38" s="9">
        <f>C38-D38</f>
        <v/>
      </c>
      <c r="F38" s="11">
        <f>IFERROR(D38/C38,0)</f>
        <v/>
      </c>
      <c r="G38" s="21" t="inlineStr"/>
    </row>
    <row r="39">
      <c r="A39" s="18" t="inlineStr">
        <is>
          <t>HEALTH &amp; WELLNESS</t>
        </is>
      </c>
      <c r="B39" s="18" t="inlineStr">
        <is>
          <t>Pharmacy</t>
        </is>
      </c>
      <c r="C39" s="19" t="n">
        <v>0</v>
      </c>
      <c r="D39" s="19" t="n">
        <v>0</v>
      </c>
      <c r="E39" s="5">
        <f>C39-D39</f>
        <v/>
      </c>
      <c r="F39" s="20">
        <f>IFERROR(D39/C39,0)</f>
        <v/>
      </c>
      <c r="G39" s="18" t="inlineStr"/>
    </row>
    <row r="40">
      <c r="A40" s="21" t="inlineStr">
        <is>
          <t>HEALTH &amp; WELLNESS</t>
        </is>
      </c>
      <c r="B40" s="21" t="inlineStr">
        <is>
          <t>Doctor Visits</t>
        </is>
      </c>
      <c r="C40" s="22" t="n">
        <v>0</v>
      </c>
      <c r="D40" s="22" t="n">
        <v>0</v>
      </c>
      <c r="E40" s="9">
        <f>C40-D40</f>
        <v/>
      </c>
      <c r="F40" s="11">
        <f>IFERROR(D40/C40,0)</f>
        <v/>
      </c>
      <c r="G40" s="21" t="inlineStr"/>
    </row>
    <row r="41">
      <c r="A41" s="18" t="inlineStr">
        <is>
          <t>HEALTH &amp; WELLNESS</t>
        </is>
      </c>
      <c r="B41" s="18" t="inlineStr">
        <is>
          <t>Dental</t>
        </is>
      </c>
      <c r="C41" s="19" t="n">
        <v>0</v>
      </c>
      <c r="D41" s="19" t="n">
        <v>0</v>
      </c>
      <c r="E41" s="5">
        <f>C41-D41</f>
        <v/>
      </c>
      <c r="F41" s="20">
        <f>IFERROR(D41/C41,0)</f>
        <v/>
      </c>
      <c r="G41" s="18" t="inlineStr"/>
    </row>
    <row r="42">
      <c r="A42" s="21" t="inlineStr">
        <is>
          <t>HEALTH &amp; WELLNESS</t>
        </is>
      </c>
      <c r="B42" s="21" t="inlineStr">
        <is>
          <t>Mental Health</t>
        </is>
      </c>
      <c r="C42" s="22" t="n">
        <v>0</v>
      </c>
      <c r="D42" s="22" t="n">
        <v>0</v>
      </c>
      <c r="E42" s="9">
        <f>C42-D42</f>
        <v/>
      </c>
      <c r="F42" s="11">
        <f>IFERROR(D42/C42,0)</f>
        <v/>
      </c>
      <c r="G42" s="21" t="inlineStr"/>
    </row>
    <row r="43" ht="18" customHeight="1">
      <c r="A43" s="28" t="inlineStr">
        <is>
          <t>HEALTH &amp; WELLNESS TOTAL</t>
        </is>
      </c>
      <c r="C43" s="29">
        <f>SUM(C37:C42)</f>
        <v/>
      </c>
      <c r="D43" s="29">
        <f>SUM(D37:D42)</f>
        <v/>
      </c>
      <c r="E43" s="29">
        <f>C43-D43</f>
        <v/>
      </c>
      <c r="F43" s="30">
        <f>IFERROR(D43/C43,0)</f>
        <v/>
      </c>
      <c r="G43" s="31" t="inlineStr"/>
    </row>
    <row r="44" ht="18" customHeight="1">
      <c r="A44" s="27" t="inlineStr">
        <is>
          <t>LIFESTYLE</t>
        </is>
      </c>
    </row>
    <row r="45">
      <c r="A45" s="18" t="inlineStr">
        <is>
          <t>LIFESTYLE</t>
        </is>
      </c>
      <c r="B45" s="18" t="inlineStr">
        <is>
          <t>Streaming Services</t>
        </is>
      </c>
      <c r="C45" s="19" t="n">
        <v>0</v>
      </c>
      <c r="D45" s="19" t="n">
        <v>0</v>
      </c>
      <c r="E45" s="5">
        <f>C45-D45</f>
        <v/>
      </c>
      <c r="F45" s="20">
        <f>IFERROR(D45/C45,0)</f>
        <v/>
      </c>
      <c r="G45" s="18" t="inlineStr"/>
    </row>
    <row r="46">
      <c r="A46" s="21" t="inlineStr">
        <is>
          <t>LIFESTYLE</t>
        </is>
      </c>
      <c r="B46" s="21" t="inlineStr">
        <is>
          <t>Entertainment</t>
        </is>
      </c>
      <c r="C46" s="22" t="n">
        <v>0</v>
      </c>
      <c r="D46" s="22" t="n">
        <v>0</v>
      </c>
      <c r="E46" s="9">
        <f>C46-D46</f>
        <v/>
      </c>
      <c r="F46" s="11">
        <f>IFERROR(D46/C46,0)</f>
        <v/>
      </c>
      <c r="G46" s="21" t="inlineStr"/>
    </row>
    <row r="47">
      <c r="A47" s="18" t="inlineStr">
        <is>
          <t>LIFESTYLE</t>
        </is>
      </c>
      <c r="B47" s="18" t="inlineStr">
        <is>
          <t>Hobbies</t>
        </is>
      </c>
      <c r="C47" s="19" t="n">
        <v>0</v>
      </c>
      <c r="D47" s="19" t="n">
        <v>0</v>
      </c>
      <c r="E47" s="5">
        <f>C47-D47</f>
        <v/>
      </c>
      <c r="F47" s="20">
        <f>IFERROR(D47/C47,0)</f>
        <v/>
      </c>
      <c r="G47" s="18" t="inlineStr"/>
    </row>
    <row r="48">
      <c r="A48" s="21" t="inlineStr">
        <is>
          <t>LIFESTYLE</t>
        </is>
      </c>
      <c r="B48" s="21" t="inlineStr">
        <is>
          <t>Personal Care</t>
        </is>
      </c>
      <c r="C48" s="22" t="n">
        <v>0</v>
      </c>
      <c r="D48" s="22" t="n">
        <v>0</v>
      </c>
      <c r="E48" s="9">
        <f>C48-D48</f>
        <v/>
      </c>
      <c r="F48" s="11">
        <f>IFERROR(D48/C48,0)</f>
        <v/>
      </c>
      <c r="G48" s="21" t="inlineStr"/>
    </row>
    <row r="49">
      <c r="A49" s="18" t="inlineStr">
        <is>
          <t>LIFESTYLE</t>
        </is>
      </c>
      <c r="B49" s="18" t="inlineStr">
        <is>
          <t>Books</t>
        </is>
      </c>
      <c r="C49" s="19" t="n">
        <v>0</v>
      </c>
      <c r="D49" s="19" t="n">
        <v>0</v>
      </c>
      <c r="E49" s="5">
        <f>C49-D49</f>
        <v/>
      </c>
      <c r="F49" s="20">
        <f>IFERROR(D49/C49,0)</f>
        <v/>
      </c>
      <c r="G49" s="18" t="inlineStr"/>
    </row>
    <row r="50">
      <c r="A50" s="21" t="inlineStr">
        <is>
          <t>LIFESTYLE</t>
        </is>
      </c>
      <c r="B50" s="21" t="inlineStr">
        <is>
          <t>Clothing</t>
        </is>
      </c>
      <c r="C50" s="22" t="n">
        <v>0</v>
      </c>
      <c r="D50" s="22" t="n">
        <v>0</v>
      </c>
      <c r="E50" s="9">
        <f>C50-D50</f>
        <v/>
      </c>
      <c r="F50" s="11">
        <f>IFERROR(D50/C50,0)</f>
        <v/>
      </c>
      <c r="G50" s="21" t="inlineStr"/>
    </row>
    <row r="51" ht="18" customHeight="1">
      <c r="A51" s="28" t="inlineStr">
        <is>
          <t>LIFESTYLE TOTAL</t>
        </is>
      </c>
      <c r="C51" s="29">
        <f>SUM(C45:C50)</f>
        <v/>
      </c>
      <c r="D51" s="29">
        <f>SUM(D45:D50)</f>
        <v/>
      </c>
      <c r="E51" s="29">
        <f>C51-D51</f>
        <v/>
      </c>
      <c r="F51" s="30">
        <f>IFERROR(D51/C51,0)</f>
        <v/>
      </c>
      <c r="G51" s="31" t="inlineStr"/>
    </row>
    <row r="52" ht="18" customHeight="1">
      <c r="A52" s="27" t="inlineStr">
        <is>
          <t>CHILDREN &amp; FAMILY</t>
        </is>
      </c>
    </row>
    <row r="53">
      <c r="A53" s="18" t="inlineStr">
        <is>
          <t>CHILDREN &amp; FAMILY</t>
        </is>
      </c>
      <c r="B53" s="18" t="inlineStr">
        <is>
          <t>Childcare</t>
        </is>
      </c>
      <c r="C53" s="19" t="n">
        <v>0</v>
      </c>
      <c r="D53" s="19" t="n">
        <v>0</v>
      </c>
      <c r="E53" s="5">
        <f>C53-D53</f>
        <v/>
      </c>
      <c r="F53" s="20">
        <f>IFERROR(D53/C53,0)</f>
        <v/>
      </c>
      <c r="G53" s="18" t="inlineStr"/>
    </row>
    <row r="54">
      <c r="A54" s="21" t="inlineStr">
        <is>
          <t>CHILDREN &amp; FAMILY</t>
        </is>
      </c>
      <c r="B54" s="21" t="inlineStr">
        <is>
          <t>School Fees</t>
        </is>
      </c>
      <c r="C54" s="22" t="n">
        <v>0</v>
      </c>
      <c r="D54" s="22" t="n">
        <v>0</v>
      </c>
      <c r="E54" s="9">
        <f>C54-D54</f>
        <v/>
      </c>
      <c r="F54" s="11">
        <f>IFERROR(D54/C54,0)</f>
        <v/>
      </c>
      <c r="G54" s="21" t="inlineStr"/>
    </row>
    <row r="55">
      <c r="A55" s="18" t="inlineStr">
        <is>
          <t>CHILDREN &amp; FAMILY</t>
        </is>
      </c>
      <c r="B55" s="18" t="inlineStr">
        <is>
          <t>Activities</t>
        </is>
      </c>
      <c r="C55" s="19" t="n">
        <v>0</v>
      </c>
      <c r="D55" s="19" t="n">
        <v>0</v>
      </c>
      <c r="E55" s="5">
        <f>C55-D55</f>
        <v/>
      </c>
      <c r="F55" s="20">
        <f>IFERROR(D55/C55,0)</f>
        <v/>
      </c>
      <c r="G55" s="18" t="inlineStr"/>
    </row>
    <row r="56">
      <c r="A56" s="21" t="inlineStr">
        <is>
          <t>CHILDREN &amp; FAMILY</t>
        </is>
      </c>
      <c r="B56" s="21" t="inlineStr">
        <is>
          <t>Toys &amp; Gifts</t>
        </is>
      </c>
      <c r="C56" s="22" t="n">
        <v>0</v>
      </c>
      <c r="D56" s="22" t="n">
        <v>0</v>
      </c>
      <c r="E56" s="9">
        <f>C56-D56</f>
        <v/>
      </c>
      <c r="F56" s="11">
        <f>IFERROR(D56/C56,0)</f>
        <v/>
      </c>
      <c r="G56" s="21" t="inlineStr"/>
    </row>
    <row r="57">
      <c r="A57" s="18" t="inlineStr">
        <is>
          <t>CHILDREN &amp; FAMILY</t>
        </is>
      </c>
      <c r="B57" s="18" t="inlineStr">
        <is>
          <t>Family Outings</t>
        </is>
      </c>
      <c r="C57" s="19" t="n">
        <v>0</v>
      </c>
      <c r="D57" s="19" t="n">
        <v>0</v>
      </c>
      <c r="E57" s="5">
        <f>C57-D57</f>
        <v/>
      </c>
      <c r="F57" s="20">
        <f>IFERROR(D57/C57,0)</f>
        <v/>
      </c>
      <c r="G57" s="18" t="inlineStr"/>
    </row>
    <row r="58">
      <c r="A58" s="21" t="inlineStr">
        <is>
          <t>CHILDREN &amp; FAMILY</t>
        </is>
      </c>
      <c r="B58" s="21" t="inlineStr">
        <is>
          <t>Other</t>
        </is>
      </c>
      <c r="C58" s="22" t="n">
        <v>0</v>
      </c>
      <c r="D58" s="22" t="n">
        <v>0</v>
      </c>
      <c r="E58" s="9">
        <f>C58-D58</f>
        <v/>
      </c>
      <c r="F58" s="11">
        <f>IFERROR(D58/C58,0)</f>
        <v/>
      </c>
      <c r="G58" s="21" t="inlineStr"/>
    </row>
    <row r="59" ht="18" customHeight="1">
      <c r="A59" s="28" t="inlineStr">
        <is>
          <t>CHILDREN &amp; FAMILY TOTAL</t>
        </is>
      </c>
      <c r="C59" s="29">
        <f>SUM(C53:C58)</f>
        <v/>
      </c>
      <c r="D59" s="29">
        <f>SUM(D53:D58)</f>
        <v/>
      </c>
      <c r="E59" s="29">
        <f>C59-D59</f>
        <v/>
      </c>
      <c r="F59" s="30">
        <f>IFERROR(D59/C59,0)</f>
        <v/>
      </c>
      <c r="G59" s="31" t="inlineStr"/>
    </row>
    <row r="60" ht="18" customHeight="1">
      <c r="A60" s="27" t="inlineStr">
        <is>
          <t>SAVINGS &amp; INVESTMENTS</t>
        </is>
      </c>
    </row>
    <row r="61">
      <c r="A61" s="18" t="inlineStr">
        <is>
          <t>SAVINGS &amp; INVESTMENTS</t>
        </is>
      </c>
      <c r="B61" s="18" t="inlineStr">
        <is>
          <t>Emergency Fund</t>
        </is>
      </c>
      <c r="C61" s="19" t="n">
        <v>0</v>
      </c>
      <c r="D61" s="19" t="n">
        <v>0</v>
      </c>
      <c r="E61" s="5">
        <f>C61-D61</f>
        <v/>
      </c>
      <c r="F61" s="20">
        <f>IFERROR(D61/C61,0)</f>
        <v/>
      </c>
      <c r="G61" s="18" t="inlineStr"/>
    </row>
    <row r="62">
      <c r="A62" s="21" t="inlineStr">
        <is>
          <t>SAVINGS &amp; INVESTMENTS</t>
        </is>
      </c>
      <c r="B62" s="21" t="inlineStr">
        <is>
          <t>Pension/IRA</t>
        </is>
      </c>
      <c r="C62" s="22" t="n">
        <v>0</v>
      </c>
      <c r="D62" s="22" t="n">
        <v>0</v>
      </c>
      <c r="E62" s="9">
        <f>C62-D62</f>
        <v/>
      </c>
      <c r="F62" s="11">
        <f>IFERROR(D62/C62,0)</f>
        <v/>
      </c>
      <c r="G62" s="21" t="inlineStr"/>
    </row>
    <row r="63">
      <c r="A63" s="18" t="inlineStr">
        <is>
          <t>SAVINGS &amp; INVESTMENTS</t>
        </is>
      </c>
      <c r="B63" s="18" t="inlineStr">
        <is>
          <t>Stocks &amp; ETFs</t>
        </is>
      </c>
      <c r="C63" s="19" t="n">
        <v>0</v>
      </c>
      <c r="D63" s="19" t="n">
        <v>0</v>
      </c>
      <c r="E63" s="5">
        <f>C63-D63</f>
        <v/>
      </c>
      <c r="F63" s="20">
        <f>IFERROR(D63/C63,0)</f>
        <v/>
      </c>
      <c r="G63" s="18" t="inlineStr"/>
    </row>
    <row r="64">
      <c r="A64" s="21" t="inlineStr">
        <is>
          <t>SAVINGS &amp; INVESTMENTS</t>
        </is>
      </c>
      <c r="B64" s="21" t="inlineStr">
        <is>
          <t>Vacation Fund</t>
        </is>
      </c>
      <c r="C64" s="22" t="n">
        <v>0</v>
      </c>
      <c r="D64" s="22" t="n">
        <v>0</v>
      </c>
      <c r="E64" s="9">
        <f>C64-D64</f>
        <v/>
      </c>
      <c r="F64" s="11">
        <f>IFERROR(D64/C64,0)</f>
        <v/>
      </c>
      <c r="G64" s="21" t="inlineStr"/>
    </row>
    <row r="65">
      <c r="A65" s="18" t="inlineStr">
        <is>
          <t>SAVINGS &amp; INVESTMENTS</t>
        </is>
      </c>
      <c r="B65" s="18" t="inlineStr">
        <is>
          <t>Home Fund</t>
        </is>
      </c>
      <c r="C65" s="19" t="n">
        <v>0</v>
      </c>
      <c r="D65" s="19" t="n">
        <v>0</v>
      </c>
      <c r="E65" s="5">
        <f>C65-D65</f>
        <v/>
      </c>
      <c r="F65" s="20">
        <f>IFERROR(D65/C65,0)</f>
        <v/>
      </c>
      <c r="G65" s="18" t="inlineStr"/>
    </row>
    <row r="66">
      <c r="A66" s="21" t="inlineStr">
        <is>
          <t>SAVINGS &amp; INVESTMENTS</t>
        </is>
      </c>
      <c r="B66" s="21" t="inlineStr">
        <is>
          <t>Other</t>
        </is>
      </c>
      <c r="C66" s="22" t="n">
        <v>0</v>
      </c>
      <c r="D66" s="22" t="n">
        <v>0</v>
      </c>
      <c r="E66" s="9">
        <f>C66-D66</f>
        <v/>
      </c>
      <c r="F66" s="11">
        <f>IFERROR(D66/C66,0)</f>
        <v/>
      </c>
      <c r="G66" s="21" t="inlineStr"/>
    </row>
    <row r="67" ht="18" customHeight="1">
      <c r="A67" s="28" t="inlineStr">
        <is>
          <t>SAVINGS &amp; INVESTMENTS TOTAL</t>
        </is>
      </c>
      <c r="C67" s="29">
        <f>SUM(C61:C66)</f>
        <v/>
      </c>
      <c r="D67" s="29">
        <f>SUM(D61:D66)</f>
        <v/>
      </c>
      <c r="E67" s="29">
        <f>C67-D67</f>
        <v/>
      </c>
      <c r="F67" s="30">
        <f>IFERROR(D67/C67,0)</f>
        <v/>
      </c>
      <c r="G67" s="31" t="inlineStr"/>
    </row>
    <row r="68" ht="18" customHeight="1">
      <c r="A68" s="27" t="inlineStr">
        <is>
          <t>DEBT PAYMENTS</t>
        </is>
      </c>
    </row>
    <row r="69">
      <c r="A69" s="18" t="inlineStr">
        <is>
          <t>DEBT PAYMENTS</t>
        </is>
      </c>
      <c r="B69" s="18" t="inlineStr">
        <is>
          <t>Credit Card 1</t>
        </is>
      </c>
      <c r="C69" s="19" t="n">
        <v>0</v>
      </c>
      <c r="D69" s="19" t="n">
        <v>0</v>
      </c>
      <c r="E69" s="5">
        <f>C69-D69</f>
        <v/>
      </c>
      <c r="F69" s="20">
        <f>IFERROR(D69/C69,0)</f>
        <v/>
      </c>
      <c r="G69" s="18" t="inlineStr"/>
    </row>
    <row r="70">
      <c r="A70" s="21" t="inlineStr">
        <is>
          <t>DEBT PAYMENTS</t>
        </is>
      </c>
      <c r="B70" s="21" t="inlineStr">
        <is>
          <t>Credit Card 2</t>
        </is>
      </c>
      <c r="C70" s="22" t="n">
        <v>0</v>
      </c>
      <c r="D70" s="22" t="n">
        <v>0</v>
      </c>
      <c r="E70" s="9">
        <f>C70-D70</f>
        <v/>
      </c>
      <c r="F70" s="11">
        <f>IFERROR(D70/C70,0)</f>
        <v/>
      </c>
      <c r="G70" s="21" t="inlineStr"/>
    </row>
    <row r="71">
      <c r="A71" s="18" t="inlineStr">
        <is>
          <t>DEBT PAYMENTS</t>
        </is>
      </c>
      <c r="B71" s="18" t="inlineStr">
        <is>
          <t>Student Loan</t>
        </is>
      </c>
      <c r="C71" s="19" t="n">
        <v>0</v>
      </c>
      <c r="D71" s="19" t="n">
        <v>0</v>
      </c>
      <c r="E71" s="5">
        <f>C71-D71</f>
        <v/>
      </c>
      <c r="F71" s="20">
        <f>IFERROR(D71/C71,0)</f>
        <v/>
      </c>
      <c r="G71" s="18" t="inlineStr"/>
    </row>
    <row r="72">
      <c r="A72" s="21" t="inlineStr">
        <is>
          <t>DEBT PAYMENTS</t>
        </is>
      </c>
      <c r="B72" s="21" t="inlineStr">
        <is>
          <t>Car Loan</t>
        </is>
      </c>
      <c r="C72" s="22" t="n">
        <v>0</v>
      </c>
      <c r="D72" s="22" t="n">
        <v>0</v>
      </c>
      <c r="E72" s="9">
        <f>C72-D72</f>
        <v/>
      </c>
      <c r="F72" s="11">
        <f>IFERROR(D72/C72,0)</f>
        <v/>
      </c>
      <c r="G72" s="21" t="inlineStr"/>
    </row>
    <row r="73">
      <c r="A73" s="18" t="inlineStr">
        <is>
          <t>DEBT PAYMENTS</t>
        </is>
      </c>
      <c r="B73" s="18" t="inlineStr">
        <is>
          <t>Personal Loan</t>
        </is>
      </c>
      <c r="C73" s="19" t="n">
        <v>0</v>
      </c>
      <c r="D73" s="19" t="n">
        <v>0</v>
      </c>
      <c r="E73" s="5">
        <f>C73-D73</f>
        <v/>
      </c>
      <c r="F73" s="20">
        <f>IFERROR(D73/C73,0)</f>
        <v/>
      </c>
      <c r="G73" s="18" t="inlineStr"/>
    </row>
    <row r="74">
      <c r="A74" s="21" t="inlineStr">
        <is>
          <t>DEBT PAYMENTS</t>
        </is>
      </c>
      <c r="B74" s="21" t="inlineStr">
        <is>
          <t>Other</t>
        </is>
      </c>
      <c r="C74" s="22" t="n">
        <v>0</v>
      </c>
      <c r="D74" s="22" t="n">
        <v>0</v>
      </c>
      <c r="E74" s="9">
        <f>C74-D74</f>
        <v/>
      </c>
      <c r="F74" s="11">
        <f>IFERROR(D74/C74,0)</f>
        <v/>
      </c>
      <c r="G74" s="21" t="inlineStr"/>
    </row>
    <row r="75" ht="18" customHeight="1">
      <c r="A75" s="28" t="inlineStr">
        <is>
          <t>DEBT PAYMENTS TOTAL</t>
        </is>
      </c>
      <c r="C75" s="29">
        <f>SUM(C69:C74)</f>
        <v/>
      </c>
      <c r="D75" s="29">
        <f>SUM(D69:D74)</f>
        <v/>
      </c>
      <c r="E75" s="29">
        <f>C75-D75</f>
        <v/>
      </c>
      <c r="F75" s="30">
        <f>IFERROR(D75/C75,0)</f>
        <v/>
      </c>
      <c r="G75" s="31" t="inlineStr"/>
    </row>
    <row r="76" ht="22" customHeight="1">
      <c r="A76" s="32" t="inlineStr">
        <is>
          <t>GRAND TOTAL EXPENSES</t>
        </is>
      </c>
      <c r="C76" s="33">
        <f>SUM(C19,C27,C35,C43,C51,C59,C67,C75)</f>
        <v/>
      </c>
      <c r="D76" s="33">
        <f>D19+D27+D35+D43+D51+D59+D67+D75</f>
        <v/>
      </c>
      <c r="E76" s="33">
        <f>C76-D76</f>
        <v/>
      </c>
      <c r="F76" s="34">
        <f>IFERROR(D76/C76,0)</f>
        <v/>
      </c>
      <c r="G76" s="35" t="inlineStr"/>
    </row>
    <row r="77" ht="22" customHeight="1">
      <c r="A77" s="17" t="inlineStr">
        <is>
          <t>NET CASH FLOW</t>
        </is>
      </c>
      <c r="C77" s="36">
        <f>C11-C76</f>
        <v/>
      </c>
      <c r="D77" s="36">
        <f>D11-D76</f>
        <v/>
      </c>
      <c r="E77" s="36">
        <f>C77-D77</f>
        <v/>
      </c>
      <c r="F77" s="37" t="inlineStr"/>
      <c r="G77" s="37" t="inlineStr"/>
    </row>
  </sheetData>
  <mergeCells count="22">
    <mergeCell ref="A59:B59"/>
    <mergeCell ref="A11:B11"/>
    <mergeCell ref="A51:B51"/>
    <mergeCell ref="A4:G4"/>
    <mergeCell ref="A20:G20"/>
    <mergeCell ref="A52:G52"/>
    <mergeCell ref="A68:G68"/>
    <mergeCell ref="A28:G28"/>
    <mergeCell ref="A44:G44"/>
    <mergeCell ref="A75:B75"/>
    <mergeCell ref="A60:G60"/>
    <mergeCell ref="A27:B27"/>
    <mergeCell ref="A36:G36"/>
    <mergeCell ref="A1:G1"/>
    <mergeCell ref="A76:B76"/>
    <mergeCell ref="A35:B35"/>
    <mergeCell ref="A43:B43"/>
    <mergeCell ref="A19:B19"/>
    <mergeCell ref="A12:G12"/>
    <mergeCell ref="A2:G2"/>
    <mergeCell ref="A67:B67"/>
    <mergeCell ref="A77:B7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3" customWidth="1" min="4" max="4"/>
    <col width="13" customWidth="1" min="5" max="5"/>
    <col width="10" customWidth="1" min="6" max="6"/>
    <col width="18" customWidth="1" min="7" max="7"/>
  </cols>
  <sheetData>
    <row r="1" ht="44" customHeight="1">
      <c r="A1" s="14" t="inlineStr">
        <is>
          <t>JUNE · MONTHLY BUDGET</t>
        </is>
      </c>
    </row>
    <row r="2" ht="18" customHeight="1">
      <c r="A2" s="15" t="inlineStr">
        <is>
          <t>Track your income, expenses, and savings for the month</t>
        </is>
      </c>
    </row>
    <row r="3" ht="20" customHeight="1">
      <c r="A3" s="16" t="inlineStr">
        <is>
          <t>CATEGORY</t>
        </is>
      </c>
      <c r="B3" s="16" t="inlineStr">
        <is>
          <t>SUBCATEGORY</t>
        </is>
      </c>
      <c r="C3" s="16" t="inlineStr">
        <is>
          <t>BUDGETED</t>
        </is>
      </c>
      <c r="D3" s="16" t="inlineStr">
        <is>
          <t>ACTUAL</t>
        </is>
      </c>
      <c r="E3" s="16" t="inlineStr">
        <is>
          <t>DIFFERENCE</t>
        </is>
      </c>
      <c r="F3" s="16" t="inlineStr">
        <is>
          <t>% USED</t>
        </is>
      </c>
      <c r="G3" s="16" t="inlineStr">
        <is>
          <t>NOTES</t>
        </is>
      </c>
    </row>
    <row r="4" ht="18" customHeight="1">
      <c r="A4" s="17" t="inlineStr">
        <is>
          <t>INCOME</t>
        </is>
      </c>
    </row>
    <row r="5">
      <c r="A5" s="4" t="inlineStr">
        <is>
          <t>INCOME</t>
        </is>
      </c>
      <c r="B5" s="18" t="inlineStr">
        <is>
          <t>Primary Salary</t>
        </is>
      </c>
      <c r="C5" s="19" t="n">
        <v>0</v>
      </c>
      <c r="D5" s="19" t="n">
        <v>0</v>
      </c>
      <c r="E5" s="5">
        <f>C5-D5</f>
        <v/>
      </c>
      <c r="F5" s="20">
        <f>IFERROR(D5/C5,0)</f>
        <v/>
      </c>
      <c r="G5" s="18" t="inlineStr"/>
    </row>
    <row r="6">
      <c r="A6" s="8" t="inlineStr">
        <is>
          <t>INCOME</t>
        </is>
      </c>
      <c r="B6" s="21" t="inlineStr">
        <is>
          <t>Freelance</t>
        </is>
      </c>
      <c r="C6" s="22" t="n">
        <v>0</v>
      </c>
      <c r="D6" s="22" t="n">
        <v>0</v>
      </c>
      <c r="E6" s="9">
        <f>C6-D6</f>
        <v/>
      </c>
      <c r="F6" s="11">
        <f>IFERROR(D6/C6,0)</f>
        <v/>
      </c>
      <c r="G6" s="21" t="inlineStr"/>
    </row>
    <row r="7">
      <c r="A7" s="4" t="inlineStr">
        <is>
          <t>INCOME</t>
        </is>
      </c>
      <c r="B7" s="18" t="inlineStr">
        <is>
          <t>Rental Income</t>
        </is>
      </c>
      <c r="C7" s="19" t="n">
        <v>0</v>
      </c>
      <c r="D7" s="19" t="n">
        <v>0</v>
      </c>
      <c r="E7" s="5">
        <f>C7-D7</f>
        <v/>
      </c>
      <c r="F7" s="20">
        <f>IFERROR(D7/C7,0)</f>
        <v/>
      </c>
      <c r="G7" s="18" t="inlineStr"/>
    </row>
    <row r="8">
      <c r="A8" s="8" t="inlineStr">
        <is>
          <t>INCOME</t>
        </is>
      </c>
      <c r="B8" s="21" t="inlineStr">
        <is>
          <t>Dividends</t>
        </is>
      </c>
      <c r="C8" s="22" t="n">
        <v>0</v>
      </c>
      <c r="D8" s="22" t="n">
        <v>0</v>
      </c>
      <c r="E8" s="9">
        <f>C8-D8</f>
        <v/>
      </c>
      <c r="F8" s="11">
        <f>IFERROR(D8/C8,0)</f>
        <v/>
      </c>
      <c r="G8" s="21" t="inlineStr"/>
    </row>
    <row r="9">
      <c r="A9" s="4" t="inlineStr">
        <is>
          <t>INCOME</t>
        </is>
      </c>
      <c r="B9" s="18" t="inlineStr">
        <is>
          <t>Side Business</t>
        </is>
      </c>
      <c r="C9" s="19" t="n">
        <v>0</v>
      </c>
      <c r="D9" s="19" t="n">
        <v>0</v>
      </c>
      <c r="E9" s="5">
        <f>C9-D9</f>
        <v/>
      </c>
      <c r="F9" s="20">
        <f>IFERROR(D9/C9,0)</f>
        <v/>
      </c>
      <c r="G9" s="18" t="inlineStr"/>
    </row>
    <row r="10">
      <c r="A10" s="8" t="inlineStr">
        <is>
          <t>INCOME</t>
        </is>
      </c>
      <c r="B10" s="21" t="inlineStr">
        <is>
          <t>Other Income</t>
        </is>
      </c>
      <c r="C10" s="22" t="n">
        <v>0</v>
      </c>
      <c r="D10" s="22" t="n">
        <v>0</v>
      </c>
      <c r="E10" s="9">
        <f>C10-D10</f>
        <v/>
      </c>
      <c r="F10" s="11">
        <f>IFERROR(D10/C10,0)</f>
        <v/>
      </c>
      <c r="G10" s="21" t="inlineStr"/>
    </row>
    <row r="11" ht="18" customHeight="1">
      <c r="A11" s="23" t="inlineStr">
        <is>
          <t>TOTAL INCOME</t>
        </is>
      </c>
      <c r="C11" s="24">
        <f>SUM(C5:C10)</f>
        <v/>
      </c>
      <c r="D11" s="24">
        <f>SUM(D5:D10)</f>
        <v/>
      </c>
      <c r="E11" s="24">
        <f>C11-D11</f>
        <v/>
      </c>
      <c r="F11" s="25">
        <f>IFERROR(D11/C11,0)</f>
        <v/>
      </c>
      <c r="G11" s="26" t="inlineStr"/>
    </row>
    <row r="12" ht="18" customHeight="1">
      <c r="A12" s="27" t="inlineStr">
        <is>
          <t>HOUSING</t>
        </is>
      </c>
    </row>
    <row r="13">
      <c r="A13" s="18" t="inlineStr">
        <is>
          <t>HOUSING</t>
        </is>
      </c>
      <c r="B13" s="18" t="inlineStr">
        <is>
          <t>Rent/Mortgage</t>
        </is>
      </c>
      <c r="C13" s="19" t="n">
        <v>0</v>
      </c>
      <c r="D13" s="19" t="n">
        <v>0</v>
      </c>
      <c r="E13" s="5">
        <f>C13-D13</f>
        <v/>
      </c>
      <c r="F13" s="20">
        <f>IFERROR(D13/C13,0)</f>
        <v/>
      </c>
      <c r="G13" s="18" t="inlineStr"/>
    </row>
    <row r="14">
      <c r="A14" s="21" t="inlineStr">
        <is>
          <t>HOUSING</t>
        </is>
      </c>
      <c r="B14" s="21" t="inlineStr">
        <is>
          <t>Electricity</t>
        </is>
      </c>
      <c r="C14" s="22" t="n">
        <v>0</v>
      </c>
      <c r="D14" s="22" t="n">
        <v>0</v>
      </c>
      <c r="E14" s="9">
        <f>C14-D14</f>
        <v/>
      </c>
      <c r="F14" s="11">
        <f>IFERROR(D14/C14,0)</f>
        <v/>
      </c>
      <c r="G14" s="21" t="inlineStr"/>
    </row>
    <row r="15">
      <c r="A15" s="18" t="inlineStr">
        <is>
          <t>HOUSING</t>
        </is>
      </c>
      <c r="B15" s="18" t="inlineStr">
        <is>
          <t>Water</t>
        </is>
      </c>
      <c r="C15" s="19" t="n">
        <v>0</v>
      </c>
      <c r="D15" s="19" t="n">
        <v>0</v>
      </c>
      <c r="E15" s="5">
        <f>C15-D15</f>
        <v/>
      </c>
      <c r="F15" s="20">
        <f>IFERROR(D15/C15,0)</f>
        <v/>
      </c>
      <c r="G15" s="18" t="inlineStr"/>
    </row>
    <row r="16">
      <c r="A16" s="21" t="inlineStr">
        <is>
          <t>HOUSING</t>
        </is>
      </c>
      <c r="B16" s="21" t="inlineStr">
        <is>
          <t>Internet</t>
        </is>
      </c>
      <c r="C16" s="22" t="n">
        <v>0</v>
      </c>
      <c r="D16" s="22" t="n">
        <v>0</v>
      </c>
      <c r="E16" s="9">
        <f>C16-D16</f>
        <v/>
      </c>
      <c r="F16" s="11">
        <f>IFERROR(D16/C16,0)</f>
        <v/>
      </c>
      <c r="G16" s="21" t="inlineStr"/>
    </row>
    <row r="17">
      <c r="A17" s="18" t="inlineStr">
        <is>
          <t>HOUSING</t>
        </is>
      </c>
      <c r="B17" s="18" t="inlineStr">
        <is>
          <t>Home Insurance</t>
        </is>
      </c>
      <c r="C17" s="19" t="n">
        <v>0</v>
      </c>
      <c r="D17" s="19" t="n">
        <v>0</v>
      </c>
      <c r="E17" s="5">
        <f>C17-D17</f>
        <v/>
      </c>
      <c r="F17" s="20">
        <f>IFERROR(D17/C17,0)</f>
        <v/>
      </c>
      <c r="G17" s="18" t="inlineStr"/>
    </row>
    <row r="18">
      <c r="A18" s="21" t="inlineStr">
        <is>
          <t>HOUSING</t>
        </is>
      </c>
      <c r="B18" s="21" t="inlineStr">
        <is>
          <t>Maintenance</t>
        </is>
      </c>
      <c r="C18" s="22" t="n">
        <v>0</v>
      </c>
      <c r="D18" s="22" t="n">
        <v>0</v>
      </c>
      <c r="E18" s="9">
        <f>C18-D18</f>
        <v/>
      </c>
      <c r="F18" s="11">
        <f>IFERROR(D18/C18,0)</f>
        <v/>
      </c>
      <c r="G18" s="21" t="inlineStr"/>
    </row>
    <row r="19" ht="18" customHeight="1">
      <c r="A19" s="28" t="inlineStr">
        <is>
          <t>HOUSING TOTAL</t>
        </is>
      </c>
      <c r="C19" s="29">
        <f>SUM(C13:C18)</f>
        <v/>
      </c>
      <c r="D19" s="29">
        <f>SUM(D13:D18)</f>
        <v/>
      </c>
      <c r="E19" s="29">
        <f>C19-D19</f>
        <v/>
      </c>
      <c r="F19" s="30">
        <f>IFERROR(D19/C19,0)</f>
        <v/>
      </c>
      <c r="G19" s="31" t="inlineStr"/>
    </row>
    <row r="20" ht="18" customHeight="1">
      <c r="A20" s="27" t="inlineStr">
        <is>
          <t>TRANSPORT</t>
        </is>
      </c>
    </row>
    <row r="21">
      <c r="A21" s="18" t="inlineStr">
        <is>
          <t>TRANSPORT</t>
        </is>
      </c>
      <c r="B21" s="18" t="inlineStr">
        <is>
          <t>Car Payment</t>
        </is>
      </c>
      <c r="C21" s="19" t="n">
        <v>0</v>
      </c>
      <c r="D21" s="19" t="n">
        <v>0</v>
      </c>
      <c r="E21" s="5">
        <f>C21-D21</f>
        <v/>
      </c>
      <c r="F21" s="20">
        <f>IFERROR(D21/C21,0)</f>
        <v/>
      </c>
      <c r="G21" s="18" t="inlineStr"/>
    </row>
    <row r="22">
      <c r="A22" s="21" t="inlineStr">
        <is>
          <t>TRANSPORT</t>
        </is>
      </c>
      <c r="B22" s="21" t="inlineStr">
        <is>
          <t>Fuel</t>
        </is>
      </c>
      <c r="C22" s="22" t="n">
        <v>0</v>
      </c>
      <c r="D22" s="22" t="n">
        <v>0</v>
      </c>
      <c r="E22" s="9">
        <f>C22-D22</f>
        <v/>
      </c>
      <c r="F22" s="11">
        <f>IFERROR(D22/C22,0)</f>
        <v/>
      </c>
      <c r="G22" s="21" t="inlineStr"/>
    </row>
    <row r="23">
      <c r="A23" s="18" t="inlineStr">
        <is>
          <t>TRANSPORT</t>
        </is>
      </c>
      <c r="B23" s="18" t="inlineStr">
        <is>
          <t>Car Insurance</t>
        </is>
      </c>
      <c r="C23" s="19" t="n">
        <v>0</v>
      </c>
      <c r="D23" s="19" t="n">
        <v>0</v>
      </c>
      <c r="E23" s="5">
        <f>C23-D23</f>
        <v/>
      </c>
      <c r="F23" s="20">
        <f>IFERROR(D23/C23,0)</f>
        <v/>
      </c>
      <c r="G23" s="18" t="inlineStr"/>
    </row>
    <row r="24">
      <c r="A24" s="21" t="inlineStr">
        <is>
          <t>TRANSPORT</t>
        </is>
      </c>
      <c r="B24" s="21" t="inlineStr">
        <is>
          <t>Parking</t>
        </is>
      </c>
      <c r="C24" s="22" t="n">
        <v>0</v>
      </c>
      <c r="D24" s="22" t="n">
        <v>0</v>
      </c>
      <c r="E24" s="9">
        <f>C24-D24</f>
        <v/>
      </c>
      <c r="F24" s="11">
        <f>IFERROR(D24/C24,0)</f>
        <v/>
      </c>
      <c r="G24" s="21" t="inlineStr"/>
    </row>
    <row r="25">
      <c r="A25" s="18" t="inlineStr">
        <is>
          <t>TRANSPORT</t>
        </is>
      </c>
      <c r="B25" s="18" t="inlineStr">
        <is>
          <t>Public Transport</t>
        </is>
      </c>
      <c r="C25" s="19" t="n">
        <v>0</v>
      </c>
      <c r="D25" s="19" t="n">
        <v>0</v>
      </c>
      <c r="E25" s="5">
        <f>C25-D25</f>
        <v/>
      </c>
      <c r="F25" s="20">
        <f>IFERROR(D25/C25,0)</f>
        <v/>
      </c>
      <c r="G25" s="18" t="inlineStr"/>
    </row>
    <row r="26">
      <c r="A26" s="21" t="inlineStr">
        <is>
          <t>TRANSPORT</t>
        </is>
      </c>
      <c r="B26" s="21" t="inlineStr">
        <is>
          <t>Ride Share</t>
        </is>
      </c>
      <c r="C26" s="22" t="n">
        <v>0</v>
      </c>
      <c r="D26" s="22" t="n">
        <v>0</v>
      </c>
      <c r="E26" s="9">
        <f>C26-D26</f>
        <v/>
      </c>
      <c r="F26" s="11">
        <f>IFERROR(D26/C26,0)</f>
        <v/>
      </c>
      <c r="G26" s="21" t="inlineStr"/>
    </row>
    <row r="27" ht="18" customHeight="1">
      <c r="A27" s="28" t="inlineStr">
        <is>
          <t>TRANSPORT TOTAL</t>
        </is>
      </c>
      <c r="C27" s="29">
        <f>SUM(C21:C26)</f>
        <v/>
      </c>
      <c r="D27" s="29">
        <f>SUM(D21:D26)</f>
        <v/>
      </c>
      <c r="E27" s="29">
        <f>C27-D27</f>
        <v/>
      </c>
      <c r="F27" s="30">
        <f>IFERROR(D27/C27,0)</f>
        <v/>
      </c>
      <c r="G27" s="31" t="inlineStr"/>
    </row>
    <row r="28" ht="18" customHeight="1">
      <c r="A28" s="27" t="inlineStr">
        <is>
          <t>FOOD &amp; DINING</t>
        </is>
      </c>
    </row>
    <row r="29">
      <c r="A29" s="18" t="inlineStr">
        <is>
          <t>FOOD &amp; DINING</t>
        </is>
      </c>
      <c r="B29" s="18" t="inlineStr">
        <is>
          <t>Groceries</t>
        </is>
      </c>
      <c r="C29" s="19" t="n">
        <v>0</v>
      </c>
      <c r="D29" s="19" t="n">
        <v>0</v>
      </c>
      <c r="E29" s="5">
        <f>C29-D29</f>
        <v/>
      </c>
      <c r="F29" s="20">
        <f>IFERROR(D29/C29,0)</f>
        <v/>
      </c>
      <c r="G29" s="18" t="inlineStr"/>
    </row>
    <row r="30">
      <c r="A30" s="21" t="inlineStr">
        <is>
          <t>FOOD &amp; DINING</t>
        </is>
      </c>
      <c r="B30" s="21" t="inlineStr">
        <is>
          <t>Restaurants</t>
        </is>
      </c>
      <c r="C30" s="22" t="n">
        <v>0</v>
      </c>
      <c r="D30" s="22" t="n">
        <v>0</v>
      </c>
      <c r="E30" s="9">
        <f>C30-D30</f>
        <v/>
      </c>
      <c r="F30" s="11">
        <f>IFERROR(D30/C30,0)</f>
        <v/>
      </c>
      <c r="G30" s="21" t="inlineStr"/>
    </row>
    <row r="31">
      <c r="A31" s="18" t="inlineStr">
        <is>
          <t>FOOD &amp; DINING</t>
        </is>
      </c>
      <c r="B31" s="18" t="inlineStr">
        <is>
          <t>Coffee Shops</t>
        </is>
      </c>
      <c r="C31" s="19" t="n">
        <v>0</v>
      </c>
      <c r="D31" s="19" t="n">
        <v>0</v>
      </c>
      <c r="E31" s="5">
        <f>C31-D31</f>
        <v/>
      </c>
      <c r="F31" s="20">
        <f>IFERROR(D31/C31,0)</f>
        <v/>
      </c>
      <c r="G31" s="18" t="inlineStr"/>
    </row>
    <row r="32">
      <c r="A32" s="21" t="inlineStr">
        <is>
          <t>FOOD &amp; DINING</t>
        </is>
      </c>
      <c r="B32" s="21" t="inlineStr">
        <is>
          <t>Food Delivery</t>
        </is>
      </c>
      <c r="C32" s="22" t="n">
        <v>0</v>
      </c>
      <c r="D32" s="22" t="n">
        <v>0</v>
      </c>
      <c r="E32" s="9">
        <f>C32-D32</f>
        <v/>
      </c>
      <c r="F32" s="11">
        <f>IFERROR(D32/C32,0)</f>
        <v/>
      </c>
      <c r="G32" s="21" t="inlineStr"/>
    </row>
    <row r="33">
      <c r="A33" s="18" t="inlineStr">
        <is>
          <t>FOOD &amp; DINING</t>
        </is>
      </c>
      <c r="B33" s="18" t="inlineStr">
        <is>
          <t>Work Lunch</t>
        </is>
      </c>
      <c r="C33" s="19" t="n">
        <v>0</v>
      </c>
      <c r="D33" s="19" t="n">
        <v>0</v>
      </c>
      <c r="E33" s="5">
        <f>C33-D33</f>
        <v/>
      </c>
      <c r="F33" s="20">
        <f>IFERROR(D33/C33,0)</f>
        <v/>
      </c>
      <c r="G33" s="18" t="inlineStr"/>
    </row>
    <row r="34">
      <c r="A34" s="21" t="inlineStr">
        <is>
          <t>FOOD &amp; DINING</t>
        </is>
      </c>
      <c r="B34" s="21" t="inlineStr">
        <is>
          <t>Other</t>
        </is>
      </c>
      <c r="C34" s="22" t="n">
        <v>0</v>
      </c>
      <c r="D34" s="22" t="n">
        <v>0</v>
      </c>
      <c r="E34" s="9">
        <f>C34-D34</f>
        <v/>
      </c>
      <c r="F34" s="11">
        <f>IFERROR(D34/C34,0)</f>
        <v/>
      </c>
      <c r="G34" s="21" t="inlineStr"/>
    </row>
    <row r="35" ht="18" customHeight="1">
      <c r="A35" s="28" t="inlineStr">
        <is>
          <t>FOOD &amp; DINING TOTAL</t>
        </is>
      </c>
      <c r="C35" s="29">
        <f>SUM(C29:C34)</f>
        <v/>
      </c>
      <c r="D35" s="29">
        <f>SUM(D29:D34)</f>
        <v/>
      </c>
      <c r="E35" s="29">
        <f>C35-D35</f>
        <v/>
      </c>
      <c r="F35" s="30">
        <f>IFERROR(D35/C35,0)</f>
        <v/>
      </c>
      <c r="G35" s="31" t="inlineStr"/>
    </row>
    <row r="36" ht="18" customHeight="1">
      <c r="A36" s="27" t="inlineStr">
        <is>
          <t>HEALTH &amp; WELLNESS</t>
        </is>
      </c>
    </row>
    <row r="37">
      <c r="A37" s="18" t="inlineStr">
        <is>
          <t>HEALTH &amp; WELLNESS</t>
        </is>
      </c>
      <c r="B37" s="18" t="inlineStr">
        <is>
          <t>Health Insurance</t>
        </is>
      </c>
      <c r="C37" s="19" t="n">
        <v>0</v>
      </c>
      <c r="D37" s="19" t="n">
        <v>0</v>
      </c>
      <c r="E37" s="5">
        <f>C37-D37</f>
        <v/>
      </c>
      <c r="F37" s="20">
        <f>IFERROR(D37/C37,0)</f>
        <v/>
      </c>
      <c r="G37" s="18" t="inlineStr"/>
    </row>
    <row r="38">
      <c r="A38" s="21" t="inlineStr">
        <is>
          <t>HEALTH &amp; WELLNESS</t>
        </is>
      </c>
      <c r="B38" s="21" t="inlineStr">
        <is>
          <t>Gym Membership</t>
        </is>
      </c>
      <c r="C38" s="22" t="n">
        <v>0</v>
      </c>
      <c r="D38" s="22" t="n">
        <v>0</v>
      </c>
      <c r="E38" s="9">
        <f>C38-D38</f>
        <v/>
      </c>
      <c r="F38" s="11">
        <f>IFERROR(D38/C38,0)</f>
        <v/>
      </c>
      <c r="G38" s="21" t="inlineStr"/>
    </row>
    <row r="39">
      <c r="A39" s="18" t="inlineStr">
        <is>
          <t>HEALTH &amp; WELLNESS</t>
        </is>
      </c>
      <c r="B39" s="18" t="inlineStr">
        <is>
          <t>Pharmacy</t>
        </is>
      </c>
      <c r="C39" s="19" t="n">
        <v>0</v>
      </c>
      <c r="D39" s="19" t="n">
        <v>0</v>
      </c>
      <c r="E39" s="5">
        <f>C39-D39</f>
        <v/>
      </c>
      <c r="F39" s="20">
        <f>IFERROR(D39/C39,0)</f>
        <v/>
      </c>
      <c r="G39" s="18" t="inlineStr"/>
    </row>
    <row r="40">
      <c r="A40" s="21" t="inlineStr">
        <is>
          <t>HEALTH &amp; WELLNESS</t>
        </is>
      </c>
      <c r="B40" s="21" t="inlineStr">
        <is>
          <t>Doctor Visits</t>
        </is>
      </c>
      <c r="C40" s="22" t="n">
        <v>0</v>
      </c>
      <c r="D40" s="22" t="n">
        <v>0</v>
      </c>
      <c r="E40" s="9">
        <f>C40-D40</f>
        <v/>
      </c>
      <c r="F40" s="11">
        <f>IFERROR(D40/C40,0)</f>
        <v/>
      </c>
      <c r="G40" s="21" t="inlineStr"/>
    </row>
    <row r="41">
      <c r="A41" s="18" t="inlineStr">
        <is>
          <t>HEALTH &amp; WELLNESS</t>
        </is>
      </c>
      <c r="B41" s="18" t="inlineStr">
        <is>
          <t>Dental</t>
        </is>
      </c>
      <c r="C41" s="19" t="n">
        <v>0</v>
      </c>
      <c r="D41" s="19" t="n">
        <v>0</v>
      </c>
      <c r="E41" s="5">
        <f>C41-D41</f>
        <v/>
      </c>
      <c r="F41" s="20">
        <f>IFERROR(D41/C41,0)</f>
        <v/>
      </c>
      <c r="G41" s="18" t="inlineStr"/>
    </row>
    <row r="42">
      <c r="A42" s="21" t="inlineStr">
        <is>
          <t>HEALTH &amp; WELLNESS</t>
        </is>
      </c>
      <c r="B42" s="21" t="inlineStr">
        <is>
          <t>Mental Health</t>
        </is>
      </c>
      <c r="C42" s="22" t="n">
        <v>0</v>
      </c>
      <c r="D42" s="22" t="n">
        <v>0</v>
      </c>
      <c r="E42" s="9">
        <f>C42-D42</f>
        <v/>
      </c>
      <c r="F42" s="11">
        <f>IFERROR(D42/C42,0)</f>
        <v/>
      </c>
      <c r="G42" s="21" t="inlineStr"/>
    </row>
    <row r="43" ht="18" customHeight="1">
      <c r="A43" s="28" t="inlineStr">
        <is>
          <t>HEALTH &amp; WELLNESS TOTAL</t>
        </is>
      </c>
      <c r="C43" s="29">
        <f>SUM(C37:C42)</f>
        <v/>
      </c>
      <c r="D43" s="29">
        <f>SUM(D37:D42)</f>
        <v/>
      </c>
      <c r="E43" s="29">
        <f>C43-D43</f>
        <v/>
      </c>
      <c r="F43" s="30">
        <f>IFERROR(D43/C43,0)</f>
        <v/>
      </c>
      <c r="G43" s="31" t="inlineStr"/>
    </row>
    <row r="44" ht="18" customHeight="1">
      <c r="A44" s="27" t="inlineStr">
        <is>
          <t>LIFESTYLE</t>
        </is>
      </c>
    </row>
    <row r="45">
      <c r="A45" s="18" t="inlineStr">
        <is>
          <t>LIFESTYLE</t>
        </is>
      </c>
      <c r="B45" s="18" t="inlineStr">
        <is>
          <t>Streaming Services</t>
        </is>
      </c>
      <c r="C45" s="19" t="n">
        <v>0</v>
      </c>
      <c r="D45" s="19" t="n">
        <v>0</v>
      </c>
      <c r="E45" s="5">
        <f>C45-D45</f>
        <v/>
      </c>
      <c r="F45" s="20">
        <f>IFERROR(D45/C45,0)</f>
        <v/>
      </c>
      <c r="G45" s="18" t="inlineStr"/>
    </row>
    <row r="46">
      <c r="A46" s="21" t="inlineStr">
        <is>
          <t>LIFESTYLE</t>
        </is>
      </c>
      <c r="B46" s="21" t="inlineStr">
        <is>
          <t>Entertainment</t>
        </is>
      </c>
      <c r="C46" s="22" t="n">
        <v>0</v>
      </c>
      <c r="D46" s="22" t="n">
        <v>0</v>
      </c>
      <c r="E46" s="9">
        <f>C46-D46</f>
        <v/>
      </c>
      <c r="F46" s="11">
        <f>IFERROR(D46/C46,0)</f>
        <v/>
      </c>
      <c r="G46" s="21" t="inlineStr"/>
    </row>
    <row r="47">
      <c r="A47" s="18" t="inlineStr">
        <is>
          <t>LIFESTYLE</t>
        </is>
      </c>
      <c r="B47" s="18" t="inlineStr">
        <is>
          <t>Hobbies</t>
        </is>
      </c>
      <c r="C47" s="19" t="n">
        <v>0</v>
      </c>
      <c r="D47" s="19" t="n">
        <v>0</v>
      </c>
      <c r="E47" s="5">
        <f>C47-D47</f>
        <v/>
      </c>
      <c r="F47" s="20">
        <f>IFERROR(D47/C47,0)</f>
        <v/>
      </c>
      <c r="G47" s="18" t="inlineStr"/>
    </row>
    <row r="48">
      <c r="A48" s="21" t="inlineStr">
        <is>
          <t>LIFESTYLE</t>
        </is>
      </c>
      <c r="B48" s="21" t="inlineStr">
        <is>
          <t>Personal Care</t>
        </is>
      </c>
      <c r="C48" s="22" t="n">
        <v>0</v>
      </c>
      <c r="D48" s="22" t="n">
        <v>0</v>
      </c>
      <c r="E48" s="9">
        <f>C48-D48</f>
        <v/>
      </c>
      <c r="F48" s="11">
        <f>IFERROR(D48/C48,0)</f>
        <v/>
      </c>
      <c r="G48" s="21" t="inlineStr"/>
    </row>
    <row r="49">
      <c r="A49" s="18" t="inlineStr">
        <is>
          <t>LIFESTYLE</t>
        </is>
      </c>
      <c r="B49" s="18" t="inlineStr">
        <is>
          <t>Books</t>
        </is>
      </c>
      <c r="C49" s="19" t="n">
        <v>0</v>
      </c>
      <c r="D49" s="19" t="n">
        <v>0</v>
      </c>
      <c r="E49" s="5">
        <f>C49-D49</f>
        <v/>
      </c>
      <c r="F49" s="20">
        <f>IFERROR(D49/C49,0)</f>
        <v/>
      </c>
      <c r="G49" s="18" t="inlineStr"/>
    </row>
    <row r="50">
      <c r="A50" s="21" t="inlineStr">
        <is>
          <t>LIFESTYLE</t>
        </is>
      </c>
      <c r="B50" s="21" t="inlineStr">
        <is>
          <t>Clothing</t>
        </is>
      </c>
      <c r="C50" s="22" t="n">
        <v>0</v>
      </c>
      <c r="D50" s="22" t="n">
        <v>0</v>
      </c>
      <c r="E50" s="9">
        <f>C50-D50</f>
        <v/>
      </c>
      <c r="F50" s="11">
        <f>IFERROR(D50/C50,0)</f>
        <v/>
      </c>
      <c r="G50" s="21" t="inlineStr"/>
    </row>
    <row r="51" ht="18" customHeight="1">
      <c r="A51" s="28" t="inlineStr">
        <is>
          <t>LIFESTYLE TOTAL</t>
        </is>
      </c>
      <c r="C51" s="29">
        <f>SUM(C45:C50)</f>
        <v/>
      </c>
      <c r="D51" s="29">
        <f>SUM(D45:D50)</f>
        <v/>
      </c>
      <c r="E51" s="29">
        <f>C51-D51</f>
        <v/>
      </c>
      <c r="F51" s="30">
        <f>IFERROR(D51/C51,0)</f>
        <v/>
      </c>
      <c r="G51" s="31" t="inlineStr"/>
    </row>
    <row r="52" ht="18" customHeight="1">
      <c r="A52" s="27" t="inlineStr">
        <is>
          <t>CHILDREN &amp; FAMILY</t>
        </is>
      </c>
    </row>
    <row r="53">
      <c r="A53" s="18" t="inlineStr">
        <is>
          <t>CHILDREN &amp; FAMILY</t>
        </is>
      </c>
      <c r="B53" s="18" t="inlineStr">
        <is>
          <t>Childcare</t>
        </is>
      </c>
      <c r="C53" s="19" t="n">
        <v>0</v>
      </c>
      <c r="D53" s="19" t="n">
        <v>0</v>
      </c>
      <c r="E53" s="5">
        <f>C53-D53</f>
        <v/>
      </c>
      <c r="F53" s="20">
        <f>IFERROR(D53/C53,0)</f>
        <v/>
      </c>
      <c r="G53" s="18" t="inlineStr"/>
    </row>
    <row r="54">
      <c r="A54" s="21" t="inlineStr">
        <is>
          <t>CHILDREN &amp; FAMILY</t>
        </is>
      </c>
      <c r="B54" s="21" t="inlineStr">
        <is>
          <t>School Fees</t>
        </is>
      </c>
      <c r="C54" s="22" t="n">
        <v>0</v>
      </c>
      <c r="D54" s="22" t="n">
        <v>0</v>
      </c>
      <c r="E54" s="9">
        <f>C54-D54</f>
        <v/>
      </c>
      <c r="F54" s="11">
        <f>IFERROR(D54/C54,0)</f>
        <v/>
      </c>
      <c r="G54" s="21" t="inlineStr"/>
    </row>
    <row r="55">
      <c r="A55" s="18" t="inlineStr">
        <is>
          <t>CHILDREN &amp; FAMILY</t>
        </is>
      </c>
      <c r="B55" s="18" t="inlineStr">
        <is>
          <t>Activities</t>
        </is>
      </c>
      <c r="C55" s="19" t="n">
        <v>0</v>
      </c>
      <c r="D55" s="19" t="n">
        <v>0</v>
      </c>
      <c r="E55" s="5">
        <f>C55-D55</f>
        <v/>
      </c>
      <c r="F55" s="20">
        <f>IFERROR(D55/C55,0)</f>
        <v/>
      </c>
      <c r="G55" s="18" t="inlineStr"/>
    </row>
    <row r="56">
      <c r="A56" s="21" t="inlineStr">
        <is>
          <t>CHILDREN &amp; FAMILY</t>
        </is>
      </c>
      <c r="B56" s="21" t="inlineStr">
        <is>
          <t>Toys &amp; Gifts</t>
        </is>
      </c>
      <c r="C56" s="22" t="n">
        <v>0</v>
      </c>
      <c r="D56" s="22" t="n">
        <v>0</v>
      </c>
      <c r="E56" s="9">
        <f>C56-D56</f>
        <v/>
      </c>
      <c r="F56" s="11">
        <f>IFERROR(D56/C56,0)</f>
        <v/>
      </c>
      <c r="G56" s="21" t="inlineStr"/>
    </row>
    <row r="57">
      <c r="A57" s="18" t="inlineStr">
        <is>
          <t>CHILDREN &amp; FAMILY</t>
        </is>
      </c>
      <c r="B57" s="18" t="inlineStr">
        <is>
          <t>Family Outings</t>
        </is>
      </c>
      <c r="C57" s="19" t="n">
        <v>0</v>
      </c>
      <c r="D57" s="19" t="n">
        <v>0</v>
      </c>
      <c r="E57" s="5">
        <f>C57-D57</f>
        <v/>
      </c>
      <c r="F57" s="20">
        <f>IFERROR(D57/C57,0)</f>
        <v/>
      </c>
      <c r="G57" s="18" t="inlineStr"/>
    </row>
    <row r="58">
      <c r="A58" s="21" t="inlineStr">
        <is>
          <t>CHILDREN &amp; FAMILY</t>
        </is>
      </c>
      <c r="B58" s="21" t="inlineStr">
        <is>
          <t>Other</t>
        </is>
      </c>
      <c r="C58" s="22" t="n">
        <v>0</v>
      </c>
      <c r="D58" s="22" t="n">
        <v>0</v>
      </c>
      <c r="E58" s="9">
        <f>C58-D58</f>
        <v/>
      </c>
      <c r="F58" s="11">
        <f>IFERROR(D58/C58,0)</f>
        <v/>
      </c>
      <c r="G58" s="21" t="inlineStr"/>
    </row>
    <row r="59" ht="18" customHeight="1">
      <c r="A59" s="28" t="inlineStr">
        <is>
          <t>CHILDREN &amp; FAMILY TOTAL</t>
        </is>
      </c>
      <c r="C59" s="29">
        <f>SUM(C53:C58)</f>
        <v/>
      </c>
      <c r="D59" s="29">
        <f>SUM(D53:D58)</f>
        <v/>
      </c>
      <c r="E59" s="29">
        <f>C59-D59</f>
        <v/>
      </c>
      <c r="F59" s="30">
        <f>IFERROR(D59/C59,0)</f>
        <v/>
      </c>
      <c r="G59" s="31" t="inlineStr"/>
    </row>
    <row r="60" ht="18" customHeight="1">
      <c r="A60" s="27" t="inlineStr">
        <is>
          <t>SAVINGS &amp; INVESTMENTS</t>
        </is>
      </c>
    </row>
    <row r="61">
      <c r="A61" s="18" t="inlineStr">
        <is>
          <t>SAVINGS &amp; INVESTMENTS</t>
        </is>
      </c>
      <c r="B61" s="18" t="inlineStr">
        <is>
          <t>Emergency Fund</t>
        </is>
      </c>
      <c r="C61" s="19" t="n">
        <v>0</v>
      </c>
      <c r="D61" s="19" t="n">
        <v>0</v>
      </c>
      <c r="E61" s="5">
        <f>C61-D61</f>
        <v/>
      </c>
      <c r="F61" s="20">
        <f>IFERROR(D61/C61,0)</f>
        <v/>
      </c>
      <c r="G61" s="18" t="inlineStr"/>
    </row>
    <row r="62">
      <c r="A62" s="21" t="inlineStr">
        <is>
          <t>SAVINGS &amp; INVESTMENTS</t>
        </is>
      </c>
      <c r="B62" s="21" t="inlineStr">
        <is>
          <t>Pension/IRA</t>
        </is>
      </c>
      <c r="C62" s="22" t="n">
        <v>0</v>
      </c>
      <c r="D62" s="22" t="n">
        <v>0</v>
      </c>
      <c r="E62" s="9">
        <f>C62-D62</f>
        <v/>
      </c>
      <c r="F62" s="11">
        <f>IFERROR(D62/C62,0)</f>
        <v/>
      </c>
      <c r="G62" s="21" t="inlineStr"/>
    </row>
    <row r="63">
      <c r="A63" s="18" t="inlineStr">
        <is>
          <t>SAVINGS &amp; INVESTMENTS</t>
        </is>
      </c>
      <c r="B63" s="18" t="inlineStr">
        <is>
          <t>Stocks &amp; ETFs</t>
        </is>
      </c>
      <c r="C63" s="19" t="n">
        <v>0</v>
      </c>
      <c r="D63" s="19" t="n">
        <v>0</v>
      </c>
      <c r="E63" s="5">
        <f>C63-D63</f>
        <v/>
      </c>
      <c r="F63" s="20">
        <f>IFERROR(D63/C63,0)</f>
        <v/>
      </c>
      <c r="G63" s="18" t="inlineStr"/>
    </row>
    <row r="64">
      <c r="A64" s="21" t="inlineStr">
        <is>
          <t>SAVINGS &amp; INVESTMENTS</t>
        </is>
      </c>
      <c r="B64" s="21" t="inlineStr">
        <is>
          <t>Vacation Fund</t>
        </is>
      </c>
      <c r="C64" s="22" t="n">
        <v>0</v>
      </c>
      <c r="D64" s="22" t="n">
        <v>0</v>
      </c>
      <c r="E64" s="9">
        <f>C64-D64</f>
        <v/>
      </c>
      <c r="F64" s="11">
        <f>IFERROR(D64/C64,0)</f>
        <v/>
      </c>
      <c r="G64" s="21" t="inlineStr"/>
    </row>
    <row r="65">
      <c r="A65" s="18" t="inlineStr">
        <is>
          <t>SAVINGS &amp; INVESTMENTS</t>
        </is>
      </c>
      <c r="B65" s="18" t="inlineStr">
        <is>
          <t>Home Fund</t>
        </is>
      </c>
      <c r="C65" s="19" t="n">
        <v>0</v>
      </c>
      <c r="D65" s="19" t="n">
        <v>0</v>
      </c>
      <c r="E65" s="5">
        <f>C65-D65</f>
        <v/>
      </c>
      <c r="F65" s="20">
        <f>IFERROR(D65/C65,0)</f>
        <v/>
      </c>
      <c r="G65" s="18" t="inlineStr"/>
    </row>
    <row r="66">
      <c r="A66" s="21" t="inlineStr">
        <is>
          <t>SAVINGS &amp; INVESTMENTS</t>
        </is>
      </c>
      <c r="B66" s="21" t="inlineStr">
        <is>
          <t>Other</t>
        </is>
      </c>
      <c r="C66" s="22" t="n">
        <v>0</v>
      </c>
      <c r="D66" s="22" t="n">
        <v>0</v>
      </c>
      <c r="E66" s="9">
        <f>C66-D66</f>
        <v/>
      </c>
      <c r="F66" s="11">
        <f>IFERROR(D66/C66,0)</f>
        <v/>
      </c>
      <c r="G66" s="21" t="inlineStr"/>
    </row>
    <row r="67" ht="18" customHeight="1">
      <c r="A67" s="28" t="inlineStr">
        <is>
          <t>SAVINGS &amp; INVESTMENTS TOTAL</t>
        </is>
      </c>
      <c r="C67" s="29">
        <f>SUM(C61:C66)</f>
        <v/>
      </c>
      <c r="D67" s="29">
        <f>SUM(D61:D66)</f>
        <v/>
      </c>
      <c r="E67" s="29">
        <f>C67-D67</f>
        <v/>
      </c>
      <c r="F67" s="30">
        <f>IFERROR(D67/C67,0)</f>
        <v/>
      </c>
      <c r="G67" s="31" t="inlineStr"/>
    </row>
    <row r="68" ht="18" customHeight="1">
      <c r="A68" s="27" t="inlineStr">
        <is>
          <t>DEBT PAYMENTS</t>
        </is>
      </c>
    </row>
    <row r="69">
      <c r="A69" s="18" t="inlineStr">
        <is>
          <t>DEBT PAYMENTS</t>
        </is>
      </c>
      <c r="B69" s="18" t="inlineStr">
        <is>
          <t>Credit Card 1</t>
        </is>
      </c>
      <c r="C69" s="19" t="n">
        <v>0</v>
      </c>
      <c r="D69" s="19" t="n">
        <v>0</v>
      </c>
      <c r="E69" s="5">
        <f>C69-D69</f>
        <v/>
      </c>
      <c r="F69" s="20">
        <f>IFERROR(D69/C69,0)</f>
        <v/>
      </c>
      <c r="G69" s="18" t="inlineStr"/>
    </row>
    <row r="70">
      <c r="A70" s="21" t="inlineStr">
        <is>
          <t>DEBT PAYMENTS</t>
        </is>
      </c>
      <c r="B70" s="21" t="inlineStr">
        <is>
          <t>Credit Card 2</t>
        </is>
      </c>
      <c r="C70" s="22" t="n">
        <v>0</v>
      </c>
      <c r="D70" s="22" t="n">
        <v>0</v>
      </c>
      <c r="E70" s="9">
        <f>C70-D70</f>
        <v/>
      </c>
      <c r="F70" s="11">
        <f>IFERROR(D70/C70,0)</f>
        <v/>
      </c>
      <c r="G70" s="21" t="inlineStr"/>
    </row>
    <row r="71">
      <c r="A71" s="18" t="inlineStr">
        <is>
          <t>DEBT PAYMENTS</t>
        </is>
      </c>
      <c r="B71" s="18" t="inlineStr">
        <is>
          <t>Student Loan</t>
        </is>
      </c>
      <c r="C71" s="19" t="n">
        <v>0</v>
      </c>
      <c r="D71" s="19" t="n">
        <v>0</v>
      </c>
      <c r="E71" s="5">
        <f>C71-D71</f>
        <v/>
      </c>
      <c r="F71" s="20">
        <f>IFERROR(D71/C71,0)</f>
        <v/>
      </c>
      <c r="G71" s="18" t="inlineStr"/>
    </row>
    <row r="72">
      <c r="A72" s="21" t="inlineStr">
        <is>
          <t>DEBT PAYMENTS</t>
        </is>
      </c>
      <c r="B72" s="21" t="inlineStr">
        <is>
          <t>Car Loan</t>
        </is>
      </c>
      <c r="C72" s="22" t="n">
        <v>0</v>
      </c>
      <c r="D72" s="22" t="n">
        <v>0</v>
      </c>
      <c r="E72" s="9">
        <f>C72-D72</f>
        <v/>
      </c>
      <c r="F72" s="11">
        <f>IFERROR(D72/C72,0)</f>
        <v/>
      </c>
      <c r="G72" s="21" t="inlineStr"/>
    </row>
    <row r="73">
      <c r="A73" s="18" t="inlineStr">
        <is>
          <t>DEBT PAYMENTS</t>
        </is>
      </c>
      <c r="B73" s="18" t="inlineStr">
        <is>
          <t>Personal Loan</t>
        </is>
      </c>
      <c r="C73" s="19" t="n">
        <v>0</v>
      </c>
      <c r="D73" s="19" t="n">
        <v>0</v>
      </c>
      <c r="E73" s="5">
        <f>C73-D73</f>
        <v/>
      </c>
      <c r="F73" s="20">
        <f>IFERROR(D73/C73,0)</f>
        <v/>
      </c>
      <c r="G73" s="18" t="inlineStr"/>
    </row>
    <row r="74">
      <c r="A74" s="21" t="inlineStr">
        <is>
          <t>DEBT PAYMENTS</t>
        </is>
      </c>
      <c r="B74" s="21" t="inlineStr">
        <is>
          <t>Other</t>
        </is>
      </c>
      <c r="C74" s="22" t="n">
        <v>0</v>
      </c>
      <c r="D74" s="22" t="n">
        <v>0</v>
      </c>
      <c r="E74" s="9">
        <f>C74-D74</f>
        <v/>
      </c>
      <c r="F74" s="11">
        <f>IFERROR(D74/C74,0)</f>
        <v/>
      </c>
      <c r="G74" s="21" t="inlineStr"/>
    </row>
    <row r="75" ht="18" customHeight="1">
      <c r="A75" s="28" t="inlineStr">
        <is>
          <t>DEBT PAYMENTS TOTAL</t>
        </is>
      </c>
      <c r="C75" s="29">
        <f>SUM(C69:C74)</f>
        <v/>
      </c>
      <c r="D75" s="29">
        <f>SUM(D69:D74)</f>
        <v/>
      </c>
      <c r="E75" s="29">
        <f>C75-D75</f>
        <v/>
      </c>
      <c r="F75" s="30">
        <f>IFERROR(D75/C75,0)</f>
        <v/>
      </c>
      <c r="G75" s="31" t="inlineStr"/>
    </row>
    <row r="76" ht="22" customHeight="1">
      <c r="A76" s="32" t="inlineStr">
        <is>
          <t>GRAND TOTAL EXPENSES</t>
        </is>
      </c>
      <c r="C76" s="33">
        <f>SUM(C19,C27,C35,C43,C51,C59,C67,C75)</f>
        <v/>
      </c>
      <c r="D76" s="33">
        <f>D19+D27+D35+D43+D51+D59+D67+D75</f>
        <v/>
      </c>
      <c r="E76" s="33">
        <f>C76-D76</f>
        <v/>
      </c>
      <c r="F76" s="34">
        <f>IFERROR(D76/C76,0)</f>
        <v/>
      </c>
      <c r="G76" s="35" t="inlineStr"/>
    </row>
    <row r="77" ht="22" customHeight="1">
      <c r="A77" s="17" t="inlineStr">
        <is>
          <t>NET CASH FLOW</t>
        </is>
      </c>
      <c r="C77" s="36">
        <f>C11-C76</f>
        <v/>
      </c>
      <c r="D77" s="36">
        <f>D11-D76</f>
        <v/>
      </c>
      <c r="E77" s="36">
        <f>C77-D77</f>
        <v/>
      </c>
      <c r="F77" s="37" t="inlineStr"/>
      <c r="G77" s="37" t="inlineStr"/>
    </row>
  </sheetData>
  <mergeCells count="22">
    <mergeCell ref="A59:B59"/>
    <mergeCell ref="A11:B11"/>
    <mergeCell ref="A51:B51"/>
    <mergeCell ref="A4:G4"/>
    <mergeCell ref="A20:G20"/>
    <mergeCell ref="A52:G52"/>
    <mergeCell ref="A68:G68"/>
    <mergeCell ref="A28:G28"/>
    <mergeCell ref="A44:G44"/>
    <mergeCell ref="A75:B75"/>
    <mergeCell ref="A60:G60"/>
    <mergeCell ref="A27:B27"/>
    <mergeCell ref="A36:G36"/>
    <mergeCell ref="A1:G1"/>
    <mergeCell ref="A76:B76"/>
    <mergeCell ref="A35:B35"/>
    <mergeCell ref="A43:B43"/>
    <mergeCell ref="A19:B19"/>
    <mergeCell ref="A12:G12"/>
    <mergeCell ref="A2:G2"/>
    <mergeCell ref="A67:B67"/>
    <mergeCell ref="A77:B7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3" customWidth="1" min="4" max="4"/>
    <col width="13" customWidth="1" min="5" max="5"/>
    <col width="10" customWidth="1" min="6" max="6"/>
    <col width="18" customWidth="1" min="7" max="7"/>
  </cols>
  <sheetData>
    <row r="1" ht="44" customHeight="1">
      <c r="A1" s="14" t="inlineStr">
        <is>
          <t>JULY · MONTHLY BUDGET</t>
        </is>
      </c>
    </row>
    <row r="2" ht="18" customHeight="1">
      <c r="A2" s="15" t="inlineStr">
        <is>
          <t>Track your income, expenses, and savings for the month</t>
        </is>
      </c>
    </row>
    <row r="3" ht="20" customHeight="1">
      <c r="A3" s="16" t="inlineStr">
        <is>
          <t>CATEGORY</t>
        </is>
      </c>
      <c r="B3" s="16" t="inlineStr">
        <is>
          <t>SUBCATEGORY</t>
        </is>
      </c>
      <c r="C3" s="16" t="inlineStr">
        <is>
          <t>BUDGETED</t>
        </is>
      </c>
      <c r="D3" s="16" t="inlineStr">
        <is>
          <t>ACTUAL</t>
        </is>
      </c>
      <c r="E3" s="16" t="inlineStr">
        <is>
          <t>DIFFERENCE</t>
        </is>
      </c>
      <c r="F3" s="16" t="inlineStr">
        <is>
          <t>% USED</t>
        </is>
      </c>
      <c r="G3" s="16" t="inlineStr">
        <is>
          <t>NOTES</t>
        </is>
      </c>
    </row>
    <row r="4" ht="18" customHeight="1">
      <c r="A4" s="17" t="inlineStr">
        <is>
          <t>INCOME</t>
        </is>
      </c>
    </row>
    <row r="5">
      <c r="A5" s="4" t="inlineStr">
        <is>
          <t>INCOME</t>
        </is>
      </c>
      <c r="B5" s="18" t="inlineStr">
        <is>
          <t>Primary Salary</t>
        </is>
      </c>
      <c r="C5" s="19" t="n">
        <v>0</v>
      </c>
      <c r="D5" s="19" t="n">
        <v>0</v>
      </c>
      <c r="E5" s="5">
        <f>C5-D5</f>
        <v/>
      </c>
      <c r="F5" s="20">
        <f>IFERROR(D5/C5,0)</f>
        <v/>
      </c>
      <c r="G5" s="18" t="inlineStr"/>
    </row>
    <row r="6">
      <c r="A6" s="8" t="inlineStr">
        <is>
          <t>INCOME</t>
        </is>
      </c>
      <c r="B6" s="21" t="inlineStr">
        <is>
          <t>Freelance</t>
        </is>
      </c>
      <c r="C6" s="22" t="n">
        <v>0</v>
      </c>
      <c r="D6" s="22" t="n">
        <v>0</v>
      </c>
      <c r="E6" s="9">
        <f>C6-D6</f>
        <v/>
      </c>
      <c r="F6" s="11">
        <f>IFERROR(D6/C6,0)</f>
        <v/>
      </c>
      <c r="G6" s="21" t="inlineStr"/>
    </row>
    <row r="7">
      <c r="A7" s="4" t="inlineStr">
        <is>
          <t>INCOME</t>
        </is>
      </c>
      <c r="B7" s="18" t="inlineStr">
        <is>
          <t>Rental Income</t>
        </is>
      </c>
      <c r="C7" s="19" t="n">
        <v>0</v>
      </c>
      <c r="D7" s="19" t="n">
        <v>0</v>
      </c>
      <c r="E7" s="5">
        <f>C7-D7</f>
        <v/>
      </c>
      <c r="F7" s="20">
        <f>IFERROR(D7/C7,0)</f>
        <v/>
      </c>
      <c r="G7" s="18" t="inlineStr"/>
    </row>
    <row r="8">
      <c r="A8" s="8" t="inlineStr">
        <is>
          <t>INCOME</t>
        </is>
      </c>
      <c r="B8" s="21" t="inlineStr">
        <is>
          <t>Dividends</t>
        </is>
      </c>
      <c r="C8" s="22" t="n">
        <v>0</v>
      </c>
      <c r="D8" s="22" t="n">
        <v>0</v>
      </c>
      <c r="E8" s="9">
        <f>C8-D8</f>
        <v/>
      </c>
      <c r="F8" s="11">
        <f>IFERROR(D8/C8,0)</f>
        <v/>
      </c>
      <c r="G8" s="21" t="inlineStr"/>
    </row>
    <row r="9">
      <c r="A9" s="4" t="inlineStr">
        <is>
          <t>INCOME</t>
        </is>
      </c>
      <c r="B9" s="18" t="inlineStr">
        <is>
          <t>Side Business</t>
        </is>
      </c>
      <c r="C9" s="19" t="n">
        <v>0</v>
      </c>
      <c r="D9" s="19" t="n">
        <v>0</v>
      </c>
      <c r="E9" s="5">
        <f>C9-D9</f>
        <v/>
      </c>
      <c r="F9" s="20">
        <f>IFERROR(D9/C9,0)</f>
        <v/>
      </c>
      <c r="G9" s="18" t="inlineStr"/>
    </row>
    <row r="10">
      <c r="A10" s="8" t="inlineStr">
        <is>
          <t>INCOME</t>
        </is>
      </c>
      <c r="B10" s="21" t="inlineStr">
        <is>
          <t>Other Income</t>
        </is>
      </c>
      <c r="C10" s="22" t="n">
        <v>0</v>
      </c>
      <c r="D10" s="22" t="n">
        <v>0</v>
      </c>
      <c r="E10" s="9">
        <f>C10-D10</f>
        <v/>
      </c>
      <c r="F10" s="11">
        <f>IFERROR(D10/C10,0)</f>
        <v/>
      </c>
      <c r="G10" s="21" t="inlineStr"/>
    </row>
    <row r="11" ht="18" customHeight="1">
      <c r="A11" s="23" t="inlineStr">
        <is>
          <t>TOTAL INCOME</t>
        </is>
      </c>
      <c r="C11" s="24">
        <f>SUM(C5:C10)</f>
        <v/>
      </c>
      <c r="D11" s="24">
        <f>SUM(D5:D10)</f>
        <v/>
      </c>
      <c r="E11" s="24">
        <f>C11-D11</f>
        <v/>
      </c>
      <c r="F11" s="25">
        <f>IFERROR(D11/C11,0)</f>
        <v/>
      </c>
      <c r="G11" s="26" t="inlineStr"/>
    </row>
    <row r="12" ht="18" customHeight="1">
      <c r="A12" s="27" t="inlineStr">
        <is>
          <t>HOUSING</t>
        </is>
      </c>
    </row>
    <row r="13">
      <c r="A13" s="18" t="inlineStr">
        <is>
          <t>HOUSING</t>
        </is>
      </c>
      <c r="B13" s="18" t="inlineStr">
        <is>
          <t>Rent/Mortgage</t>
        </is>
      </c>
      <c r="C13" s="19" t="n">
        <v>0</v>
      </c>
      <c r="D13" s="19" t="n">
        <v>0</v>
      </c>
      <c r="E13" s="5">
        <f>C13-D13</f>
        <v/>
      </c>
      <c r="F13" s="20">
        <f>IFERROR(D13/C13,0)</f>
        <v/>
      </c>
      <c r="G13" s="18" t="inlineStr"/>
    </row>
    <row r="14">
      <c r="A14" s="21" t="inlineStr">
        <is>
          <t>HOUSING</t>
        </is>
      </c>
      <c r="B14" s="21" t="inlineStr">
        <is>
          <t>Electricity</t>
        </is>
      </c>
      <c r="C14" s="22" t="n">
        <v>0</v>
      </c>
      <c r="D14" s="22" t="n">
        <v>0</v>
      </c>
      <c r="E14" s="9">
        <f>C14-D14</f>
        <v/>
      </c>
      <c r="F14" s="11">
        <f>IFERROR(D14/C14,0)</f>
        <v/>
      </c>
      <c r="G14" s="21" t="inlineStr"/>
    </row>
    <row r="15">
      <c r="A15" s="18" t="inlineStr">
        <is>
          <t>HOUSING</t>
        </is>
      </c>
      <c r="B15" s="18" t="inlineStr">
        <is>
          <t>Water</t>
        </is>
      </c>
      <c r="C15" s="19" t="n">
        <v>0</v>
      </c>
      <c r="D15" s="19" t="n">
        <v>0</v>
      </c>
      <c r="E15" s="5">
        <f>C15-D15</f>
        <v/>
      </c>
      <c r="F15" s="20">
        <f>IFERROR(D15/C15,0)</f>
        <v/>
      </c>
      <c r="G15" s="18" t="inlineStr"/>
    </row>
    <row r="16">
      <c r="A16" s="21" t="inlineStr">
        <is>
          <t>HOUSING</t>
        </is>
      </c>
      <c r="B16" s="21" t="inlineStr">
        <is>
          <t>Internet</t>
        </is>
      </c>
      <c r="C16" s="22" t="n">
        <v>0</v>
      </c>
      <c r="D16" s="22" t="n">
        <v>0</v>
      </c>
      <c r="E16" s="9">
        <f>C16-D16</f>
        <v/>
      </c>
      <c r="F16" s="11">
        <f>IFERROR(D16/C16,0)</f>
        <v/>
      </c>
      <c r="G16" s="21" t="inlineStr"/>
    </row>
    <row r="17">
      <c r="A17" s="18" t="inlineStr">
        <is>
          <t>HOUSING</t>
        </is>
      </c>
      <c r="B17" s="18" t="inlineStr">
        <is>
          <t>Home Insurance</t>
        </is>
      </c>
      <c r="C17" s="19" t="n">
        <v>0</v>
      </c>
      <c r="D17" s="19" t="n">
        <v>0</v>
      </c>
      <c r="E17" s="5">
        <f>C17-D17</f>
        <v/>
      </c>
      <c r="F17" s="20">
        <f>IFERROR(D17/C17,0)</f>
        <v/>
      </c>
      <c r="G17" s="18" t="inlineStr"/>
    </row>
    <row r="18">
      <c r="A18" s="21" t="inlineStr">
        <is>
          <t>HOUSING</t>
        </is>
      </c>
      <c r="B18" s="21" t="inlineStr">
        <is>
          <t>Maintenance</t>
        </is>
      </c>
      <c r="C18" s="22" t="n">
        <v>0</v>
      </c>
      <c r="D18" s="22" t="n">
        <v>0</v>
      </c>
      <c r="E18" s="9">
        <f>C18-D18</f>
        <v/>
      </c>
      <c r="F18" s="11">
        <f>IFERROR(D18/C18,0)</f>
        <v/>
      </c>
      <c r="G18" s="21" t="inlineStr"/>
    </row>
    <row r="19" ht="18" customHeight="1">
      <c r="A19" s="28" t="inlineStr">
        <is>
          <t>HOUSING TOTAL</t>
        </is>
      </c>
      <c r="C19" s="29">
        <f>SUM(C13:C18)</f>
        <v/>
      </c>
      <c r="D19" s="29">
        <f>SUM(D13:D18)</f>
        <v/>
      </c>
      <c r="E19" s="29">
        <f>C19-D19</f>
        <v/>
      </c>
      <c r="F19" s="30">
        <f>IFERROR(D19/C19,0)</f>
        <v/>
      </c>
      <c r="G19" s="31" t="inlineStr"/>
    </row>
    <row r="20" ht="18" customHeight="1">
      <c r="A20" s="27" t="inlineStr">
        <is>
          <t>TRANSPORT</t>
        </is>
      </c>
    </row>
    <row r="21">
      <c r="A21" s="18" t="inlineStr">
        <is>
          <t>TRANSPORT</t>
        </is>
      </c>
      <c r="B21" s="18" t="inlineStr">
        <is>
          <t>Car Payment</t>
        </is>
      </c>
      <c r="C21" s="19" t="n">
        <v>0</v>
      </c>
      <c r="D21" s="19" t="n">
        <v>0</v>
      </c>
      <c r="E21" s="5">
        <f>C21-D21</f>
        <v/>
      </c>
      <c r="F21" s="20">
        <f>IFERROR(D21/C21,0)</f>
        <v/>
      </c>
      <c r="G21" s="18" t="inlineStr"/>
    </row>
    <row r="22">
      <c r="A22" s="21" t="inlineStr">
        <is>
          <t>TRANSPORT</t>
        </is>
      </c>
      <c r="B22" s="21" t="inlineStr">
        <is>
          <t>Fuel</t>
        </is>
      </c>
      <c r="C22" s="22" t="n">
        <v>0</v>
      </c>
      <c r="D22" s="22" t="n">
        <v>0</v>
      </c>
      <c r="E22" s="9">
        <f>C22-D22</f>
        <v/>
      </c>
      <c r="F22" s="11">
        <f>IFERROR(D22/C22,0)</f>
        <v/>
      </c>
      <c r="G22" s="21" t="inlineStr"/>
    </row>
    <row r="23">
      <c r="A23" s="18" t="inlineStr">
        <is>
          <t>TRANSPORT</t>
        </is>
      </c>
      <c r="B23" s="18" t="inlineStr">
        <is>
          <t>Car Insurance</t>
        </is>
      </c>
      <c r="C23" s="19" t="n">
        <v>0</v>
      </c>
      <c r="D23" s="19" t="n">
        <v>0</v>
      </c>
      <c r="E23" s="5">
        <f>C23-D23</f>
        <v/>
      </c>
      <c r="F23" s="20">
        <f>IFERROR(D23/C23,0)</f>
        <v/>
      </c>
      <c r="G23" s="18" t="inlineStr"/>
    </row>
    <row r="24">
      <c r="A24" s="21" t="inlineStr">
        <is>
          <t>TRANSPORT</t>
        </is>
      </c>
      <c r="B24" s="21" t="inlineStr">
        <is>
          <t>Parking</t>
        </is>
      </c>
      <c r="C24" s="22" t="n">
        <v>0</v>
      </c>
      <c r="D24" s="22" t="n">
        <v>0</v>
      </c>
      <c r="E24" s="9">
        <f>C24-D24</f>
        <v/>
      </c>
      <c r="F24" s="11">
        <f>IFERROR(D24/C24,0)</f>
        <v/>
      </c>
      <c r="G24" s="21" t="inlineStr"/>
    </row>
    <row r="25">
      <c r="A25" s="18" t="inlineStr">
        <is>
          <t>TRANSPORT</t>
        </is>
      </c>
      <c r="B25" s="18" t="inlineStr">
        <is>
          <t>Public Transport</t>
        </is>
      </c>
      <c r="C25" s="19" t="n">
        <v>0</v>
      </c>
      <c r="D25" s="19" t="n">
        <v>0</v>
      </c>
      <c r="E25" s="5">
        <f>C25-D25</f>
        <v/>
      </c>
      <c r="F25" s="20">
        <f>IFERROR(D25/C25,0)</f>
        <v/>
      </c>
      <c r="G25" s="18" t="inlineStr"/>
    </row>
    <row r="26">
      <c r="A26" s="21" t="inlineStr">
        <is>
          <t>TRANSPORT</t>
        </is>
      </c>
      <c r="B26" s="21" t="inlineStr">
        <is>
          <t>Ride Share</t>
        </is>
      </c>
      <c r="C26" s="22" t="n">
        <v>0</v>
      </c>
      <c r="D26" s="22" t="n">
        <v>0</v>
      </c>
      <c r="E26" s="9">
        <f>C26-D26</f>
        <v/>
      </c>
      <c r="F26" s="11">
        <f>IFERROR(D26/C26,0)</f>
        <v/>
      </c>
      <c r="G26" s="21" t="inlineStr"/>
    </row>
    <row r="27" ht="18" customHeight="1">
      <c r="A27" s="28" t="inlineStr">
        <is>
          <t>TRANSPORT TOTAL</t>
        </is>
      </c>
      <c r="C27" s="29">
        <f>SUM(C21:C26)</f>
        <v/>
      </c>
      <c r="D27" s="29">
        <f>SUM(D21:D26)</f>
        <v/>
      </c>
      <c r="E27" s="29">
        <f>C27-D27</f>
        <v/>
      </c>
      <c r="F27" s="30">
        <f>IFERROR(D27/C27,0)</f>
        <v/>
      </c>
      <c r="G27" s="31" t="inlineStr"/>
    </row>
    <row r="28" ht="18" customHeight="1">
      <c r="A28" s="27" t="inlineStr">
        <is>
          <t>FOOD &amp; DINING</t>
        </is>
      </c>
    </row>
    <row r="29">
      <c r="A29" s="18" t="inlineStr">
        <is>
          <t>FOOD &amp; DINING</t>
        </is>
      </c>
      <c r="B29" s="18" t="inlineStr">
        <is>
          <t>Groceries</t>
        </is>
      </c>
      <c r="C29" s="19" t="n">
        <v>0</v>
      </c>
      <c r="D29" s="19" t="n">
        <v>0</v>
      </c>
      <c r="E29" s="5">
        <f>C29-D29</f>
        <v/>
      </c>
      <c r="F29" s="20">
        <f>IFERROR(D29/C29,0)</f>
        <v/>
      </c>
      <c r="G29" s="18" t="inlineStr"/>
    </row>
    <row r="30">
      <c r="A30" s="21" t="inlineStr">
        <is>
          <t>FOOD &amp; DINING</t>
        </is>
      </c>
      <c r="B30" s="21" t="inlineStr">
        <is>
          <t>Restaurants</t>
        </is>
      </c>
      <c r="C30" s="22" t="n">
        <v>0</v>
      </c>
      <c r="D30" s="22" t="n">
        <v>0</v>
      </c>
      <c r="E30" s="9">
        <f>C30-D30</f>
        <v/>
      </c>
      <c r="F30" s="11">
        <f>IFERROR(D30/C30,0)</f>
        <v/>
      </c>
      <c r="G30" s="21" t="inlineStr"/>
    </row>
    <row r="31">
      <c r="A31" s="18" t="inlineStr">
        <is>
          <t>FOOD &amp; DINING</t>
        </is>
      </c>
      <c r="B31" s="18" t="inlineStr">
        <is>
          <t>Coffee Shops</t>
        </is>
      </c>
      <c r="C31" s="19" t="n">
        <v>0</v>
      </c>
      <c r="D31" s="19" t="n">
        <v>0</v>
      </c>
      <c r="E31" s="5">
        <f>C31-D31</f>
        <v/>
      </c>
      <c r="F31" s="20">
        <f>IFERROR(D31/C31,0)</f>
        <v/>
      </c>
      <c r="G31" s="18" t="inlineStr"/>
    </row>
    <row r="32">
      <c r="A32" s="21" t="inlineStr">
        <is>
          <t>FOOD &amp; DINING</t>
        </is>
      </c>
      <c r="B32" s="21" t="inlineStr">
        <is>
          <t>Food Delivery</t>
        </is>
      </c>
      <c r="C32" s="22" t="n">
        <v>0</v>
      </c>
      <c r="D32" s="22" t="n">
        <v>0</v>
      </c>
      <c r="E32" s="9">
        <f>C32-D32</f>
        <v/>
      </c>
      <c r="F32" s="11">
        <f>IFERROR(D32/C32,0)</f>
        <v/>
      </c>
      <c r="G32" s="21" t="inlineStr"/>
    </row>
    <row r="33">
      <c r="A33" s="18" t="inlineStr">
        <is>
          <t>FOOD &amp; DINING</t>
        </is>
      </c>
      <c r="B33" s="18" t="inlineStr">
        <is>
          <t>Work Lunch</t>
        </is>
      </c>
      <c r="C33" s="19" t="n">
        <v>0</v>
      </c>
      <c r="D33" s="19" t="n">
        <v>0</v>
      </c>
      <c r="E33" s="5">
        <f>C33-D33</f>
        <v/>
      </c>
      <c r="F33" s="20">
        <f>IFERROR(D33/C33,0)</f>
        <v/>
      </c>
      <c r="G33" s="18" t="inlineStr"/>
    </row>
    <row r="34">
      <c r="A34" s="21" t="inlineStr">
        <is>
          <t>FOOD &amp; DINING</t>
        </is>
      </c>
      <c r="B34" s="21" t="inlineStr">
        <is>
          <t>Other</t>
        </is>
      </c>
      <c r="C34" s="22" t="n">
        <v>0</v>
      </c>
      <c r="D34" s="22" t="n">
        <v>0</v>
      </c>
      <c r="E34" s="9">
        <f>C34-D34</f>
        <v/>
      </c>
      <c r="F34" s="11">
        <f>IFERROR(D34/C34,0)</f>
        <v/>
      </c>
      <c r="G34" s="21" t="inlineStr"/>
    </row>
    <row r="35" ht="18" customHeight="1">
      <c r="A35" s="28" t="inlineStr">
        <is>
          <t>FOOD &amp; DINING TOTAL</t>
        </is>
      </c>
      <c r="C35" s="29">
        <f>SUM(C29:C34)</f>
        <v/>
      </c>
      <c r="D35" s="29">
        <f>SUM(D29:D34)</f>
        <v/>
      </c>
      <c r="E35" s="29">
        <f>C35-D35</f>
        <v/>
      </c>
      <c r="F35" s="30">
        <f>IFERROR(D35/C35,0)</f>
        <v/>
      </c>
      <c r="G35" s="31" t="inlineStr"/>
    </row>
    <row r="36" ht="18" customHeight="1">
      <c r="A36" s="27" t="inlineStr">
        <is>
          <t>HEALTH &amp; WELLNESS</t>
        </is>
      </c>
    </row>
    <row r="37">
      <c r="A37" s="18" t="inlineStr">
        <is>
          <t>HEALTH &amp; WELLNESS</t>
        </is>
      </c>
      <c r="B37" s="18" t="inlineStr">
        <is>
          <t>Health Insurance</t>
        </is>
      </c>
      <c r="C37" s="19" t="n">
        <v>0</v>
      </c>
      <c r="D37" s="19" t="n">
        <v>0</v>
      </c>
      <c r="E37" s="5">
        <f>C37-D37</f>
        <v/>
      </c>
      <c r="F37" s="20">
        <f>IFERROR(D37/C37,0)</f>
        <v/>
      </c>
      <c r="G37" s="18" t="inlineStr"/>
    </row>
    <row r="38">
      <c r="A38" s="21" t="inlineStr">
        <is>
          <t>HEALTH &amp; WELLNESS</t>
        </is>
      </c>
      <c r="B38" s="21" t="inlineStr">
        <is>
          <t>Gym Membership</t>
        </is>
      </c>
      <c r="C38" s="22" t="n">
        <v>0</v>
      </c>
      <c r="D38" s="22" t="n">
        <v>0</v>
      </c>
      <c r="E38" s="9">
        <f>C38-D38</f>
        <v/>
      </c>
      <c r="F38" s="11">
        <f>IFERROR(D38/C38,0)</f>
        <v/>
      </c>
      <c r="G38" s="21" t="inlineStr"/>
    </row>
    <row r="39">
      <c r="A39" s="18" t="inlineStr">
        <is>
          <t>HEALTH &amp; WELLNESS</t>
        </is>
      </c>
      <c r="B39" s="18" t="inlineStr">
        <is>
          <t>Pharmacy</t>
        </is>
      </c>
      <c r="C39" s="19" t="n">
        <v>0</v>
      </c>
      <c r="D39" s="19" t="n">
        <v>0</v>
      </c>
      <c r="E39" s="5">
        <f>C39-D39</f>
        <v/>
      </c>
      <c r="F39" s="20">
        <f>IFERROR(D39/C39,0)</f>
        <v/>
      </c>
      <c r="G39" s="18" t="inlineStr"/>
    </row>
    <row r="40">
      <c r="A40" s="21" t="inlineStr">
        <is>
          <t>HEALTH &amp; WELLNESS</t>
        </is>
      </c>
      <c r="B40" s="21" t="inlineStr">
        <is>
          <t>Doctor Visits</t>
        </is>
      </c>
      <c r="C40" s="22" t="n">
        <v>0</v>
      </c>
      <c r="D40" s="22" t="n">
        <v>0</v>
      </c>
      <c r="E40" s="9">
        <f>C40-D40</f>
        <v/>
      </c>
      <c r="F40" s="11">
        <f>IFERROR(D40/C40,0)</f>
        <v/>
      </c>
      <c r="G40" s="21" t="inlineStr"/>
    </row>
    <row r="41">
      <c r="A41" s="18" t="inlineStr">
        <is>
          <t>HEALTH &amp; WELLNESS</t>
        </is>
      </c>
      <c r="B41" s="18" t="inlineStr">
        <is>
          <t>Dental</t>
        </is>
      </c>
      <c r="C41" s="19" t="n">
        <v>0</v>
      </c>
      <c r="D41" s="19" t="n">
        <v>0</v>
      </c>
      <c r="E41" s="5">
        <f>C41-D41</f>
        <v/>
      </c>
      <c r="F41" s="20">
        <f>IFERROR(D41/C41,0)</f>
        <v/>
      </c>
      <c r="G41" s="18" t="inlineStr"/>
    </row>
    <row r="42">
      <c r="A42" s="21" t="inlineStr">
        <is>
          <t>HEALTH &amp; WELLNESS</t>
        </is>
      </c>
      <c r="B42" s="21" t="inlineStr">
        <is>
          <t>Mental Health</t>
        </is>
      </c>
      <c r="C42" s="22" t="n">
        <v>0</v>
      </c>
      <c r="D42" s="22" t="n">
        <v>0</v>
      </c>
      <c r="E42" s="9">
        <f>C42-D42</f>
        <v/>
      </c>
      <c r="F42" s="11">
        <f>IFERROR(D42/C42,0)</f>
        <v/>
      </c>
      <c r="G42" s="21" t="inlineStr"/>
    </row>
    <row r="43" ht="18" customHeight="1">
      <c r="A43" s="28" t="inlineStr">
        <is>
          <t>HEALTH &amp; WELLNESS TOTAL</t>
        </is>
      </c>
      <c r="C43" s="29">
        <f>SUM(C37:C42)</f>
        <v/>
      </c>
      <c r="D43" s="29">
        <f>SUM(D37:D42)</f>
        <v/>
      </c>
      <c r="E43" s="29">
        <f>C43-D43</f>
        <v/>
      </c>
      <c r="F43" s="30">
        <f>IFERROR(D43/C43,0)</f>
        <v/>
      </c>
      <c r="G43" s="31" t="inlineStr"/>
    </row>
    <row r="44" ht="18" customHeight="1">
      <c r="A44" s="27" t="inlineStr">
        <is>
          <t>LIFESTYLE</t>
        </is>
      </c>
    </row>
    <row r="45">
      <c r="A45" s="18" t="inlineStr">
        <is>
          <t>LIFESTYLE</t>
        </is>
      </c>
      <c r="B45" s="18" t="inlineStr">
        <is>
          <t>Streaming Services</t>
        </is>
      </c>
      <c r="C45" s="19" t="n">
        <v>0</v>
      </c>
      <c r="D45" s="19" t="n">
        <v>0</v>
      </c>
      <c r="E45" s="5">
        <f>C45-D45</f>
        <v/>
      </c>
      <c r="F45" s="20">
        <f>IFERROR(D45/C45,0)</f>
        <v/>
      </c>
      <c r="G45" s="18" t="inlineStr"/>
    </row>
    <row r="46">
      <c r="A46" s="21" t="inlineStr">
        <is>
          <t>LIFESTYLE</t>
        </is>
      </c>
      <c r="B46" s="21" t="inlineStr">
        <is>
          <t>Entertainment</t>
        </is>
      </c>
      <c r="C46" s="22" t="n">
        <v>0</v>
      </c>
      <c r="D46" s="22" t="n">
        <v>0</v>
      </c>
      <c r="E46" s="9">
        <f>C46-D46</f>
        <v/>
      </c>
      <c r="F46" s="11">
        <f>IFERROR(D46/C46,0)</f>
        <v/>
      </c>
      <c r="G46" s="21" t="inlineStr"/>
    </row>
    <row r="47">
      <c r="A47" s="18" t="inlineStr">
        <is>
          <t>LIFESTYLE</t>
        </is>
      </c>
      <c r="B47" s="18" t="inlineStr">
        <is>
          <t>Hobbies</t>
        </is>
      </c>
      <c r="C47" s="19" t="n">
        <v>0</v>
      </c>
      <c r="D47" s="19" t="n">
        <v>0</v>
      </c>
      <c r="E47" s="5">
        <f>C47-D47</f>
        <v/>
      </c>
      <c r="F47" s="20">
        <f>IFERROR(D47/C47,0)</f>
        <v/>
      </c>
      <c r="G47" s="18" t="inlineStr"/>
    </row>
    <row r="48">
      <c r="A48" s="21" t="inlineStr">
        <is>
          <t>LIFESTYLE</t>
        </is>
      </c>
      <c r="B48" s="21" t="inlineStr">
        <is>
          <t>Personal Care</t>
        </is>
      </c>
      <c r="C48" s="22" t="n">
        <v>0</v>
      </c>
      <c r="D48" s="22" t="n">
        <v>0</v>
      </c>
      <c r="E48" s="9">
        <f>C48-D48</f>
        <v/>
      </c>
      <c r="F48" s="11">
        <f>IFERROR(D48/C48,0)</f>
        <v/>
      </c>
      <c r="G48" s="21" t="inlineStr"/>
    </row>
    <row r="49">
      <c r="A49" s="18" t="inlineStr">
        <is>
          <t>LIFESTYLE</t>
        </is>
      </c>
      <c r="B49" s="18" t="inlineStr">
        <is>
          <t>Books</t>
        </is>
      </c>
      <c r="C49" s="19" t="n">
        <v>0</v>
      </c>
      <c r="D49" s="19" t="n">
        <v>0</v>
      </c>
      <c r="E49" s="5">
        <f>C49-D49</f>
        <v/>
      </c>
      <c r="F49" s="20">
        <f>IFERROR(D49/C49,0)</f>
        <v/>
      </c>
      <c r="G49" s="18" t="inlineStr"/>
    </row>
    <row r="50">
      <c r="A50" s="21" t="inlineStr">
        <is>
          <t>LIFESTYLE</t>
        </is>
      </c>
      <c r="B50" s="21" t="inlineStr">
        <is>
          <t>Clothing</t>
        </is>
      </c>
      <c r="C50" s="22" t="n">
        <v>0</v>
      </c>
      <c r="D50" s="22" t="n">
        <v>0</v>
      </c>
      <c r="E50" s="9">
        <f>C50-D50</f>
        <v/>
      </c>
      <c r="F50" s="11">
        <f>IFERROR(D50/C50,0)</f>
        <v/>
      </c>
      <c r="G50" s="21" t="inlineStr"/>
    </row>
    <row r="51" ht="18" customHeight="1">
      <c r="A51" s="28" t="inlineStr">
        <is>
          <t>LIFESTYLE TOTAL</t>
        </is>
      </c>
      <c r="C51" s="29">
        <f>SUM(C45:C50)</f>
        <v/>
      </c>
      <c r="D51" s="29">
        <f>SUM(D45:D50)</f>
        <v/>
      </c>
      <c r="E51" s="29">
        <f>C51-D51</f>
        <v/>
      </c>
      <c r="F51" s="30">
        <f>IFERROR(D51/C51,0)</f>
        <v/>
      </c>
      <c r="G51" s="31" t="inlineStr"/>
    </row>
    <row r="52" ht="18" customHeight="1">
      <c r="A52" s="27" t="inlineStr">
        <is>
          <t>CHILDREN &amp; FAMILY</t>
        </is>
      </c>
    </row>
    <row r="53">
      <c r="A53" s="18" t="inlineStr">
        <is>
          <t>CHILDREN &amp; FAMILY</t>
        </is>
      </c>
      <c r="B53" s="18" t="inlineStr">
        <is>
          <t>Childcare</t>
        </is>
      </c>
      <c r="C53" s="19" t="n">
        <v>0</v>
      </c>
      <c r="D53" s="19" t="n">
        <v>0</v>
      </c>
      <c r="E53" s="5">
        <f>C53-D53</f>
        <v/>
      </c>
      <c r="F53" s="20">
        <f>IFERROR(D53/C53,0)</f>
        <v/>
      </c>
      <c r="G53" s="18" t="inlineStr"/>
    </row>
    <row r="54">
      <c r="A54" s="21" t="inlineStr">
        <is>
          <t>CHILDREN &amp; FAMILY</t>
        </is>
      </c>
      <c r="B54" s="21" t="inlineStr">
        <is>
          <t>School Fees</t>
        </is>
      </c>
      <c r="C54" s="22" t="n">
        <v>0</v>
      </c>
      <c r="D54" s="22" t="n">
        <v>0</v>
      </c>
      <c r="E54" s="9">
        <f>C54-D54</f>
        <v/>
      </c>
      <c r="F54" s="11">
        <f>IFERROR(D54/C54,0)</f>
        <v/>
      </c>
      <c r="G54" s="21" t="inlineStr"/>
    </row>
    <row r="55">
      <c r="A55" s="18" t="inlineStr">
        <is>
          <t>CHILDREN &amp; FAMILY</t>
        </is>
      </c>
      <c r="B55" s="18" t="inlineStr">
        <is>
          <t>Activities</t>
        </is>
      </c>
      <c r="C55" s="19" t="n">
        <v>0</v>
      </c>
      <c r="D55" s="19" t="n">
        <v>0</v>
      </c>
      <c r="E55" s="5">
        <f>C55-D55</f>
        <v/>
      </c>
      <c r="F55" s="20">
        <f>IFERROR(D55/C55,0)</f>
        <v/>
      </c>
      <c r="G55" s="18" t="inlineStr"/>
    </row>
    <row r="56">
      <c r="A56" s="21" t="inlineStr">
        <is>
          <t>CHILDREN &amp; FAMILY</t>
        </is>
      </c>
      <c r="B56" s="21" t="inlineStr">
        <is>
          <t>Toys &amp; Gifts</t>
        </is>
      </c>
      <c r="C56" s="22" t="n">
        <v>0</v>
      </c>
      <c r="D56" s="22" t="n">
        <v>0</v>
      </c>
      <c r="E56" s="9">
        <f>C56-D56</f>
        <v/>
      </c>
      <c r="F56" s="11">
        <f>IFERROR(D56/C56,0)</f>
        <v/>
      </c>
      <c r="G56" s="21" t="inlineStr"/>
    </row>
    <row r="57">
      <c r="A57" s="18" t="inlineStr">
        <is>
          <t>CHILDREN &amp; FAMILY</t>
        </is>
      </c>
      <c r="B57" s="18" t="inlineStr">
        <is>
          <t>Family Outings</t>
        </is>
      </c>
      <c r="C57" s="19" t="n">
        <v>0</v>
      </c>
      <c r="D57" s="19" t="n">
        <v>0</v>
      </c>
      <c r="E57" s="5">
        <f>C57-D57</f>
        <v/>
      </c>
      <c r="F57" s="20">
        <f>IFERROR(D57/C57,0)</f>
        <v/>
      </c>
      <c r="G57" s="18" t="inlineStr"/>
    </row>
    <row r="58">
      <c r="A58" s="21" t="inlineStr">
        <is>
          <t>CHILDREN &amp; FAMILY</t>
        </is>
      </c>
      <c r="B58" s="21" t="inlineStr">
        <is>
          <t>Other</t>
        </is>
      </c>
      <c r="C58" s="22" t="n">
        <v>0</v>
      </c>
      <c r="D58" s="22" t="n">
        <v>0</v>
      </c>
      <c r="E58" s="9">
        <f>C58-D58</f>
        <v/>
      </c>
      <c r="F58" s="11">
        <f>IFERROR(D58/C58,0)</f>
        <v/>
      </c>
      <c r="G58" s="21" t="inlineStr"/>
    </row>
    <row r="59" ht="18" customHeight="1">
      <c r="A59" s="28" t="inlineStr">
        <is>
          <t>CHILDREN &amp; FAMILY TOTAL</t>
        </is>
      </c>
      <c r="C59" s="29">
        <f>SUM(C53:C58)</f>
        <v/>
      </c>
      <c r="D59" s="29">
        <f>SUM(D53:D58)</f>
        <v/>
      </c>
      <c r="E59" s="29">
        <f>C59-D59</f>
        <v/>
      </c>
      <c r="F59" s="30">
        <f>IFERROR(D59/C59,0)</f>
        <v/>
      </c>
      <c r="G59" s="31" t="inlineStr"/>
    </row>
    <row r="60" ht="18" customHeight="1">
      <c r="A60" s="27" t="inlineStr">
        <is>
          <t>SAVINGS &amp; INVESTMENTS</t>
        </is>
      </c>
    </row>
    <row r="61">
      <c r="A61" s="18" t="inlineStr">
        <is>
          <t>SAVINGS &amp; INVESTMENTS</t>
        </is>
      </c>
      <c r="B61" s="18" t="inlineStr">
        <is>
          <t>Emergency Fund</t>
        </is>
      </c>
      <c r="C61" s="19" t="n">
        <v>0</v>
      </c>
      <c r="D61" s="19" t="n">
        <v>0</v>
      </c>
      <c r="E61" s="5">
        <f>C61-D61</f>
        <v/>
      </c>
      <c r="F61" s="20">
        <f>IFERROR(D61/C61,0)</f>
        <v/>
      </c>
      <c r="G61" s="18" t="inlineStr"/>
    </row>
    <row r="62">
      <c r="A62" s="21" t="inlineStr">
        <is>
          <t>SAVINGS &amp; INVESTMENTS</t>
        </is>
      </c>
      <c r="B62" s="21" t="inlineStr">
        <is>
          <t>Pension/IRA</t>
        </is>
      </c>
      <c r="C62" s="22" t="n">
        <v>0</v>
      </c>
      <c r="D62" s="22" t="n">
        <v>0</v>
      </c>
      <c r="E62" s="9">
        <f>C62-D62</f>
        <v/>
      </c>
      <c r="F62" s="11">
        <f>IFERROR(D62/C62,0)</f>
        <v/>
      </c>
      <c r="G62" s="21" t="inlineStr"/>
    </row>
    <row r="63">
      <c r="A63" s="18" t="inlineStr">
        <is>
          <t>SAVINGS &amp; INVESTMENTS</t>
        </is>
      </c>
      <c r="B63" s="18" t="inlineStr">
        <is>
          <t>Stocks &amp; ETFs</t>
        </is>
      </c>
      <c r="C63" s="19" t="n">
        <v>0</v>
      </c>
      <c r="D63" s="19" t="n">
        <v>0</v>
      </c>
      <c r="E63" s="5">
        <f>C63-D63</f>
        <v/>
      </c>
      <c r="F63" s="20">
        <f>IFERROR(D63/C63,0)</f>
        <v/>
      </c>
      <c r="G63" s="18" t="inlineStr"/>
    </row>
    <row r="64">
      <c r="A64" s="21" t="inlineStr">
        <is>
          <t>SAVINGS &amp; INVESTMENTS</t>
        </is>
      </c>
      <c r="B64" s="21" t="inlineStr">
        <is>
          <t>Vacation Fund</t>
        </is>
      </c>
      <c r="C64" s="22" t="n">
        <v>0</v>
      </c>
      <c r="D64" s="22" t="n">
        <v>0</v>
      </c>
      <c r="E64" s="9">
        <f>C64-D64</f>
        <v/>
      </c>
      <c r="F64" s="11">
        <f>IFERROR(D64/C64,0)</f>
        <v/>
      </c>
      <c r="G64" s="21" t="inlineStr"/>
    </row>
    <row r="65">
      <c r="A65" s="18" t="inlineStr">
        <is>
          <t>SAVINGS &amp; INVESTMENTS</t>
        </is>
      </c>
      <c r="B65" s="18" t="inlineStr">
        <is>
          <t>Home Fund</t>
        </is>
      </c>
      <c r="C65" s="19" t="n">
        <v>0</v>
      </c>
      <c r="D65" s="19" t="n">
        <v>0</v>
      </c>
      <c r="E65" s="5">
        <f>C65-D65</f>
        <v/>
      </c>
      <c r="F65" s="20">
        <f>IFERROR(D65/C65,0)</f>
        <v/>
      </c>
      <c r="G65" s="18" t="inlineStr"/>
    </row>
    <row r="66">
      <c r="A66" s="21" t="inlineStr">
        <is>
          <t>SAVINGS &amp; INVESTMENTS</t>
        </is>
      </c>
      <c r="B66" s="21" t="inlineStr">
        <is>
          <t>Other</t>
        </is>
      </c>
      <c r="C66" s="22" t="n">
        <v>0</v>
      </c>
      <c r="D66" s="22" t="n">
        <v>0</v>
      </c>
      <c r="E66" s="9">
        <f>C66-D66</f>
        <v/>
      </c>
      <c r="F66" s="11">
        <f>IFERROR(D66/C66,0)</f>
        <v/>
      </c>
      <c r="G66" s="21" t="inlineStr"/>
    </row>
    <row r="67" ht="18" customHeight="1">
      <c r="A67" s="28" t="inlineStr">
        <is>
          <t>SAVINGS &amp; INVESTMENTS TOTAL</t>
        </is>
      </c>
      <c r="C67" s="29">
        <f>SUM(C61:C66)</f>
        <v/>
      </c>
      <c r="D67" s="29">
        <f>SUM(D61:D66)</f>
        <v/>
      </c>
      <c r="E67" s="29">
        <f>C67-D67</f>
        <v/>
      </c>
      <c r="F67" s="30">
        <f>IFERROR(D67/C67,0)</f>
        <v/>
      </c>
      <c r="G67" s="31" t="inlineStr"/>
    </row>
    <row r="68" ht="18" customHeight="1">
      <c r="A68" s="27" t="inlineStr">
        <is>
          <t>DEBT PAYMENTS</t>
        </is>
      </c>
    </row>
    <row r="69">
      <c r="A69" s="18" t="inlineStr">
        <is>
          <t>DEBT PAYMENTS</t>
        </is>
      </c>
      <c r="B69" s="18" t="inlineStr">
        <is>
          <t>Credit Card 1</t>
        </is>
      </c>
      <c r="C69" s="19" t="n">
        <v>0</v>
      </c>
      <c r="D69" s="19" t="n">
        <v>0</v>
      </c>
      <c r="E69" s="5">
        <f>C69-D69</f>
        <v/>
      </c>
      <c r="F69" s="20">
        <f>IFERROR(D69/C69,0)</f>
        <v/>
      </c>
      <c r="G69" s="18" t="inlineStr"/>
    </row>
    <row r="70">
      <c r="A70" s="21" t="inlineStr">
        <is>
          <t>DEBT PAYMENTS</t>
        </is>
      </c>
      <c r="B70" s="21" t="inlineStr">
        <is>
          <t>Credit Card 2</t>
        </is>
      </c>
      <c r="C70" s="22" t="n">
        <v>0</v>
      </c>
      <c r="D70" s="22" t="n">
        <v>0</v>
      </c>
      <c r="E70" s="9">
        <f>C70-D70</f>
        <v/>
      </c>
      <c r="F70" s="11">
        <f>IFERROR(D70/C70,0)</f>
        <v/>
      </c>
      <c r="G70" s="21" t="inlineStr"/>
    </row>
    <row r="71">
      <c r="A71" s="18" t="inlineStr">
        <is>
          <t>DEBT PAYMENTS</t>
        </is>
      </c>
      <c r="B71" s="18" t="inlineStr">
        <is>
          <t>Student Loan</t>
        </is>
      </c>
      <c r="C71" s="19" t="n">
        <v>0</v>
      </c>
      <c r="D71" s="19" t="n">
        <v>0</v>
      </c>
      <c r="E71" s="5">
        <f>C71-D71</f>
        <v/>
      </c>
      <c r="F71" s="20">
        <f>IFERROR(D71/C71,0)</f>
        <v/>
      </c>
      <c r="G71" s="18" t="inlineStr"/>
    </row>
    <row r="72">
      <c r="A72" s="21" t="inlineStr">
        <is>
          <t>DEBT PAYMENTS</t>
        </is>
      </c>
      <c r="B72" s="21" t="inlineStr">
        <is>
          <t>Car Loan</t>
        </is>
      </c>
      <c r="C72" s="22" t="n">
        <v>0</v>
      </c>
      <c r="D72" s="22" t="n">
        <v>0</v>
      </c>
      <c r="E72" s="9">
        <f>C72-D72</f>
        <v/>
      </c>
      <c r="F72" s="11">
        <f>IFERROR(D72/C72,0)</f>
        <v/>
      </c>
      <c r="G72" s="21" t="inlineStr"/>
    </row>
    <row r="73">
      <c r="A73" s="18" t="inlineStr">
        <is>
          <t>DEBT PAYMENTS</t>
        </is>
      </c>
      <c r="B73" s="18" t="inlineStr">
        <is>
          <t>Personal Loan</t>
        </is>
      </c>
      <c r="C73" s="19" t="n">
        <v>0</v>
      </c>
      <c r="D73" s="19" t="n">
        <v>0</v>
      </c>
      <c r="E73" s="5">
        <f>C73-D73</f>
        <v/>
      </c>
      <c r="F73" s="20">
        <f>IFERROR(D73/C73,0)</f>
        <v/>
      </c>
      <c r="G73" s="18" t="inlineStr"/>
    </row>
    <row r="74">
      <c r="A74" s="21" t="inlineStr">
        <is>
          <t>DEBT PAYMENTS</t>
        </is>
      </c>
      <c r="B74" s="21" t="inlineStr">
        <is>
          <t>Other</t>
        </is>
      </c>
      <c r="C74" s="22" t="n">
        <v>0</v>
      </c>
      <c r="D74" s="22" t="n">
        <v>0</v>
      </c>
      <c r="E74" s="9">
        <f>C74-D74</f>
        <v/>
      </c>
      <c r="F74" s="11">
        <f>IFERROR(D74/C74,0)</f>
        <v/>
      </c>
      <c r="G74" s="21" t="inlineStr"/>
    </row>
    <row r="75" ht="18" customHeight="1">
      <c r="A75" s="28" t="inlineStr">
        <is>
          <t>DEBT PAYMENTS TOTAL</t>
        </is>
      </c>
      <c r="C75" s="29">
        <f>SUM(C69:C74)</f>
        <v/>
      </c>
      <c r="D75" s="29">
        <f>SUM(D69:D74)</f>
        <v/>
      </c>
      <c r="E75" s="29">
        <f>C75-D75</f>
        <v/>
      </c>
      <c r="F75" s="30">
        <f>IFERROR(D75/C75,0)</f>
        <v/>
      </c>
      <c r="G75" s="31" t="inlineStr"/>
    </row>
    <row r="76" ht="22" customHeight="1">
      <c r="A76" s="32" t="inlineStr">
        <is>
          <t>GRAND TOTAL EXPENSES</t>
        </is>
      </c>
      <c r="C76" s="33">
        <f>SUM(C19,C27,C35,C43,C51,C59,C67,C75)</f>
        <v/>
      </c>
      <c r="D76" s="33">
        <f>D19+D27+D35+D43+D51+D59+D67+D75</f>
        <v/>
      </c>
      <c r="E76" s="33">
        <f>C76-D76</f>
        <v/>
      </c>
      <c r="F76" s="34">
        <f>IFERROR(D76/C76,0)</f>
        <v/>
      </c>
      <c r="G76" s="35" t="inlineStr"/>
    </row>
    <row r="77" ht="22" customHeight="1">
      <c r="A77" s="17" t="inlineStr">
        <is>
          <t>NET CASH FLOW</t>
        </is>
      </c>
      <c r="C77" s="36">
        <f>C11-C76</f>
        <v/>
      </c>
      <c r="D77" s="36">
        <f>D11-D76</f>
        <v/>
      </c>
      <c r="E77" s="36">
        <f>C77-D77</f>
        <v/>
      </c>
      <c r="F77" s="37" t="inlineStr"/>
      <c r="G77" s="37" t="inlineStr"/>
    </row>
  </sheetData>
  <mergeCells count="22">
    <mergeCell ref="A59:B59"/>
    <mergeCell ref="A11:B11"/>
    <mergeCell ref="A51:B51"/>
    <mergeCell ref="A4:G4"/>
    <mergeCell ref="A20:G20"/>
    <mergeCell ref="A52:G52"/>
    <mergeCell ref="A68:G68"/>
    <mergeCell ref="A28:G28"/>
    <mergeCell ref="A44:G44"/>
    <mergeCell ref="A75:B75"/>
    <mergeCell ref="A60:G60"/>
    <mergeCell ref="A27:B27"/>
    <mergeCell ref="A36:G36"/>
    <mergeCell ref="A1:G1"/>
    <mergeCell ref="A76:B76"/>
    <mergeCell ref="A35:B35"/>
    <mergeCell ref="A43:B43"/>
    <mergeCell ref="A19:B19"/>
    <mergeCell ref="A12:G12"/>
    <mergeCell ref="A2:G2"/>
    <mergeCell ref="A67:B67"/>
    <mergeCell ref="A77:B7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3" customWidth="1" min="4" max="4"/>
    <col width="13" customWidth="1" min="5" max="5"/>
    <col width="10" customWidth="1" min="6" max="6"/>
    <col width="18" customWidth="1" min="7" max="7"/>
  </cols>
  <sheetData>
    <row r="1" ht="44" customHeight="1">
      <c r="A1" s="14" t="inlineStr">
        <is>
          <t>AUGUST · MONTHLY BUDGET</t>
        </is>
      </c>
    </row>
    <row r="2" ht="18" customHeight="1">
      <c r="A2" s="15" t="inlineStr">
        <is>
          <t>Track your income, expenses, and savings for the month</t>
        </is>
      </c>
    </row>
    <row r="3" ht="20" customHeight="1">
      <c r="A3" s="16" t="inlineStr">
        <is>
          <t>CATEGORY</t>
        </is>
      </c>
      <c r="B3" s="16" t="inlineStr">
        <is>
          <t>SUBCATEGORY</t>
        </is>
      </c>
      <c r="C3" s="16" t="inlineStr">
        <is>
          <t>BUDGETED</t>
        </is>
      </c>
      <c r="D3" s="16" t="inlineStr">
        <is>
          <t>ACTUAL</t>
        </is>
      </c>
      <c r="E3" s="16" t="inlineStr">
        <is>
          <t>DIFFERENCE</t>
        </is>
      </c>
      <c r="F3" s="16" t="inlineStr">
        <is>
          <t>% USED</t>
        </is>
      </c>
      <c r="G3" s="16" t="inlineStr">
        <is>
          <t>NOTES</t>
        </is>
      </c>
    </row>
    <row r="4" ht="18" customHeight="1">
      <c r="A4" s="17" t="inlineStr">
        <is>
          <t>INCOME</t>
        </is>
      </c>
    </row>
    <row r="5">
      <c r="A5" s="4" t="inlineStr">
        <is>
          <t>INCOME</t>
        </is>
      </c>
      <c r="B5" s="18" t="inlineStr">
        <is>
          <t>Primary Salary</t>
        </is>
      </c>
      <c r="C5" s="19" t="n">
        <v>0</v>
      </c>
      <c r="D5" s="19" t="n">
        <v>0</v>
      </c>
      <c r="E5" s="5">
        <f>C5-D5</f>
        <v/>
      </c>
      <c r="F5" s="20">
        <f>IFERROR(D5/C5,0)</f>
        <v/>
      </c>
      <c r="G5" s="18" t="inlineStr"/>
    </row>
    <row r="6">
      <c r="A6" s="8" t="inlineStr">
        <is>
          <t>INCOME</t>
        </is>
      </c>
      <c r="B6" s="21" t="inlineStr">
        <is>
          <t>Freelance</t>
        </is>
      </c>
      <c r="C6" s="22" t="n">
        <v>0</v>
      </c>
      <c r="D6" s="22" t="n">
        <v>0</v>
      </c>
      <c r="E6" s="9">
        <f>C6-D6</f>
        <v/>
      </c>
      <c r="F6" s="11">
        <f>IFERROR(D6/C6,0)</f>
        <v/>
      </c>
      <c r="G6" s="21" t="inlineStr"/>
    </row>
    <row r="7">
      <c r="A7" s="4" t="inlineStr">
        <is>
          <t>INCOME</t>
        </is>
      </c>
      <c r="B7" s="18" t="inlineStr">
        <is>
          <t>Rental Income</t>
        </is>
      </c>
      <c r="C7" s="19" t="n">
        <v>0</v>
      </c>
      <c r="D7" s="19" t="n">
        <v>0</v>
      </c>
      <c r="E7" s="5">
        <f>C7-D7</f>
        <v/>
      </c>
      <c r="F7" s="20">
        <f>IFERROR(D7/C7,0)</f>
        <v/>
      </c>
      <c r="G7" s="18" t="inlineStr"/>
    </row>
    <row r="8">
      <c r="A8" s="8" t="inlineStr">
        <is>
          <t>INCOME</t>
        </is>
      </c>
      <c r="B8" s="21" t="inlineStr">
        <is>
          <t>Dividends</t>
        </is>
      </c>
      <c r="C8" s="22" t="n">
        <v>0</v>
      </c>
      <c r="D8" s="22" t="n">
        <v>0</v>
      </c>
      <c r="E8" s="9">
        <f>C8-D8</f>
        <v/>
      </c>
      <c r="F8" s="11">
        <f>IFERROR(D8/C8,0)</f>
        <v/>
      </c>
      <c r="G8" s="21" t="inlineStr"/>
    </row>
    <row r="9">
      <c r="A9" s="4" t="inlineStr">
        <is>
          <t>INCOME</t>
        </is>
      </c>
      <c r="B9" s="18" t="inlineStr">
        <is>
          <t>Side Business</t>
        </is>
      </c>
      <c r="C9" s="19" t="n">
        <v>0</v>
      </c>
      <c r="D9" s="19" t="n">
        <v>0</v>
      </c>
      <c r="E9" s="5">
        <f>C9-D9</f>
        <v/>
      </c>
      <c r="F9" s="20">
        <f>IFERROR(D9/C9,0)</f>
        <v/>
      </c>
      <c r="G9" s="18" t="inlineStr"/>
    </row>
    <row r="10">
      <c r="A10" s="8" t="inlineStr">
        <is>
          <t>INCOME</t>
        </is>
      </c>
      <c r="B10" s="21" t="inlineStr">
        <is>
          <t>Other Income</t>
        </is>
      </c>
      <c r="C10" s="22" t="n">
        <v>0</v>
      </c>
      <c r="D10" s="22" t="n">
        <v>0</v>
      </c>
      <c r="E10" s="9">
        <f>C10-D10</f>
        <v/>
      </c>
      <c r="F10" s="11">
        <f>IFERROR(D10/C10,0)</f>
        <v/>
      </c>
      <c r="G10" s="21" t="inlineStr"/>
    </row>
    <row r="11" ht="18" customHeight="1">
      <c r="A11" s="23" t="inlineStr">
        <is>
          <t>TOTAL INCOME</t>
        </is>
      </c>
      <c r="C11" s="24">
        <f>SUM(C5:C10)</f>
        <v/>
      </c>
      <c r="D11" s="24">
        <f>SUM(D5:D10)</f>
        <v/>
      </c>
      <c r="E11" s="24">
        <f>C11-D11</f>
        <v/>
      </c>
      <c r="F11" s="25">
        <f>IFERROR(D11/C11,0)</f>
        <v/>
      </c>
      <c r="G11" s="26" t="inlineStr"/>
    </row>
    <row r="12" ht="18" customHeight="1">
      <c r="A12" s="27" t="inlineStr">
        <is>
          <t>HOUSING</t>
        </is>
      </c>
    </row>
    <row r="13">
      <c r="A13" s="18" t="inlineStr">
        <is>
          <t>HOUSING</t>
        </is>
      </c>
      <c r="B13" s="18" t="inlineStr">
        <is>
          <t>Rent/Mortgage</t>
        </is>
      </c>
      <c r="C13" s="19" t="n">
        <v>0</v>
      </c>
      <c r="D13" s="19" t="n">
        <v>0</v>
      </c>
      <c r="E13" s="5">
        <f>C13-D13</f>
        <v/>
      </c>
      <c r="F13" s="20">
        <f>IFERROR(D13/C13,0)</f>
        <v/>
      </c>
      <c r="G13" s="18" t="inlineStr"/>
    </row>
    <row r="14">
      <c r="A14" s="21" t="inlineStr">
        <is>
          <t>HOUSING</t>
        </is>
      </c>
      <c r="B14" s="21" t="inlineStr">
        <is>
          <t>Electricity</t>
        </is>
      </c>
      <c r="C14" s="22" t="n">
        <v>0</v>
      </c>
      <c r="D14" s="22" t="n">
        <v>0</v>
      </c>
      <c r="E14" s="9">
        <f>C14-D14</f>
        <v/>
      </c>
      <c r="F14" s="11">
        <f>IFERROR(D14/C14,0)</f>
        <v/>
      </c>
      <c r="G14" s="21" t="inlineStr"/>
    </row>
    <row r="15">
      <c r="A15" s="18" t="inlineStr">
        <is>
          <t>HOUSING</t>
        </is>
      </c>
      <c r="B15" s="18" t="inlineStr">
        <is>
          <t>Water</t>
        </is>
      </c>
      <c r="C15" s="19" t="n">
        <v>0</v>
      </c>
      <c r="D15" s="19" t="n">
        <v>0</v>
      </c>
      <c r="E15" s="5">
        <f>C15-D15</f>
        <v/>
      </c>
      <c r="F15" s="20">
        <f>IFERROR(D15/C15,0)</f>
        <v/>
      </c>
      <c r="G15" s="18" t="inlineStr"/>
    </row>
    <row r="16">
      <c r="A16" s="21" t="inlineStr">
        <is>
          <t>HOUSING</t>
        </is>
      </c>
      <c r="B16" s="21" t="inlineStr">
        <is>
          <t>Internet</t>
        </is>
      </c>
      <c r="C16" s="22" t="n">
        <v>0</v>
      </c>
      <c r="D16" s="22" t="n">
        <v>0</v>
      </c>
      <c r="E16" s="9">
        <f>C16-D16</f>
        <v/>
      </c>
      <c r="F16" s="11">
        <f>IFERROR(D16/C16,0)</f>
        <v/>
      </c>
      <c r="G16" s="21" t="inlineStr"/>
    </row>
    <row r="17">
      <c r="A17" s="18" t="inlineStr">
        <is>
          <t>HOUSING</t>
        </is>
      </c>
      <c r="B17" s="18" t="inlineStr">
        <is>
          <t>Home Insurance</t>
        </is>
      </c>
      <c r="C17" s="19" t="n">
        <v>0</v>
      </c>
      <c r="D17" s="19" t="n">
        <v>0</v>
      </c>
      <c r="E17" s="5">
        <f>C17-D17</f>
        <v/>
      </c>
      <c r="F17" s="20">
        <f>IFERROR(D17/C17,0)</f>
        <v/>
      </c>
      <c r="G17" s="18" t="inlineStr"/>
    </row>
    <row r="18">
      <c r="A18" s="21" t="inlineStr">
        <is>
          <t>HOUSING</t>
        </is>
      </c>
      <c r="B18" s="21" t="inlineStr">
        <is>
          <t>Maintenance</t>
        </is>
      </c>
      <c r="C18" s="22" t="n">
        <v>0</v>
      </c>
      <c r="D18" s="22" t="n">
        <v>0</v>
      </c>
      <c r="E18" s="9">
        <f>C18-D18</f>
        <v/>
      </c>
      <c r="F18" s="11">
        <f>IFERROR(D18/C18,0)</f>
        <v/>
      </c>
      <c r="G18" s="21" t="inlineStr"/>
    </row>
    <row r="19" ht="18" customHeight="1">
      <c r="A19" s="28" t="inlineStr">
        <is>
          <t>HOUSING TOTAL</t>
        </is>
      </c>
      <c r="C19" s="29">
        <f>SUM(C13:C18)</f>
        <v/>
      </c>
      <c r="D19" s="29">
        <f>SUM(D13:D18)</f>
        <v/>
      </c>
      <c r="E19" s="29">
        <f>C19-D19</f>
        <v/>
      </c>
      <c r="F19" s="30">
        <f>IFERROR(D19/C19,0)</f>
        <v/>
      </c>
      <c r="G19" s="31" t="inlineStr"/>
    </row>
    <row r="20" ht="18" customHeight="1">
      <c r="A20" s="27" t="inlineStr">
        <is>
          <t>TRANSPORT</t>
        </is>
      </c>
    </row>
    <row r="21">
      <c r="A21" s="18" t="inlineStr">
        <is>
          <t>TRANSPORT</t>
        </is>
      </c>
      <c r="B21" s="18" t="inlineStr">
        <is>
          <t>Car Payment</t>
        </is>
      </c>
      <c r="C21" s="19" t="n">
        <v>0</v>
      </c>
      <c r="D21" s="19" t="n">
        <v>0</v>
      </c>
      <c r="E21" s="5">
        <f>C21-D21</f>
        <v/>
      </c>
      <c r="F21" s="20">
        <f>IFERROR(D21/C21,0)</f>
        <v/>
      </c>
      <c r="G21" s="18" t="inlineStr"/>
    </row>
    <row r="22">
      <c r="A22" s="21" t="inlineStr">
        <is>
          <t>TRANSPORT</t>
        </is>
      </c>
      <c r="B22" s="21" t="inlineStr">
        <is>
          <t>Fuel</t>
        </is>
      </c>
      <c r="C22" s="22" t="n">
        <v>0</v>
      </c>
      <c r="D22" s="22" t="n">
        <v>0</v>
      </c>
      <c r="E22" s="9">
        <f>C22-D22</f>
        <v/>
      </c>
      <c r="F22" s="11">
        <f>IFERROR(D22/C22,0)</f>
        <v/>
      </c>
      <c r="G22" s="21" t="inlineStr"/>
    </row>
    <row r="23">
      <c r="A23" s="18" t="inlineStr">
        <is>
          <t>TRANSPORT</t>
        </is>
      </c>
      <c r="B23" s="18" t="inlineStr">
        <is>
          <t>Car Insurance</t>
        </is>
      </c>
      <c r="C23" s="19" t="n">
        <v>0</v>
      </c>
      <c r="D23" s="19" t="n">
        <v>0</v>
      </c>
      <c r="E23" s="5">
        <f>C23-D23</f>
        <v/>
      </c>
      <c r="F23" s="20">
        <f>IFERROR(D23/C23,0)</f>
        <v/>
      </c>
      <c r="G23" s="18" t="inlineStr"/>
    </row>
    <row r="24">
      <c r="A24" s="21" t="inlineStr">
        <is>
          <t>TRANSPORT</t>
        </is>
      </c>
      <c r="B24" s="21" t="inlineStr">
        <is>
          <t>Parking</t>
        </is>
      </c>
      <c r="C24" s="22" t="n">
        <v>0</v>
      </c>
      <c r="D24" s="22" t="n">
        <v>0</v>
      </c>
      <c r="E24" s="9">
        <f>C24-D24</f>
        <v/>
      </c>
      <c r="F24" s="11">
        <f>IFERROR(D24/C24,0)</f>
        <v/>
      </c>
      <c r="G24" s="21" t="inlineStr"/>
    </row>
    <row r="25">
      <c r="A25" s="18" t="inlineStr">
        <is>
          <t>TRANSPORT</t>
        </is>
      </c>
      <c r="B25" s="18" t="inlineStr">
        <is>
          <t>Public Transport</t>
        </is>
      </c>
      <c r="C25" s="19" t="n">
        <v>0</v>
      </c>
      <c r="D25" s="19" t="n">
        <v>0</v>
      </c>
      <c r="E25" s="5">
        <f>C25-D25</f>
        <v/>
      </c>
      <c r="F25" s="20">
        <f>IFERROR(D25/C25,0)</f>
        <v/>
      </c>
      <c r="G25" s="18" t="inlineStr"/>
    </row>
    <row r="26">
      <c r="A26" s="21" t="inlineStr">
        <is>
          <t>TRANSPORT</t>
        </is>
      </c>
      <c r="B26" s="21" t="inlineStr">
        <is>
          <t>Ride Share</t>
        </is>
      </c>
      <c r="C26" s="22" t="n">
        <v>0</v>
      </c>
      <c r="D26" s="22" t="n">
        <v>0</v>
      </c>
      <c r="E26" s="9">
        <f>C26-D26</f>
        <v/>
      </c>
      <c r="F26" s="11">
        <f>IFERROR(D26/C26,0)</f>
        <v/>
      </c>
      <c r="G26" s="21" t="inlineStr"/>
    </row>
    <row r="27" ht="18" customHeight="1">
      <c r="A27" s="28" t="inlineStr">
        <is>
          <t>TRANSPORT TOTAL</t>
        </is>
      </c>
      <c r="C27" s="29">
        <f>SUM(C21:C26)</f>
        <v/>
      </c>
      <c r="D27" s="29">
        <f>SUM(D21:D26)</f>
        <v/>
      </c>
      <c r="E27" s="29">
        <f>C27-D27</f>
        <v/>
      </c>
      <c r="F27" s="30">
        <f>IFERROR(D27/C27,0)</f>
        <v/>
      </c>
      <c r="G27" s="31" t="inlineStr"/>
    </row>
    <row r="28" ht="18" customHeight="1">
      <c r="A28" s="27" t="inlineStr">
        <is>
          <t>FOOD &amp; DINING</t>
        </is>
      </c>
    </row>
    <row r="29">
      <c r="A29" s="18" t="inlineStr">
        <is>
          <t>FOOD &amp; DINING</t>
        </is>
      </c>
      <c r="B29" s="18" t="inlineStr">
        <is>
          <t>Groceries</t>
        </is>
      </c>
      <c r="C29" s="19" t="n">
        <v>0</v>
      </c>
      <c r="D29" s="19" t="n">
        <v>0</v>
      </c>
      <c r="E29" s="5">
        <f>C29-D29</f>
        <v/>
      </c>
      <c r="F29" s="20">
        <f>IFERROR(D29/C29,0)</f>
        <v/>
      </c>
      <c r="G29" s="18" t="inlineStr"/>
    </row>
    <row r="30">
      <c r="A30" s="21" t="inlineStr">
        <is>
          <t>FOOD &amp; DINING</t>
        </is>
      </c>
      <c r="B30" s="21" t="inlineStr">
        <is>
          <t>Restaurants</t>
        </is>
      </c>
      <c r="C30" s="22" t="n">
        <v>0</v>
      </c>
      <c r="D30" s="22" t="n">
        <v>0</v>
      </c>
      <c r="E30" s="9">
        <f>C30-D30</f>
        <v/>
      </c>
      <c r="F30" s="11">
        <f>IFERROR(D30/C30,0)</f>
        <v/>
      </c>
      <c r="G30" s="21" t="inlineStr"/>
    </row>
    <row r="31">
      <c r="A31" s="18" t="inlineStr">
        <is>
          <t>FOOD &amp; DINING</t>
        </is>
      </c>
      <c r="B31" s="18" t="inlineStr">
        <is>
          <t>Coffee Shops</t>
        </is>
      </c>
      <c r="C31" s="19" t="n">
        <v>0</v>
      </c>
      <c r="D31" s="19" t="n">
        <v>0</v>
      </c>
      <c r="E31" s="5">
        <f>C31-D31</f>
        <v/>
      </c>
      <c r="F31" s="20">
        <f>IFERROR(D31/C31,0)</f>
        <v/>
      </c>
      <c r="G31" s="18" t="inlineStr"/>
    </row>
    <row r="32">
      <c r="A32" s="21" t="inlineStr">
        <is>
          <t>FOOD &amp; DINING</t>
        </is>
      </c>
      <c r="B32" s="21" t="inlineStr">
        <is>
          <t>Food Delivery</t>
        </is>
      </c>
      <c r="C32" s="22" t="n">
        <v>0</v>
      </c>
      <c r="D32" s="22" t="n">
        <v>0</v>
      </c>
      <c r="E32" s="9">
        <f>C32-D32</f>
        <v/>
      </c>
      <c r="F32" s="11">
        <f>IFERROR(D32/C32,0)</f>
        <v/>
      </c>
      <c r="G32" s="21" t="inlineStr"/>
    </row>
    <row r="33">
      <c r="A33" s="18" t="inlineStr">
        <is>
          <t>FOOD &amp; DINING</t>
        </is>
      </c>
      <c r="B33" s="18" t="inlineStr">
        <is>
          <t>Work Lunch</t>
        </is>
      </c>
      <c r="C33" s="19" t="n">
        <v>0</v>
      </c>
      <c r="D33" s="19" t="n">
        <v>0</v>
      </c>
      <c r="E33" s="5">
        <f>C33-D33</f>
        <v/>
      </c>
      <c r="F33" s="20">
        <f>IFERROR(D33/C33,0)</f>
        <v/>
      </c>
      <c r="G33" s="18" t="inlineStr"/>
    </row>
    <row r="34">
      <c r="A34" s="21" t="inlineStr">
        <is>
          <t>FOOD &amp; DINING</t>
        </is>
      </c>
      <c r="B34" s="21" t="inlineStr">
        <is>
          <t>Other</t>
        </is>
      </c>
      <c r="C34" s="22" t="n">
        <v>0</v>
      </c>
      <c r="D34" s="22" t="n">
        <v>0</v>
      </c>
      <c r="E34" s="9">
        <f>C34-D34</f>
        <v/>
      </c>
      <c r="F34" s="11">
        <f>IFERROR(D34/C34,0)</f>
        <v/>
      </c>
      <c r="G34" s="21" t="inlineStr"/>
    </row>
    <row r="35" ht="18" customHeight="1">
      <c r="A35" s="28" t="inlineStr">
        <is>
          <t>FOOD &amp; DINING TOTAL</t>
        </is>
      </c>
      <c r="C35" s="29">
        <f>SUM(C29:C34)</f>
        <v/>
      </c>
      <c r="D35" s="29">
        <f>SUM(D29:D34)</f>
        <v/>
      </c>
      <c r="E35" s="29">
        <f>C35-D35</f>
        <v/>
      </c>
      <c r="F35" s="30">
        <f>IFERROR(D35/C35,0)</f>
        <v/>
      </c>
      <c r="G35" s="31" t="inlineStr"/>
    </row>
    <row r="36" ht="18" customHeight="1">
      <c r="A36" s="27" t="inlineStr">
        <is>
          <t>HEALTH &amp; WELLNESS</t>
        </is>
      </c>
    </row>
    <row r="37">
      <c r="A37" s="18" t="inlineStr">
        <is>
          <t>HEALTH &amp; WELLNESS</t>
        </is>
      </c>
      <c r="B37" s="18" t="inlineStr">
        <is>
          <t>Health Insurance</t>
        </is>
      </c>
      <c r="C37" s="19" t="n">
        <v>0</v>
      </c>
      <c r="D37" s="19" t="n">
        <v>0</v>
      </c>
      <c r="E37" s="5">
        <f>C37-D37</f>
        <v/>
      </c>
      <c r="F37" s="20">
        <f>IFERROR(D37/C37,0)</f>
        <v/>
      </c>
      <c r="G37" s="18" t="inlineStr"/>
    </row>
    <row r="38">
      <c r="A38" s="21" t="inlineStr">
        <is>
          <t>HEALTH &amp; WELLNESS</t>
        </is>
      </c>
      <c r="B38" s="21" t="inlineStr">
        <is>
          <t>Gym Membership</t>
        </is>
      </c>
      <c r="C38" s="22" t="n">
        <v>0</v>
      </c>
      <c r="D38" s="22" t="n">
        <v>0</v>
      </c>
      <c r="E38" s="9">
        <f>C38-D38</f>
        <v/>
      </c>
      <c r="F38" s="11">
        <f>IFERROR(D38/C38,0)</f>
        <v/>
      </c>
      <c r="G38" s="21" t="inlineStr"/>
    </row>
    <row r="39">
      <c r="A39" s="18" t="inlineStr">
        <is>
          <t>HEALTH &amp; WELLNESS</t>
        </is>
      </c>
      <c r="B39" s="18" t="inlineStr">
        <is>
          <t>Pharmacy</t>
        </is>
      </c>
      <c r="C39" s="19" t="n">
        <v>0</v>
      </c>
      <c r="D39" s="19" t="n">
        <v>0</v>
      </c>
      <c r="E39" s="5">
        <f>C39-D39</f>
        <v/>
      </c>
      <c r="F39" s="20">
        <f>IFERROR(D39/C39,0)</f>
        <v/>
      </c>
      <c r="G39" s="18" t="inlineStr"/>
    </row>
    <row r="40">
      <c r="A40" s="21" t="inlineStr">
        <is>
          <t>HEALTH &amp; WELLNESS</t>
        </is>
      </c>
      <c r="B40" s="21" t="inlineStr">
        <is>
          <t>Doctor Visits</t>
        </is>
      </c>
      <c r="C40" s="22" t="n">
        <v>0</v>
      </c>
      <c r="D40" s="22" t="n">
        <v>0</v>
      </c>
      <c r="E40" s="9">
        <f>C40-D40</f>
        <v/>
      </c>
      <c r="F40" s="11">
        <f>IFERROR(D40/C40,0)</f>
        <v/>
      </c>
      <c r="G40" s="21" t="inlineStr"/>
    </row>
    <row r="41">
      <c r="A41" s="18" t="inlineStr">
        <is>
          <t>HEALTH &amp; WELLNESS</t>
        </is>
      </c>
      <c r="B41" s="18" t="inlineStr">
        <is>
          <t>Dental</t>
        </is>
      </c>
      <c r="C41" s="19" t="n">
        <v>0</v>
      </c>
      <c r="D41" s="19" t="n">
        <v>0</v>
      </c>
      <c r="E41" s="5">
        <f>C41-D41</f>
        <v/>
      </c>
      <c r="F41" s="20">
        <f>IFERROR(D41/C41,0)</f>
        <v/>
      </c>
      <c r="G41" s="18" t="inlineStr"/>
    </row>
    <row r="42">
      <c r="A42" s="21" t="inlineStr">
        <is>
          <t>HEALTH &amp; WELLNESS</t>
        </is>
      </c>
      <c r="B42" s="21" t="inlineStr">
        <is>
          <t>Mental Health</t>
        </is>
      </c>
      <c r="C42" s="22" t="n">
        <v>0</v>
      </c>
      <c r="D42" s="22" t="n">
        <v>0</v>
      </c>
      <c r="E42" s="9">
        <f>C42-D42</f>
        <v/>
      </c>
      <c r="F42" s="11">
        <f>IFERROR(D42/C42,0)</f>
        <v/>
      </c>
      <c r="G42" s="21" t="inlineStr"/>
    </row>
    <row r="43" ht="18" customHeight="1">
      <c r="A43" s="28" t="inlineStr">
        <is>
          <t>HEALTH &amp; WELLNESS TOTAL</t>
        </is>
      </c>
      <c r="C43" s="29">
        <f>SUM(C37:C42)</f>
        <v/>
      </c>
      <c r="D43" s="29">
        <f>SUM(D37:D42)</f>
        <v/>
      </c>
      <c r="E43" s="29">
        <f>C43-D43</f>
        <v/>
      </c>
      <c r="F43" s="30">
        <f>IFERROR(D43/C43,0)</f>
        <v/>
      </c>
      <c r="G43" s="31" t="inlineStr"/>
    </row>
    <row r="44" ht="18" customHeight="1">
      <c r="A44" s="27" t="inlineStr">
        <is>
          <t>LIFESTYLE</t>
        </is>
      </c>
    </row>
    <row r="45">
      <c r="A45" s="18" t="inlineStr">
        <is>
          <t>LIFESTYLE</t>
        </is>
      </c>
      <c r="B45" s="18" t="inlineStr">
        <is>
          <t>Streaming Services</t>
        </is>
      </c>
      <c r="C45" s="19" t="n">
        <v>0</v>
      </c>
      <c r="D45" s="19" t="n">
        <v>0</v>
      </c>
      <c r="E45" s="5">
        <f>C45-D45</f>
        <v/>
      </c>
      <c r="F45" s="20">
        <f>IFERROR(D45/C45,0)</f>
        <v/>
      </c>
      <c r="G45" s="18" t="inlineStr"/>
    </row>
    <row r="46">
      <c r="A46" s="21" t="inlineStr">
        <is>
          <t>LIFESTYLE</t>
        </is>
      </c>
      <c r="B46" s="21" t="inlineStr">
        <is>
          <t>Entertainment</t>
        </is>
      </c>
      <c r="C46" s="22" t="n">
        <v>0</v>
      </c>
      <c r="D46" s="22" t="n">
        <v>0</v>
      </c>
      <c r="E46" s="9">
        <f>C46-D46</f>
        <v/>
      </c>
      <c r="F46" s="11">
        <f>IFERROR(D46/C46,0)</f>
        <v/>
      </c>
      <c r="G46" s="21" t="inlineStr"/>
    </row>
    <row r="47">
      <c r="A47" s="18" t="inlineStr">
        <is>
          <t>LIFESTYLE</t>
        </is>
      </c>
      <c r="B47" s="18" t="inlineStr">
        <is>
          <t>Hobbies</t>
        </is>
      </c>
      <c r="C47" s="19" t="n">
        <v>0</v>
      </c>
      <c r="D47" s="19" t="n">
        <v>0</v>
      </c>
      <c r="E47" s="5">
        <f>C47-D47</f>
        <v/>
      </c>
      <c r="F47" s="20">
        <f>IFERROR(D47/C47,0)</f>
        <v/>
      </c>
      <c r="G47" s="18" t="inlineStr"/>
    </row>
    <row r="48">
      <c r="A48" s="21" t="inlineStr">
        <is>
          <t>LIFESTYLE</t>
        </is>
      </c>
      <c r="B48" s="21" t="inlineStr">
        <is>
          <t>Personal Care</t>
        </is>
      </c>
      <c r="C48" s="22" t="n">
        <v>0</v>
      </c>
      <c r="D48" s="22" t="n">
        <v>0</v>
      </c>
      <c r="E48" s="9">
        <f>C48-D48</f>
        <v/>
      </c>
      <c r="F48" s="11">
        <f>IFERROR(D48/C48,0)</f>
        <v/>
      </c>
      <c r="G48" s="21" t="inlineStr"/>
    </row>
    <row r="49">
      <c r="A49" s="18" t="inlineStr">
        <is>
          <t>LIFESTYLE</t>
        </is>
      </c>
      <c r="B49" s="18" t="inlineStr">
        <is>
          <t>Books</t>
        </is>
      </c>
      <c r="C49" s="19" t="n">
        <v>0</v>
      </c>
      <c r="D49" s="19" t="n">
        <v>0</v>
      </c>
      <c r="E49" s="5">
        <f>C49-D49</f>
        <v/>
      </c>
      <c r="F49" s="20">
        <f>IFERROR(D49/C49,0)</f>
        <v/>
      </c>
      <c r="G49" s="18" t="inlineStr"/>
    </row>
    <row r="50">
      <c r="A50" s="21" t="inlineStr">
        <is>
          <t>LIFESTYLE</t>
        </is>
      </c>
      <c r="B50" s="21" t="inlineStr">
        <is>
          <t>Clothing</t>
        </is>
      </c>
      <c r="C50" s="22" t="n">
        <v>0</v>
      </c>
      <c r="D50" s="22" t="n">
        <v>0</v>
      </c>
      <c r="E50" s="9">
        <f>C50-D50</f>
        <v/>
      </c>
      <c r="F50" s="11">
        <f>IFERROR(D50/C50,0)</f>
        <v/>
      </c>
      <c r="G50" s="21" t="inlineStr"/>
    </row>
    <row r="51" ht="18" customHeight="1">
      <c r="A51" s="28" t="inlineStr">
        <is>
          <t>LIFESTYLE TOTAL</t>
        </is>
      </c>
      <c r="C51" s="29">
        <f>SUM(C45:C50)</f>
        <v/>
      </c>
      <c r="D51" s="29">
        <f>SUM(D45:D50)</f>
        <v/>
      </c>
      <c r="E51" s="29">
        <f>C51-D51</f>
        <v/>
      </c>
      <c r="F51" s="30">
        <f>IFERROR(D51/C51,0)</f>
        <v/>
      </c>
      <c r="G51" s="31" t="inlineStr"/>
    </row>
    <row r="52" ht="18" customHeight="1">
      <c r="A52" s="27" t="inlineStr">
        <is>
          <t>CHILDREN &amp; FAMILY</t>
        </is>
      </c>
    </row>
    <row r="53">
      <c r="A53" s="18" t="inlineStr">
        <is>
          <t>CHILDREN &amp; FAMILY</t>
        </is>
      </c>
      <c r="B53" s="18" t="inlineStr">
        <is>
          <t>Childcare</t>
        </is>
      </c>
      <c r="C53" s="19" t="n">
        <v>0</v>
      </c>
      <c r="D53" s="19" t="n">
        <v>0</v>
      </c>
      <c r="E53" s="5">
        <f>C53-D53</f>
        <v/>
      </c>
      <c r="F53" s="20">
        <f>IFERROR(D53/C53,0)</f>
        <v/>
      </c>
      <c r="G53" s="18" t="inlineStr"/>
    </row>
    <row r="54">
      <c r="A54" s="21" t="inlineStr">
        <is>
          <t>CHILDREN &amp; FAMILY</t>
        </is>
      </c>
      <c r="B54" s="21" t="inlineStr">
        <is>
          <t>School Fees</t>
        </is>
      </c>
      <c r="C54" s="22" t="n">
        <v>0</v>
      </c>
      <c r="D54" s="22" t="n">
        <v>0</v>
      </c>
      <c r="E54" s="9">
        <f>C54-D54</f>
        <v/>
      </c>
      <c r="F54" s="11">
        <f>IFERROR(D54/C54,0)</f>
        <v/>
      </c>
      <c r="G54" s="21" t="inlineStr"/>
    </row>
    <row r="55">
      <c r="A55" s="18" t="inlineStr">
        <is>
          <t>CHILDREN &amp; FAMILY</t>
        </is>
      </c>
      <c r="B55" s="18" t="inlineStr">
        <is>
          <t>Activities</t>
        </is>
      </c>
      <c r="C55" s="19" t="n">
        <v>0</v>
      </c>
      <c r="D55" s="19" t="n">
        <v>0</v>
      </c>
      <c r="E55" s="5">
        <f>C55-D55</f>
        <v/>
      </c>
      <c r="F55" s="20">
        <f>IFERROR(D55/C55,0)</f>
        <v/>
      </c>
      <c r="G55" s="18" t="inlineStr"/>
    </row>
    <row r="56">
      <c r="A56" s="21" t="inlineStr">
        <is>
          <t>CHILDREN &amp; FAMILY</t>
        </is>
      </c>
      <c r="B56" s="21" t="inlineStr">
        <is>
          <t>Toys &amp; Gifts</t>
        </is>
      </c>
      <c r="C56" s="22" t="n">
        <v>0</v>
      </c>
      <c r="D56" s="22" t="n">
        <v>0</v>
      </c>
      <c r="E56" s="9">
        <f>C56-D56</f>
        <v/>
      </c>
      <c r="F56" s="11">
        <f>IFERROR(D56/C56,0)</f>
        <v/>
      </c>
      <c r="G56" s="21" t="inlineStr"/>
    </row>
    <row r="57">
      <c r="A57" s="18" t="inlineStr">
        <is>
          <t>CHILDREN &amp; FAMILY</t>
        </is>
      </c>
      <c r="B57" s="18" t="inlineStr">
        <is>
          <t>Family Outings</t>
        </is>
      </c>
      <c r="C57" s="19" t="n">
        <v>0</v>
      </c>
      <c r="D57" s="19" t="n">
        <v>0</v>
      </c>
      <c r="E57" s="5">
        <f>C57-D57</f>
        <v/>
      </c>
      <c r="F57" s="20">
        <f>IFERROR(D57/C57,0)</f>
        <v/>
      </c>
      <c r="G57" s="18" t="inlineStr"/>
    </row>
    <row r="58">
      <c r="A58" s="21" t="inlineStr">
        <is>
          <t>CHILDREN &amp; FAMILY</t>
        </is>
      </c>
      <c r="B58" s="21" t="inlineStr">
        <is>
          <t>Other</t>
        </is>
      </c>
      <c r="C58" s="22" t="n">
        <v>0</v>
      </c>
      <c r="D58" s="22" t="n">
        <v>0</v>
      </c>
      <c r="E58" s="9">
        <f>C58-D58</f>
        <v/>
      </c>
      <c r="F58" s="11">
        <f>IFERROR(D58/C58,0)</f>
        <v/>
      </c>
      <c r="G58" s="21" t="inlineStr"/>
    </row>
    <row r="59" ht="18" customHeight="1">
      <c r="A59" s="28" t="inlineStr">
        <is>
          <t>CHILDREN &amp; FAMILY TOTAL</t>
        </is>
      </c>
      <c r="C59" s="29">
        <f>SUM(C53:C58)</f>
        <v/>
      </c>
      <c r="D59" s="29">
        <f>SUM(D53:D58)</f>
        <v/>
      </c>
      <c r="E59" s="29">
        <f>C59-D59</f>
        <v/>
      </c>
      <c r="F59" s="30">
        <f>IFERROR(D59/C59,0)</f>
        <v/>
      </c>
      <c r="G59" s="31" t="inlineStr"/>
    </row>
    <row r="60" ht="18" customHeight="1">
      <c r="A60" s="27" t="inlineStr">
        <is>
          <t>SAVINGS &amp; INVESTMENTS</t>
        </is>
      </c>
    </row>
    <row r="61">
      <c r="A61" s="18" t="inlineStr">
        <is>
          <t>SAVINGS &amp; INVESTMENTS</t>
        </is>
      </c>
      <c r="B61" s="18" t="inlineStr">
        <is>
          <t>Emergency Fund</t>
        </is>
      </c>
      <c r="C61" s="19" t="n">
        <v>0</v>
      </c>
      <c r="D61" s="19" t="n">
        <v>0</v>
      </c>
      <c r="E61" s="5">
        <f>C61-D61</f>
        <v/>
      </c>
      <c r="F61" s="20">
        <f>IFERROR(D61/C61,0)</f>
        <v/>
      </c>
      <c r="G61" s="18" t="inlineStr"/>
    </row>
    <row r="62">
      <c r="A62" s="21" t="inlineStr">
        <is>
          <t>SAVINGS &amp; INVESTMENTS</t>
        </is>
      </c>
      <c r="B62" s="21" t="inlineStr">
        <is>
          <t>Pension/IRA</t>
        </is>
      </c>
      <c r="C62" s="22" t="n">
        <v>0</v>
      </c>
      <c r="D62" s="22" t="n">
        <v>0</v>
      </c>
      <c r="E62" s="9">
        <f>C62-D62</f>
        <v/>
      </c>
      <c r="F62" s="11">
        <f>IFERROR(D62/C62,0)</f>
        <v/>
      </c>
      <c r="G62" s="21" t="inlineStr"/>
    </row>
    <row r="63">
      <c r="A63" s="18" t="inlineStr">
        <is>
          <t>SAVINGS &amp; INVESTMENTS</t>
        </is>
      </c>
      <c r="B63" s="18" t="inlineStr">
        <is>
          <t>Stocks &amp; ETFs</t>
        </is>
      </c>
      <c r="C63" s="19" t="n">
        <v>0</v>
      </c>
      <c r="D63" s="19" t="n">
        <v>0</v>
      </c>
      <c r="E63" s="5">
        <f>C63-D63</f>
        <v/>
      </c>
      <c r="F63" s="20">
        <f>IFERROR(D63/C63,0)</f>
        <v/>
      </c>
      <c r="G63" s="18" t="inlineStr"/>
    </row>
    <row r="64">
      <c r="A64" s="21" t="inlineStr">
        <is>
          <t>SAVINGS &amp; INVESTMENTS</t>
        </is>
      </c>
      <c r="B64" s="21" t="inlineStr">
        <is>
          <t>Vacation Fund</t>
        </is>
      </c>
      <c r="C64" s="22" t="n">
        <v>0</v>
      </c>
      <c r="D64" s="22" t="n">
        <v>0</v>
      </c>
      <c r="E64" s="9">
        <f>C64-D64</f>
        <v/>
      </c>
      <c r="F64" s="11">
        <f>IFERROR(D64/C64,0)</f>
        <v/>
      </c>
      <c r="G64" s="21" t="inlineStr"/>
    </row>
    <row r="65">
      <c r="A65" s="18" t="inlineStr">
        <is>
          <t>SAVINGS &amp; INVESTMENTS</t>
        </is>
      </c>
      <c r="B65" s="18" t="inlineStr">
        <is>
          <t>Home Fund</t>
        </is>
      </c>
      <c r="C65" s="19" t="n">
        <v>0</v>
      </c>
      <c r="D65" s="19" t="n">
        <v>0</v>
      </c>
      <c r="E65" s="5">
        <f>C65-D65</f>
        <v/>
      </c>
      <c r="F65" s="20">
        <f>IFERROR(D65/C65,0)</f>
        <v/>
      </c>
      <c r="G65" s="18" t="inlineStr"/>
    </row>
    <row r="66">
      <c r="A66" s="21" t="inlineStr">
        <is>
          <t>SAVINGS &amp; INVESTMENTS</t>
        </is>
      </c>
      <c r="B66" s="21" t="inlineStr">
        <is>
          <t>Other</t>
        </is>
      </c>
      <c r="C66" s="22" t="n">
        <v>0</v>
      </c>
      <c r="D66" s="22" t="n">
        <v>0</v>
      </c>
      <c r="E66" s="9">
        <f>C66-D66</f>
        <v/>
      </c>
      <c r="F66" s="11">
        <f>IFERROR(D66/C66,0)</f>
        <v/>
      </c>
      <c r="G66" s="21" t="inlineStr"/>
    </row>
    <row r="67" ht="18" customHeight="1">
      <c r="A67" s="28" t="inlineStr">
        <is>
          <t>SAVINGS &amp; INVESTMENTS TOTAL</t>
        </is>
      </c>
      <c r="C67" s="29">
        <f>SUM(C61:C66)</f>
        <v/>
      </c>
      <c r="D67" s="29">
        <f>SUM(D61:D66)</f>
        <v/>
      </c>
      <c r="E67" s="29">
        <f>C67-D67</f>
        <v/>
      </c>
      <c r="F67" s="30">
        <f>IFERROR(D67/C67,0)</f>
        <v/>
      </c>
      <c r="G67" s="31" t="inlineStr"/>
    </row>
    <row r="68" ht="18" customHeight="1">
      <c r="A68" s="27" t="inlineStr">
        <is>
          <t>DEBT PAYMENTS</t>
        </is>
      </c>
    </row>
    <row r="69">
      <c r="A69" s="18" t="inlineStr">
        <is>
          <t>DEBT PAYMENTS</t>
        </is>
      </c>
      <c r="B69" s="18" t="inlineStr">
        <is>
          <t>Credit Card 1</t>
        </is>
      </c>
      <c r="C69" s="19" t="n">
        <v>0</v>
      </c>
      <c r="D69" s="19" t="n">
        <v>0</v>
      </c>
      <c r="E69" s="5">
        <f>C69-D69</f>
        <v/>
      </c>
      <c r="F69" s="20">
        <f>IFERROR(D69/C69,0)</f>
        <v/>
      </c>
      <c r="G69" s="18" t="inlineStr"/>
    </row>
    <row r="70">
      <c r="A70" s="21" t="inlineStr">
        <is>
          <t>DEBT PAYMENTS</t>
        </is>
      </c>
      <c r="B70" s="21" t="inlineStr">
        <is>
          <t>Credit Card 2</t>
        </is>
      </c>
      <c r="C70" s="22" t="n">
        <v>0</v>
      </c>
      <c r="D70" s="22" t="n">
        <v>0</v>
      </c>
      <c r="E70" s="9">
        <f>C70-D70</f>
        <v/>
      </c>
      <c r="F70" s="11">
        <f>IFERROR(D70/C70,0)</f>
        <v/>
      </c>
      <c r="G70" s="21" t="inlineStr"/>
    </row>
    <row r="71">
      <c r="A71" s="18" t="inlineStr">
        <is>
          <t>DEBT PAYMENTS</t>
        </is>
      </c>
      <c r="B71" s="18" t="inlineStr">
        <is>
          <t>Student Loan</t>
        </is>
      </c>
      <c r="C71" s="19" t="n">
        <v>0</v>
      </c>
      <c r="D71" s="19" t="n">
        <v>0</v>
      </c>
      <c r="E71" s="5">
        <f>C71-D71</f>
        <v/>
      </c>
      <c r="F71" s="20">
        <f>IFERROR(D71/C71,0)</f>
        <v/>
      </c>
      <c r="G71" s="18" t="inlineStr"/>
    </row>
    <row r="72">
      <c r="A72" s="21" t="inlineStr">
        <is>
          <t>DEBT PAYMENTS</t>
        </is>
      </c>
      <c r="B72" s="21" t="inlineStr">
        <is>
          <t>Car Loan</t>
        </is>
      </c>
      <c r="C72" s="22" t="n">
        <v>0</v>
      </c>
      <c r="D72" s="22" t="n">
        <v>0</v>
      </c>
      <c r="E72" s="9">
        <f>C72-D72</f>
        <v/>
      </c>
      <c r="F72" s="11">
        <f>IFERROR(D72/C72,0)</f>
        <v/>
      </c>
      <c r="G72" s="21" t="inlineStr"/>
    </row>
    <row r="73">
      <c r="A73" s="18" t="inlineStr">
        <is>
          <t>DEBT PAYMENTS</t>
        </is>
      </c>
      <c r="B73" s="18" t="inlineStr">
        <is>
          <t>Personal Loan</t>
        </is>
      </c>
      <c r="C73" s="19" t="n">
        <v>0</v>
      </c>
      <c r="D73" s="19" t="n">
        <v>0</v>
      </c>
      <c r="E73" s="5">
        <f>C73-D73</f>
        <v/>
      </c>
      <c r="F73" s="20">
        <f>IFERROR(D73/C73,0)</f>
        <v/>
      </c>
      <c r="G73" s="18" t="inlineStr"/>
    </row>
    <row r="74">
      <c r="A74" s="21" t="inlineStr">
        <is>
          <t>DEBT PAYMENTS</t>
        </is>
      </c>
      <c r="B74" s="21" t="inlineStr">
        <is>
          <t>Other</t>
        </is>
      </c>
      <c r="C74" s="22" t="n">
        <v>0</v>
      </c>
      <c r="D74" s="22" t="n">
        <v>0</v>
      </c>
      <c r="E74" s="9">
        <f>C74-D74</f>
        <v/>
      </c>
      <c r="F74" s="11">
        <f>IFERROR(D74/C74,0)</f>
        <v/>
      </c>
      <c r="G74" s="21" t="inlineStr"/>
    </row>
    <row r="75" ht="18" customHeight="1">
      <c r="A75" s="28" t="inlineStr">
        <is>
          <t>DEBT PAYMENTS TOTAL</t>
        </is>
      </c>
      <c r="C75" s="29">
        <f>SUM(C69:C74)</f>
        <v/>
      </c>
      <c r="D75" s="29">
        <f>SUM(D69:D74)</f>
        <v/>
      </c>
      <c r="E75" s="29">
        <f>C75-D75</f>
        <v/>
      </c>
      <c r="F75" s="30">
        <f>IFERROR(D75/C75,0)</f>
        <v/>
      </c>
      <c r="G75" s="31" t="inlineStr"/>
    </row>
    <row r="76" ht="22" customHeight="1">
      <c r="A76" s="32" t="inlineStr">
        <is>
          <t>GRAND TOTAL EXPENSES</t>
        </is>
      </c>
      <c r="C76" s="33">
        <f>SUM(C19,C27,C35,C43,C51,C59,C67,C75)</f>
        <v/>
      </c>
      <c r="D76" s="33">
        <f>D19+D27+D35+D43+D51+D59+D67+D75</f>
        <v/>
      </c>
      <c r="E76" s="33">
        <f>C76-D76</f>
        <v/>
      </c>
      <c r="F76" s="34">
        <f>IFERROR(D76/C76,0)</f>
        <v/>
      </c>
      <c r="G76" s="35" t="inlineStr"/>
    </row>
    <row r="77" ht="22" customHeight="1">
      <c r="A77" s="17" t="inlineStr">
        <is>
          <t>NET CASH FLOW</t>
        </is>
      </c>
      <c r="C77" s="36">
        <f>C11-C76</f>
        <v/>
      </c>
      <c r="D77" s="36">
        <f>D11-D76</f>
        <v/>
      </c>
      <c r="E77" s="36">
        <f>C77-D77</f>
        <v/>
      </c>
      <c r="F77" s="37" t="inlineStr"/>
      <c r="G77" s="37" t="inlineStr"/>
    </row>
  </sheetData>
  <mergeCells count="22">
    <mergeCell ref="A59:B59"/>
    <mergeCell ref="A11:B11"/>
    <mergeCell ref="A51:B51"/>
    <mergeCell ref="A4:G4"/>
    <mergeCell ref="A20:G20"/>
    <mergeCell ref="A52:G52"/>
    <mergeCell ref="A68:G68"/>
    <mergeCell ref="A28:G28"/>
    <mergeCell ref="A44:G44"/>
    <mergeCell ref="A75:B75"/>
    <mergeCell ref="A60:G60"/>
    <mergeCell ref="A27:B27"/>
    <mergeCell ref="A36:G36"/>
    <mergeCell ref="A1:G1"/>
    <mergeCell ref="A76:B76"/>
    <mergeCell ref="A35:B35"/>
    <mergeCell ref="A43:B43"/>
    <mergeCell ref="A19:B19"/>
    <mergeCell ref="A12:G12"/>
    <mergeCell ref="A2:G2"/>
    <mergeCell ref="A67:B67"/>
    <mergeCell ref="A77:B7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3" customWidth="1" min="4" max="4"/>
    <col width="13" customWidth="1" min="5" max="5"/>
    <col width="10" customWidth="1" min="6" max="6"/>
    <col width="18" customWidth="1" min="7" max="7"/>
  </cols>
  <sheetData>
    <row r="1" ht="44" customHeight="1">
      <c r="A1" s="14" t="inlineStr">
        <is>
          <t>SEPTEMBER · MONTHLY BUDGET</t>
        </is>
      </c>
    </row>
    <row r="2" ht="18" customHeight="1">
      <c r="A2" s="15" t="inlineStr">
        <is>
          <t>Track your income, expenses, and savings for the month</t>
        </is>
      </c>
    </row>
    <row r="3" ht="20" customHeight="1">
      <c r="A3" s="16" t="inlineStr">
        <is>
          <t>CATEGORY</t>
        </is>
      </c>
      <c r="B3" s="16" t="inlineStr">
        <is>
          <t>SUBCATEGORY</t>
        </is>
      </c>
      <c r="C3" s="16" t="inlineStr">
        <is>
          <t>BUDGETED</t>
        </is>
      </c>
      <c r="D3" s="16" t="inlineStr">
        <is>
          <t>ACTUAL</t>
        </is>
      </c>
      <c r="E3" s="16" t="inlineStr">
        <is>
          <t>DIFFERENCE</t>
        </is>
      </c>
      <c r="F3" s="16" t="inlineStr">
        <is>
          <t>% USED</t>
        </is>
      </c>
      <c r="G3" s="16" t="inlineStr">
        <is>
          <t>NOTES</t>
        </is>
      </c>
    </row>
    <row r="4" ht="18" customHeight="1">
      <c r="A4" s="17" t="inlineStr">
        <is>
          <t>INCOME</t>
        </is>
      </c>
    </row>
    <row r="5">
      <c r="A5" s="4" t="inlineStr">
        <is>
          <t>INCOME</t>
        </is>
      </c>
      <c r="B5" s="18" t="inlineStr">
        <is>
          <t>Primary Salary</t>
        </is>
      </c>
      <c r="C5" s="19" t="n">
        <v>0</v>
      </c>
      <c r="D5" s="19" t="n">
        <v>0</v>
      </c>
      <c r="E5" s="5">
        <f>C5-D5</f>
        <v/>
      </c>
      <c r="F5" s="20">
        <f>IFERROR(D5/C5,0)</f>
        <v/>
      </c>
      <c r="G5" s="18" t="inlineStr"/>
    </row>
    <row r="6">
      <c r="A6" s="8" t="inlineStr">
        <is>
          <t>INCOME</t>
        </is>
      </c>
      <c r="B6" s="21" t="inlineStr">
        <is>
          <t>Freelance</t>
        </is>
      </c>
      <c r="C6" s="22" t="n">
        <v>0</v>
      </c>
      <c r="D6" s="22" t="n">
        <v>0</v>
      </c>
      <c r="E6" s="9">
        <f>C6-D6</f>
        <v/>
      </c>
      <c r="F6" s="11">
        <f>IFERROR(D6/C6,0)</f>
        <v/>
      </c>
      <c r="G6" s="21" t="inlineStr"/>
    </row>
    <row r="7">
      <c r="A7" s="4" t="inlineStr">
        <is>
          <t>INCOME</t>
        </is>
      </c>
      <c r="B7" s="18" t="inlineStr">
        <is>
          <t>Rental Income</t>
        </is>
      </c>
      <c r="C7" s="19" t="n">
        <v>0</v>
      </c>
      <c r="D7" s="19" t="n">
        <v>0</v>
      </c>
      <c r="E7" s="5">
        <f>C7-D7</f>
        <v/>
      </c>
      <c r="F7" s="20">
        <f>IFERROR(D7/C7,0)</f>
        <v/>
      </c>
      <c r="G7" s="18" t="inlineStr"/>
    </row>
    <row r="8">
      <c r="A8" s="8" t="inlineStr">
        <is>
          <t>INCOME</t>
        </is>
      </c>
      <c r="B8" s="21" t="inlineStr">
        <is>
          <t>Dividends</t>
        </is>
      </c>
      <c r="C8" s="22" t="n">
        <v>0</v>
      </c>
      <c r="D8" s="22" t="n">
        <v>0</v>
      </c>
      <c r="E8" s="9">
        <f>C8-D8</f>
        <v/>
      </c>
      <c r="F8" s="11">
        <f>IFERROR(D8/C8,0)</f>
        <v/>
      </c>
      <c r="G8" s="21" t="inlineStr"/>
    </row>
    <row r="9">
      <c r="A9" s="4" t="inlineStr">
        <is>
          <t>INCOME</t>
        </is>
      </c>
      <c r="B9" s="18" t="inlineStr">
        <is>
          <t>Side Business</t>
        </is>
      </c>
      <c r="C9" s="19" t="n">
        <v>0</v>
      </c>
      <c r="D9" s="19" t="n">
        <v>0</v>
      </c>
      <c r="E9" s="5">
        <f>C9-D9</f>
        <v/>
      </c>
      <c r="F9" s="20">
        <f>IFERROR(D9/C9,0)</f>
        <v/>
      </c>
      <c r="G9" s="18" t="inlineStr"/>
    </row>
    <row r="10">
      <c r="A10" s="8" t="inlineStr">
        <is>
          <t>INCOME</t>
        </is>
      </c>
      <c r="B10" s="21" t="inlineStr">
        <is>
          <t>Other Income</t>
        </is>
      </c>
      <c r="C10" s="22" t="n">
        <v>0</v>
      </c>
      <c r="D10" s="22" t="n">
        <v>0</v>
      </c>
      <c r="E10" s="9">
        <f>C10-D10</f>
        <v/>
      </c>
      <c r="F10" s="11">
        <f>IFERROR(D10/C10,0)</f>
        <v/>
      </c>
      <c r="G10" s="21" t="inlineStr"/>
    </row>
    <row r="11" ht="18" customHeight="1">
      <c r="A11" s="23" t="inlineStr">
        <is>
          <t>TOTAL INCOME</t>
        </is>
      </c>
      <c r="C11" s="24">
        <f>SUM(C5:C10)</f>
        <v/>
      </c>
      <c r="D11" s="24">
        <f>SUM(D5:D10)</f>
        <v/>
      </c>
      <c r="E11" s="24">
        <f>C11-D11</f>
        <v/>
      </c>
      <c r="F11" s="25">
        <f>IFERROR(D11/C11,0)</f>
        <v/>
      </c>
      <c r="G11" s="26" t="inlineStr"/>
    </row>
    <row r="12" ht="18" customHeight="1">
      <c r="A12" s="27" t="inlineStr">
        <is>
          <t>HOUSING</t>
        </is>
      </c>
    </row>
    <row r="13">
      <c r="A13" s="18" t="inlineStr">
        <is>
          <t>HOUSING</t>
        </is>
      </c>
      <c r="B13" s="18" t="inlineStr">
        <is>
          <t>Rent/Mortgage</t>
        </is>
      </c>
      <c r="C13" s="19" t="n">
        <v>0</v>
      </c>
      <c r="D13" s="19" t="n">
        <v>0</v>
      </c>
      <c r="E13" s="5">
        <f>C13-D13</f>
        <v/>
      </c>
      <c r="F13" s="20">
        <f>IFERROR(D13/C13,0)</f>
        <v/>
      </c>
      <c r="G13" s="18" t="inlineStr"/>
    </row>
    <row r="14">
      <c r="A14" s="21" t="inlineStr">
        <is>
          <t>HOUSING</t>
        </is>
      </c>
      <c r="B14" s="21" t="inlineStr">
        <is>
          <t>Electricity</t>
        </is>
      </c>
      <c r="C14" s="22" t="n">
        <v>0</v>
      </c>
      <c r="D14" s="22" t="n">
        <v>0</v>
      </c>
      <c r="E14" s="9">
        <f>C14-D14</f>
        <v/>
      </c>
      <c r="F14" s="11">
        <f>IFERROR(D14/C14,0)</f>
        <v/>
      </c>
      <c r="G14" s="21" t="inlineStr"/>
    </row>
    <row r="15">
      <c r="A15" s="18" t="inlineStr">
        <is>
          <t>HOUSING</t>
        </is>
      </c>
      <c r="B15" s="18" t="inlineStr">
        <is>
          <t>Water</t>
        </is>
      </c>
      <c r="C15" s="19" t="n">
        <v>0</v>
      </c>
      <c r="D15" s="19" t="n">
        <v>0</v>
      </c>
      <c r="E15" s="5">
        <f>C15-D15</f>
        <v/>
      </c>
      <c r="F15" s="20">
        <f>IFERROR(D15/C15,0)</f>
        <v/>
      </c>
      <c r="G15" s="18" t="inlineStr"/>
    </row>
    <row r="16">
      <c r="A16" s="21" t="inlineStr">
        <is>
          <t>HOUSING</t>
        </is>
      </c>
      <c r="B16" s="21" t="inlineStr">
        <is>
          <t>Internet</t>
        </is>
      </c>
      <c r="C16" s="22" t="n">
        <v>0</v>
      </c>
      <c r="D16" s="22" t="n">
        <v>0</v>
      </c>
      <c r="E16" s="9">
        <f>C16-D16</f>
        <v/>
      </c>
      <c r="F16" s="11">
        <f>IFERROR(D16/C16,0)</f>
        <v/>
      </c>
      <c r="G16" s="21" t="inlineStr"/>
    </row>
    <row r="17">
      <c r="A17" s="18" t="inlineStr">
        <is>
          <t>HOUSING</t>
        </is>
      </c>
      <c r="B17" s="18" t="inlineStr">
        <is>
          <t>Home Insurance</t>
        </is>
      </c>
      <c r="C17" s="19" t="n">
        <v>0</v>
      </c>
      <c r="D17" s="19" t="n">
        <v>0</v>
      </c>
      <c r="E17" s="5">
        <f>C17-D17</f>
        <v/>
      </c>
      <c r="F17" s="20">
        <f>IFERROR(D17/C17,0)</f>
        <v/>
      </c>
      <c r="G17" s="18" t="inlineStr"/>
    </row>
    <row r="18">
      <c r="A18" s="21" t="inlineStr">
        <is>
          <t>HOUSING</t>
        </is>
      </c>
      <c r="B18" s="21" t="inlineStr">
        <is>
          <t>Maintenance</t>
        </is>
      </c>
      <c r="C18" s="22" t="n">
        <v>0</v>
      </c>
      <c r="D18" s="22" t="n">
        <v>0</v>
      </c>
      <c r="E18" s="9">
        <f>C18-D18</f>
        <v/>
      </c>
      <c r="F18" s="11">
        <f>IFERROR(D18/C18,0)</f>
        <v/>
      </c>
      <c r="G18" s="21" t="inlineStr"/>
    </row>
    <row r="19" ht="18" customHeight="1">
      <c r="A19" s="28" t="inlineStr">
        <is>
          <t>HOUSING TOTAL</t>
        </is>
      </c>
      <c r="C19" s="29">
        <f>SUM(C13:C18)</f>
        <v/>
      </c>
      <c r="D19" s="29">
        <f>SUM(D13:D18)</f>
        <v/>
      </c>
      <c r="E19" s="29">
        <f>C19-D19</f>
        <v/>
      </c>
      <c r="F19" s="30">
        <f>IFERROR(D19/C19,0)</f>
        <v/>
      </c>
      <c r="G19" s="31" t="inlineStr"/>
    </row>
    <row r="20" ht="18" customHeight="1">
      <c r="A20" s="27" t="inlineStr">
        <is>
          <t>TRANSPORT</t>
        </is>
      </c>
    </row>
    <row r="21">
      <c r="A21" s="18" t="inlineStr">
        <is>
          <t>TRANSPORT</t>
        </is>
      </c>
      <c r="B21" s="18" t="inlineStr">
        <is>
          <t>Car Payment</t>
        </is>
      </c>
      <c r="C21" s="19" t="n">
        <v>0</v>
      </c>
      <c r="D21" s="19" t="n">
        <v>0</v>
      </c>
      <c r="E21" s="5">
        <f>C21-D21</f>
        <v/>
      </c>
      <c r="F21" s="20">
        <f>IFERROR(D21/C21,0)</f>
        <v/>
      </c>
      <c r="G21" s="18" t="inlineStr"/>
    </row>
    <row r="22">
      <c r="A22" s="21" t="inlineStr">
        <is>
          <t>TRANSPORT</t>
        </is>
      </c>
      <c r="B22" s="21" t="inlineStr">
        <is>
          <t>Fuel</t>
        </is>
      </c>
      <c r="C22" s="22" t="n">
        <v>0</v>
      </c>
      <c r="D22" s="22" t="n">
        <v>0</v>
      </c>
      <c r="E22" s="9">
        <f>C22-D22</f>
        <v/>
      </c>
      <c r="F22" s="11">
        <f>IFERROR(D22/C22,0)</f>
        <v/>
      </c>
      <c r="G22" s="21" t="inlineStr"/>
    </row>
    <row r="23">
      <c r="A23" s="18" t="inlineStr">
        <is>
          <t>TRANSPORT</t>
        </is>
      </c>
      <c r="B23" s="18" t="inlineStr">
        <is>
          <t>Car Insurance</t>
        </is>
      </c>
      <c r="C23" s="19" t="n">
        <v>0</v>
      </c>
      <c r="D23" s="19" t="n">
        <v>0</v>
      </c>
      <c r="E23" s="5">
        <f>C23-D23</f>
        <v/>
      </c>
      <c r="F23" s="20">
        <f>IFERROR(D23/C23,0)</f>
        <v/>
      </c>
      <c r="G23" s="18" t="inlineStr"/>
    </row>
    <row r="24">
      <c r="A24" s="21" t="inlineStr">
        <is>
          <t>TRANSPORT</t>
        </is>
      </c>
      <c r="B24" s="21" t="inlineStr">
        <is>
          <t>Parking</t>
        </is>
      </c>
      <c r="C24" s="22" t="n">
        <v>0</v>
      </c>
      <c r="D24" s="22" t="n">
        <v>0</v>
      </c>
      <c r="E24" s="9">
        <f>C24-D24</f>
        <v/>
      </c>
      <c r="F24" s="11">
        <f>IFERROR(D24/C24,0)</f>
        <v/>
      </c>
      <c r="G24" s="21" t="inlineStr"/>
    </row>
    <row r="25">
      <c r="A25" s="18" t="inlineStr">
        <is>
          <t>TRANSPORT</t>
        </is>
      </c>
      <c r="B25" s="18" t="inlineStr">
        <is>
          <t>Public Transport</t>
        </is>
      </c>
      <c r="C25" s="19" t="n">
        <v>0</v>
      </c>
      <c r="D25" s="19" t="n">
        <v>0</v>
      </c>
      <c r="E25" s="5">
        <f>C25-D25</f>
        <v/>
      </c>
      <c r="F25" s="20">
        <f>IFERROR(D25/C25,0)</f>
        <v/>
      </c>
      <c r="G25" s="18" t="inlineStr"/>
    </row>
    <row r="26">
      <c r="A26" s="21" t="inlineStr">
        <is>
          <t>TRANSPORT</t>
        </is>
      </c>
      <c r="B26" s="21" t="inlineStr">
        <is>
          <t>Ride Share</t>
        </is>
      </c>
      <c r="C26" s="22" t="n">
        <v>0</v>
      </c>
      <c r="D26" s="22" t="n">
        <v>0</v>
      </c>
      <c r="E26" s="9">
        <f>C26-D26</f>
        <v/>
      </c>
      <c r="F26" s="11">
        <f>IFERROR(D26/C26,0)</f>
        <v/>
      </c>
      <c r="G26" s="21" t="inlineStr"/>
    </row>
    <row r="27" ht="18" customHeight="1">
      <c r="A27" s="28" t="inlineStr">
        <is>
          <t>TRANSPORT TOTAL</t>
        </is>
      </c>
      <c r="C27" s="29">
        <f>SUM(C21:C26)</f>
        <v/>
      </c>
      <c r="D27" s="29">
        <f>SUM(D21:D26)</f>
        <v/>
      </c>
      <c r="E27" s="29">
        <f>C27-D27</f>
        <v/>
      </c>
      <c r="F27" s="30">
        <f>IFERROR(D27/C27,0)</f>
        <v/>
      </c>
      <c r="G27" s="31" t="inlineStr"/>
    </row>
    <row r="28" ht="18" customHeight="1">
      <c r="A28" s="27" t="inlineStr">
        <is>
          <t>FOOD &amp; DINING</t>
        </is>
      </c>
    </row>
    <row r="29">
      <c r="A29" s="18" t="inlineStr">
        <is>
          <t>FOOD &amp; DINING</t>
        </is>
      </c>
      <c r="B29" s="18" t="inlineStr">
        <is>
          <t>Groceries</t>
        </is>
      </c>
      <c r="C29" s="19" t="n">
        <v>0</v>
      </c>
      <c r="D29" s="19" t="n">
        <v>0</v>
      </c>
      <c r="E29" s="5">
        <f>C29-D29</f>
        <v/>
      </c>
      <c r="F29" s="20">
        <f>IFERROR(D29/C29,0)</f>
        <v/>
      </c>
      <c r="G29" s="18" t="inlineStr"/>
    </row>
    <row r="30">
      <c r="A30" s="21" t="inlineStr">
        <is>
          <t>FOOD &amp; DINING</t>
        </is>
      </c>
      <c r="B30" s="21" t="inlineStr">
        <is>
          <t>Restaurants</t>
        </is>
      </c>
      <c r="C30" s="22" t="n">
        <v>0</v>
      </c>
      <c r="D30" s="22" t="n">
        <v>0</v>
      </c>
      <c r="E30" s="9">
        <f>C30-D30</f>
        <v/>
      </c>
      <c r="F30" s="11">
        <f>IFERROR(D30/C30,0)</f>
        <v/>
      </c>
      <c r="G30" s="21" t="inlineStr"/>
    </row>
    <row r="31">
      <c r="A31" s="18" t="inlineStr">
        <is>
          <t>FOOD &amp; DINING</t>
        </is>
      </c>
      <c r="B31" s="18" t="inlineStr">
        <is>
          <t>Coffee Shops</t>
        </is>
      </c>
      <c r="C31" s="19" t="n">
        <v>0</v>
      </c>
      <c r="D31" s="19" t="n">
        <v>0</v>
      </c>
      <c r="E31" s="5">
        <f>C31-D31</f>
        <v/>
      </c>
      <c r="F31" s="20">
        <f>IFERROR(D31/C31,0)</f>
        <v/>
      </c>
      <c r="G31" s="18" t="inlineStr"/>
    </row>
    <row r="32">
      <c r="A32" s="21" t="inlineStr">
        <is>
          <t>FOOD &amp; DINING</t>
        </is>
      </c>
      <c r="B32" s="21" t="inlineStr">
        <is>
          <t>Food Delivery</t>
        </is>
      </c>
      <c r="C32" s="22" t="n">
        <v>0</v>
      </c>
      <c r="D32" s="22" t="n">
        <v>0</v>
      </c>
      <c r="E32" s="9">
        <f>C32-D32</f>
        <v/>
      </c>
      <c r="F32" s="11">
        <f>IFERROR(D32/C32,0)</f>
        <v/>
      </c>
      <c r="G32" s="21" t="inlineStr"/>
    </row>
    <row r="33">
      <c r="A33" s="18" t="inlineStr">
        <is>
          <t>FOOD &amp; DINING</t>
        </is>
      </c>
      <c r="B33" s="18" t="inlineStr">
        <is>
          <t>Work Lunch</t>
        </is>
      </c>
      <c r="C33" s="19" t="n">
        <v>0</v>
      </c>
      <c r="D33" s="19" t="n">
        <v>0</v>
      </c>
      <c r="E33" s="5">
        <f>C33-D33</f>
        <v/>
      </c>
      <c r="F33" s="20">
        <f>IFERROR(D33/C33,0)</f>
        <v/>
      </c>
      <c r="G33" s="18" t="inlineStr"/>
    </row>
    <row r="34">
      <c r="A34" s="21" t="inlineStr">
        <is>
          <t>FOOD &amp; DINING</t>
        </is>
      </c>
      <c r="B34" s="21" t="inlineStr">
        <is>
          <t>Other</t>
        </is>
      </c>
      <c r="C34" s="22" t="n">
        <v>0</v>
      </c>
      <c r="D34" s="22" t="n">
        <v>0</v>
      </c>
      <c r="E34" s="9">
        <f>C34-D34</f>
        <v/>
      </c>
      <c r="F34" s="11">
        <f>IFERROR(D34/C34,0)</f>
        <v/>
      </c>
      <c r="G34" s="21" t="inlineStr"/>
    </row>
    <row r="35" ht="18" customHeight="1">
      <c r="A35" s="28" t="inlineStr">
        <is>
          <t>FOOD &amp; DINING TOTAL</t>
        </is>
      </c>
      <c r="C35" s="29">
        <f>SUM(C29:C34)</f>
        <v/>
      </c>
      <c r="D35" s="29">
        <f>SUM(D29:D34)</f>
        <v/>
      </c>
      <c r="E35" s="29">
        <f>C35-D35</f>
        <v/>
      </c>
      <c r="F35" s="30">
        <f>IFERROR(D35/C35,0)</f>
        <v/>
      </c>
      <c r="G35" s="31" t="inlineStr"/>
    </row>
    <row r="36" ht="18" customHeight="1">
      <c r="A36" s="27" t="inlineStr">
        <is>
          <t>HEALTH &amp; WELLNESS</t>
        </is>
      </c>
    </row>
    <row r="37">
      <c r="A37" s="18" t="inlineStr">
        <is>
          <t>HEALTH &amp; WELLNESS</t>
        </is>
      </c>
      <c r="B37" s="18" t="inlineStr">
        <is>
          <t>Health Insurance</t>
        </is>
      </c>
      <c r="C37" s="19" t="n">
        <v>0</v>
      </c>
      <c r="D37" s="19" t="n">
        <v>0</v>
      </c>
      <c r="E37" s="5">
        <f>C37-D37</f>
        <v/>
      </c>
      <c r="F37" s="20">
        <f>IFERROR(D37/C37,0)</f>
        <v/>
      </c>
      <c r="G37" s="18" t="inlineStr"/>
    </row>
    <row r="38">
      <c r="A38" s="21" t="inlineStr">
        <is>
          <t>HEALTH &amp; WELLNESS</t>
        </is>
      </c>
      <c r="B38" s="21" t="inlineStr">
        <is>
          <t>Gym Membership</t>
        </is>
      </c>
      <c r="C38" s="22" t="n">
        <v>0</v>
      </c>
      <c r="D38" s="22" t="n">
        <v>0</v>
      </c>
      <c r="E38" s="9">
        <f>C38-D38</f>
        <v/>
      </c>
      <c r="F38" s="11">
        <f>IFERROR(D38/C38,0)</f>
        <v/>
      </c>
      <c r="G38" s="21" t="inlineStr"/>
    </row>
    <row r="39">
      <c r="A39" s="18" t="inlineStr">
        <is>
          <t>HEALTH &amp; WELLNESS</t>
        </is>
      </c>
      <c r="B39" s="18" t="inlineStr">
        <is>
          <t>Pharmacy</t>
        </is>
      </c>
      <c r="C39" s="19" t="n">
        <v>0</v>
      </c>
      <c r="D39" s="19" t="n">
        <v>0</v>
      </c>
      <c r="E39" s="5">
        <f>C39-D39</f>
        <v/>
      </c>
      <c r="F39" s="20">
        <f>IFERROR(D39/C39,0)</f>
        <v/>
      </c>
      <c r="G39" s="18" t="inlineStr"/>
    </row>
    <row r="40">
      <c r="A40" s="21" t="inlineStr">
        <is>
          <t>HEALTH &amp; WELLNESS</t>
        </is>
      </c>
      <c r="B40" s="21" t="inlineStr">
        <is>
          <t>Doctor Visits</t>
        </is>
      </c>
      <c r="C40" s="22" t="n">
        <v>0</v>
      </c>
      <c r="D40" s="22" t="n">
        <v>0</v>
      </c>
      <c r="E40" s="9">
        <f>C40-D40</f>
        <v/>
      </c>
      <c r="F40" s="11">
        <f>IFERROR(D40/C40,0)</f>
        <v/>
      </c>
      <c r="G40" s="21" t="inlineStr"/>
    </row>
    <row r="41">
      <c r="A41" s="18" t="inlineStr">
        <is>
          <t>HEALTH &amp; WELLNESS</t>
        </is>
      </c>
      <c r="B41" s="18" t="inlineStr">
        <is>
          <t>Dental</t>
        </is>
      </c>
      <c r="C41" s="19" t="n">
        <v>0</v>
      </c>
      <c r="D41" s="19" t="n">
        <v>0</v>
      </c>
      <c r="E41" s="5">
        <f>C41-D41</f>
        <v/>
      </c>
      <c r="F41" s="20">
        <f>IFERROR(D41/C41,0)</f>
        <v/>
      </c>
      <c r="G41" s="18" t="inlineStr"/>
    </row>
    <row r="42">
      <c r="A42" s="21" t="inlineStr">
        <is>
          <t>HEALTH &amp; WELLNESS</t>
        </is>
      </c>
      <c r="B42" s="21" t="inlineStr">
        <is>
          <t>Mental Health</t>
        </is>
      </c>
      <c r="C42" s="22" t="n">
        <v>0</v>
      </c>
      <c r="D42" s="22" t="n">
        <v>0</v>
      </c>
      <c r="E42" s="9">
        <f>C42-D42</f>
        <v/>
      </c>
      <c r="F42" s="11">
        <f>IFERROR(D42/C42,0)</f>
        <v/>
      </c>
      <c r="G42" s="21" t="inlineStr"/>
    </row>
    <row r="43" ht="18" customHeight="1">
      <c r="A43" s="28" t="inlineStr">
        <is>
          <t>HEALTH &amp; WELLNESS TOTAL</t>
        </is>
      </c>
      <c r="C43" s="29">
        <f>SUM(C37:C42)</f>
        <v/>
      </c>
      <c r="D43" s="29">
        <f>SUM(D37:D42)</f>
        <v/>
      </c>
      <c r="E43" s="29">
        <f>C43-D43</f>
        <v/>
      </c>
      <c r="F43" s="30">
        <f>IFERROR(D43/C43,0)</f>
        <v/>
      </c>
      <c r="G43" s="31" t="inlineStr"/>
    </row>
    <row r="44" ht="18" customHeight="1">
      <c r="A44" s="27" t="inlineStr">
        <is>
          <t>LIFESTYLE</t>
        </is>
      </c>
    </row>
    <row r="45">
      <c r="A45" s="18" t="inlineStr">
        <is>
          <t>LIFESTYLE</t>
        </is>
      </c>
      <c r="B45" s="18" t="inlineStr">
        <is>
          <t>Streaming Services</t>
        </is>
      </c>
      <c r="C45" s="19" t="n">
        <v>0</v>
      </c>
      <c r="D45" s="19" t="n">
        <v>0</v>
      </c>
      <c r="E45" s="5">
        <f>C45-D45</f>
        <v/>
      </c>
      <c r="F45" s="20">
        <f>IFERROR(D45/C45,0)</f>
        <v/>
      </c>
      <c r="G45" s="18" t="inlineStr"/>
    </row>
    <row r="46">
      <c r="A46" s="21" t="inlineStr">
        <is>
          <t>LIFESTYLE</t>
        </is>
      </c>
      <c r="B46" s="21" t="inlineStr">
        <is>
          <t>Entertainment</t>
        </is>
      </c>
      <c r="C46" s="22" t="n">
        <v>0</v>
      </c>
      <c r="D46" s="22" t="n">
        <v>0</v>
      </c>
      <c r="E46" s="9">
        <f>C46-D46</f>
        <v/>
      </c>
      <c r="F46" s="11">
        <f>IFERROR(D46/C46,0)</f>
        <v/>
      </c>
      <c r="G46" s="21" t="inlineStr"/>
    </row>
    <row r="47">
      <c r="A47" s="18" t="inlineStr">
        <is>
          <t>LIFESTYLE</t>
        </is>
      </c>
      <c r="B47" s="18" t="inlineStr">
        <is>
          <t>Hobbies</t>
        </is>
      </c>
      <c r="C47" s="19" t="n">
        <v>0</v>
      </c>
      <c r="D47" s="19" t="n">
        <v>0</v>
      </c>
      <c r="E47" s="5">
        <f>C47-D47</f>
        <v/>
      </c>
      <c r="F47" s="20">
        <f>IFERROR(D47/C47,0)</f>
        <v/>
      </c>
      <c r="G47" s="18" t="inlineStr"/>
    </row>
    <row r="48">
      <c r="A48" s="21" t="inlineStr">
        <is>
          <t>LIFESTYLE</t>
        </is>
      </c>
      <c r="B48" s="21" t="inlineStr">
        <is>
          <t>Personal Care</t>
        </is>
      </c>
      <c r="C48" s="22" t="n">
        <v>0</v>
      </c>
      <c r="D48" s="22" t="n">
        <v>0</v>
      </c>
      <c r="E48" s="9">
        <f>C48-D48</f>
        <v/>
      </c>
      <c r="F48" s="11">
        <f>IFERROR(D48/C48,0)</f>
        <v/>
      </c>
      <c r="G48" s="21" t="inlineStr"/>
    </row>
    <row r="49">
      <c r="A49" s="18" t="inlineStr">
        <is>
          <t>LIFESTYLE</t>
        </is>
      </c>
      <c r="B49" s="18" t="inlineStr">
        <is>
          <t>Books</t>
        </is>
      </c>
      <c r="C49" s="19" t="n">
        <v>0</v>
      </c>
      <c r="D49" s="19" t="n">
        <v>0</v>
      </c>
      <c r="E49" s="5">
        <f>C49-D49</f>
        <v/>
      </c>
      <c r="F49" s="20">
        <f>IFERROR(D49/C49,0)</f>
        <v/>
      </c>
      <c r="G49" s="18" t="inlineStr"/>
    </row>
    <row r="50">
      <c r="A50" s="21" t="inlineStr">
        <is>
          <t>LIFESTYLE</t>
        </is>
      </c>
      <c r="B50" s="21" t="inlineStr">
        <is>
          <t>Clothing</t>
        </is>
      </c>
      <c r="C50" s="22" t="n">
        <v>0</v>
      </c>
      <c r="D50" s="22" t="n">
        <v>0</v>
      </c>
      <c r="E50" s="9">
        <f>C50-D50</f>
        <v/>
      </c>
      <c r="F50" s="11">
        <f>IFERROR(D50/C50,0)</f>
        <v/>
      </c>
      <c r="G50" s="21" t="inlineStr"/>
    </row>
    <row r="51" ht="18" customHeight="1">
      <c r="A51" s="28" t="inlineStr">
        <is>
          <t>LIFESTYLE TOTAL</t>
        </is>
      </c>
      <c r="C51" s="29">
        <f>SUM(C45:C50)</f>
        <v/>
      </c>
      <c r="D51" s="29">
        <f>SUM(D45:D50)</f>
        <v/>
      </c>
      <c r="E51" s="29">
        <f>C51-D51</f>
        <v/>
      </c>
      <c r="F51" s="30">
        <f>IFERROR(D51/C51,0)</f>
        <v/>
      </c>
      <c r="G51" s="31" t="inlineStr"/>
    </row>
    <row r="52" ht="18" customHeight="1">
      <c r="A52" s="27" t="inlineStr">
        <is>
          <t>CHILDREN &amp; FAMILY</t>
        </is>
      </c>
    </row>
    <row r="53">
      <c r="A53" s="18" t="inlineStr">
        <is>
          <t>CHILDREN &amp; FAMILY</t>
        </is>
      </c>
      <c r="B53" s="18" t="inlineStr">
        <is>
          <t>Childcare</t>
        </is>
      </c>
      <c r="C53" s="19" t="n">
        <v>0</v>
      </c>
      <c r="D53" s="19" t="n">
        <v>0</v>
      </c>
      <c r="E53" s="5">
        <f>C53-D53</f>
        <v/>
      </c>
      <c r="F53" s="20">
        <f>IFERROR(D53/C53,0)</f>
        <v/>
      </c>
      <c r="G53" s="18" t="inlineStr"/>
    </row>
    <row r="54">
      <c r="A54" s="21" t="inlineStr">
        <is>
          <t>CHILDREN &amp; FAMILY</t>
        </is>
      </c>
      <c r="B54" s="21" t="inlineStr">
        <is>
          <t>School Fees</t>
        </is>
      </c>
      <c r="C54" s="22" t="n">
        <v>0</v>
      </c>
      <c r="D54" s="22" t="n">
        <v>0</v>
      </c>
      <c r="E54" s="9">
        <f>C54-D54</f>
        <v/>
      </c>
      <c r="F54" s="11">
        <f>IFERROR(D54/C54,0)</f>
        <v/>
      </c>
      <c r="G54" s="21" t="inlineStr"/>
    </row>
    <row r="55">
      <c r="A55" s="18" t="inlineStr">
        <is>
          <t>CHILDREN &amp; FAMILY</t>
        </is>
      </c>
      <c r="B55" s="18" t="inlineStr">
        <is>
          <t>Activities</t>
        </is>
      </c>
      <c r="C55" s="19" t="n">
        <v>0</v>
      </c>
      <c r="D55" s="19" t="n">
        <v>0</v>
      </c>
      <c r="E55" s="5">
        <f>C55-D55</f>
        <v/>
      </c>
      <c r="F55" s="20">
        <f>IFERROR(D55/C55,0)</f>
        <v/>
      </c>
      <c r="G55" s="18" t="inlineStr"/>
    </row>
    <row r="56">
      <c r="A56" s="21" t="inlineStr">
        <is>
          <t>CHILDREN &amp; FAMILY</t>
        </is>
      </c>
      <c r="B56" s="21" t="inlineStr">
        <is>
          <t>Toys &amp; Gifts</t>
        </is>
      </c>
      <c r="C56" s="22" t="n">
        <v>0</v>
      </c>
      <c r="D56" s="22" t="n">
        <v>0</v>
      </c>
      <c r="E56" s="9">
        <f>C56-D56</f>
        <v/>
      </c>
      <c r="F56" s="11">
        <f>IFERROR(D56/C56,0)</f>
        <v/>
      </c>
      <c r="G56" s="21" t="inlineStr"/>
    </row>
    <row r="57">
      <c r="A57" s="18" t="inlineStr">
        <is>
          <t>CHILDREN &amp; FAMILY</t>
        </is>
      </c>
      <c r="B57" s="18" t="inlineStr">
        <is>
          <t>Family Outings</t>
        </is>
      </c>
      <c r="C57" s="19" t="n">
        <v>0</v>
      </c>
      <c r="D57" s="19" t="n">
        <v>0</v>
      </c>
      <c r="E57" s="5">
        <f>C57-D57</f>
        <v/>
      </c>
      <c r="F57" s="20">
        <f>IFERROR(D57/C57,0)</f>
        <v/>
      </c>
      <c r="G57" s="18" t="inlineStr"/>
    </row>
    <row r="58">
      <c r="A58" s="21" t="inlineStr">
        <is>
          <t>CHILDREN &amp; FAMILY</t>
        </is>
      </c>
      <c r="B58" s="21" t="inlineStr">
        <is>
          <t>Other</t>
        </is>
      </c>
      <c r="C58" s="22" t="n">
        <v>0</v>
      </c>
      <c r="D58" s="22" t="n">
        <v>0</v>
      </c>
      <c r="E58" s="9">
        <f>C58-D58</f>
        <v/>
      </c>
      <c r="F58" s="11">
        <f>IFERROR(D58/C58,0)</f>
        <v/>
      </c>
      <c r="G58" s="21" t="inlineStr"/>
    </row>
    <row r="59" ht="18" customHeight="1">
      <c r="A59" s="28" t="inlineStr">
        <is>
          <t>CHILDREN &amp; FAMILY TOTAL</t>
        </is>
      </c>
      <c r="C59" s="29">
        <f>SUM(C53:C58)</f>
        <v/>
      </c>
      <c r="D59" s="29">
        <f>SUM(D53:D58)</f>
        <v/>
      </c>
      <c r="E59" s="29">
        <f>C59-D59</f>
        <v/>
      </c>
      <c r="F59" s="30">
        <f>IFERROR(D59/C59,0)</f>
        <v/>
      </c>
      <c r="G59" s="31" t="inlineStr"/>
    </row>
    <row r="60" ht="18" customHeight="1">
      <c r="A60" s="27" t="inlineStr">
        <is>
          <t>SAVINGS &amp; INVESTMENTS</t>
        </is>
      </c>
    </row>
    <row r="61">
      <c r="A61" s="18" t="inlineStr">
        <is>
          <t>SAVINGS &amp; INVESTMENTS</t>
        </is>
      </c>
      <c r="B61" s="18" t="inlineStr">
        <is>
          <t>Emergency Fund</t>
        </is>
      </c>
      <c r="C61" s="19" t="n">
        <v>0</v>
      </c>
      <c r="D61" s="19" t="n">
        <v>0</v>
      </c>
      <c r="E61" s="5">
        <f>C61-D61</f>
        <v/>
      </c>
      <c r="F61" s="20">
        <f>IFERROR(D61/C61,0)</f>
        <v/>
      </c>
      <c r="G61" s="18" t="inlineStr"/>
    </row>
    <row r="62">
      <c r="A62" s="21" t="inlineStr">
        <is>
          <t>SAVINGS &amp; INVESTMENTS</t>
        </is>
      </c>
      <c r="B62" s="21" t="inlineStr">
        <is>
          <t>Pension/IRA</t>
        </is>
      </c>
      <c r="C62" s="22" t="n">
        <v>0</v>
      </c>
      <c r="D62" s="22" t="n">
        <v>0</v>
      </c>
      <c r="E62" s="9">
        <f>C62-D62</f>
        <v/>
      </c>
      <c r="F62" s="11">
        <f>IFERROR(D62/C62,0)</f>
        <v/>
      </c>
      <c r="G62" s="21" t="inlineStr"/>
    </row>
    <row r="63">
      <c r="A63" s="18" t="inlineStr">
        <is>
          <t>SAVINGS &amp; INVESTMENTS</t>
        </is>
      </c>
      <c r="B63" s="18" t="inlineStr">
        <is>
          <t>Stocks &amp; ETFs</t>
        </is>
      </c>
      <c r="C63" s="19" t="n">
        <v>0</v>
      </c>
      <c r="D63" s="19" t="n">
        <v>0</v>
      </c>
      <c r="E63" s="5">
        <f>C63-D63</f>
        <v/>
      </c>
      <c r="F63" s="20">
        <f>IFERROR(D63/C63,0)</f>
        <v/>
      </c>
      <c r="G63" s="18" t="inlineStr"/>
    </row>
    <row r="64">
      <c r="A64" s="21" t="inlineStr">
        <is>
          <t>SAVINGS &amp; INVESTMENTS</t>
        </is>
      </c>
      <c r="B64" s="21" t="inlineStr">
        <is>
          <t>Vacation Fund</t>
        </is>
      </c>
      <c r="C64" s="22" t="n">
        <v>0</v>
      </c>
      <c r="D64" s="22" t="n">
        <v>0</v>
      </c>
      <c r="E64" s="9">
        <f>C64-D64</f>
        <v/>
      </c>
      <c r="F64" s="11">
        <f>IFERROR(D64/C64,0)</f>
        <v/>
      </c>
      <c r="G64" s="21" t="inlineStr"/>
    </row>
    <row r="65">
      <c r="A65" s="18" t="inlineStr">
        <is>
          <t>SAVINGS &amp; INVESTMENTS</t>
        </is>
      </c>
      <c r="B65" s="18" t="inlineStr">
        <is>
          <t>Home Fund</t>
        </is>
      </c>
      <c r="C65" s="19" t="n">
        <v>0</v>
      </c>
      <c r="D65" s="19" t="n">
        <v>0</v>
      </c>
      <c r="E65" s="5">
        <f>C65-D65</f>
        <v/>
      </c>
      <c r="F65" s="20">
        <f>IFERROR(D65/C65,0)</f>
        <v/>
      </c>
      <c r="G65" s="18" t="inlineStr"/>
    </row>
    <row r="66">
      <c r="A66" s="21" t="inlineStr">
        <is>
          <t>SAVINGS &amp; INVESTMENTS</t>
        </is>
      </c>
      <c r="B66" s="21" t="inlineStr">
        <is>
          <t>Other</t>
        </is>
      </c>
      <c r="C66" s="22" t="n">
        <v>0</v>
      </c>
      <c r="D66" s="22" t="n">
        <v>0</v>
      </c>
      <c r="E66" s="9">
        <f>C66-D66</f>
        <v/>
      </c>
      <c r="F66" s="11">
        <f>IFERROR(D66/C66,0)</f>
        <v/>
      </c>
      <c r="G66" s="21" t="inlineStr"/>
    </row>
    <row r="67" ht="18" customHeight="1">
      <c r="A67" s="28" t="inlineStr">
        <is>
          <t>SAVINGS &amp; INVESTMENTS TOTAL</t>
        </is>
      </c>
      <c r="C67" s="29">
        <f>SUM(C61:C66)</f>
        <v/>
      </c>
      <c r="D67" s="29">
        <f>SUM(D61:D66)</f>
        <v/>
      </c>
      <c r="E67" s="29">
        <f>C67-D67</f>
        <v/>
      </c>
      <c r="F67" s="30">
        <f>IFERROR(D67/C67,0)</f>
        <v/>
      </c>
      <c r="G67" s="31" t="inlineStr"/>
    </row>
    <row r="68" ht="18" customHeight="1">
      <c r="A68" s="27" t="inlineStr">
        <is>
          <t>DEBT PAYMENTS</t>
        </is>
      </c>
    </row>
    <row r="69">
      <c r="A69" s="18" t="inlineStr">
        <is>
          <t>DEBT PAYMENTS</t>
        </is>
      </c>
      <c r="B69" s="18" t="inlineStr">
        <is>
          <t>Credit Card 1</t>
        </is>
      </c>
      <c r="C69" s="19" t="n">
        <v>0</v>
      </c>
      <c r="D69" s="19" t="n">
        <v>0</v>
      </c>
      <c r="E69" s="5">
        <f>C69-D69</f>
        <v/>
      </c>
      <c r="F69" s="20">
        <f>IFERROR(D69/C69,0)</f>
        <v/>
      </c>
      <c r="G69" s="18" t="inlineStr"/>
    </row>
    <row r="70">
      <c r="A70" s="21" t="inlineStr">
        <is>
          <t>DEBT PAYMENTS</t>
        </is>
      </c>
      <c r="B70" s="21" t="inlineStr">
        <is>
          <t>Credit Card 2</t>
        </is>
      </c>
      <c r="C70" s="22" t="n">
        <v>0</v>
      </c>
      <c r="D70" s="22" t="n">
        <v>0</v>
      </c>
      <c r="E70" s="9">
        <f>C70-D70</f>
        <v/>
      </c>
      <c r="F70" s="11">
        <f>IFERROR(D70/C70,0)</f>
        <v/>
      </c>
      <c r="G70" s="21" t="inlineStr"/>
    </row>
    <row r="71">
      <c r="A71" s="18" t="inlineStr">
        <is>
          <t>DEBT PAYMENTS</t>
        </is>
      </c>
      <c r="B71" s="18" t="inlineStr">
        <is>
          <t>Student Loan</t>
        </is>
      </c>
      <c r="C71" s="19" t="n">
        <v>0</v>
      </c>
      <c r="D71" s="19" t="n">
        <v>0</v>
      </c>
      <c r="E71" s="5">
        <f>C71-D71</f>
        <v/>
      </c>
      <c r="F71" s="20">
        <f>IFERROR(D71/C71,0)</f>
        <v/>
      </c>
      <c r="G71" s="18" t="inlineStr"/>
    </row>
    <row r="72">
      <c r="A72" s="21" t="inlineStr">
        <is>
          <t>DEBT PAYMENTS</t>
        </is>
      </c>
      <c r="B72" s="21" t="inlineStr">
        <is>
          <t>Car Loan</t>
        </is>
      </c>
      <c r="C72" s="22" t="n">
        <v>0</v>
      </c>
      <c r="D72" s="22" t="n">
        <v>0</v>
      </c>
      <c r="E72" s="9">
        <f>C72-D72</f>
        <v/>
      </c>
      <c r="F72" s="11">
        <f>IFERROR(D72/C72,0)</f>
        <v/>
      </c>
      <c r="G72" s="21" t="inlineStr"/>
    </row>
    <row r="73">
      <c r="A73" s="18" t="inlineStr">
        <is>
          <t>DEBT PAYMENTS</t>
        </is>
      </c>
      <c r="B73" s="18" t="inlineStr">
        <is>
          <t>Personal Loan</t>
        </is>
      </c>
      <c r="C73" s="19" t="n">
        <v>0</v>
      </c>
      <c r="D73" s="19" t="n">
        <v>0</v>
      </c>
      <c r="E73" s="5">
        <f>C73-D73</f>
        <v/>
      </c>
      <c r="F73" s="20">
        <f>IFERROR(D73/C73,0)</f>
        <v/>
      </c>
      <c r="G73" s="18" t="inlineStr"/>
    </row>
    <row r="74">
      <c r="A74" s="21" t="inlineStr">
        <is>
          <t>DEBT PAYMENTS</t>
        </is>
      </c>
      <c r="B74" s="21" t="inlineStr">
        <is>
          <t>Other</t>
        </is>
      </c>
      <c r="C74" s="22" t="n">
        <v>0</v>
      </c>
      <c r="D74" s="22" t="n">
        <v>0</v>
      </c>
      <c r="E74" s="9">
        <f>C74-D74</f>
        <v/>
      </c>
      <c r="F74" s="11">
        <f>IFERROR(D74/C74,0)</f>
        <v/>
      </c>
      <c r="G74" s="21" t="inlineStr"/>
    </row>
    <row r="75" ht="18" customHeight="1">
      <c r="A75" s="28" t="inlineStr">
        <is>
          <t>DEBT PAYMENTS TOTAL</t>
        </is>
      </c>
      <c r="C75" s="29">
        <f>SUM(C69:C74)</f>
        <v/>
      </c>
      <c r="D75" s="29">
        <f>SUM(D69:D74)</f>
        <v/>
      </c>
      <c r="E75" s="29">
        <f>C75-D75</f>
        <v/>
      </c>
      <c r="F75" s="30">
        <f>IFERROR(D75/C75,0)</f>
        <v/>
      </c>
      <c r="G75" s="31" t="inlineStr"/>
    </row>
    <row r="76" ht="22" customHeight="1">
      <c r="A76" s="32" t="inlineStr">
        <is>
          <t>GRAND TOTAL EXPENSES</t>
        </is>
      </c>
      <c r="C76" s="33">
        <f>SUM(C19,C27,C35,C43,C51,C59,C67,C75)</f>
        <v/>
      </c>
      <c r="D76" s="33">
        <f>D19+D27+D35+D43+D51+D59+D67+D75</f>
        <v/>
      </c>
      <c r="E76" s="33">
        <f>C76-D76</f>
        <v/>
      </c>
      <c r="F76" s="34">
        <f>IFERROR(D76/C76,0)</f>
        <v/>
      </c>
      <c r="G76" s="35" t="inlineStr"/>
    </row>
    <row r="77" ht="22" customHeight="1">
      <c r="A77" s="17" t="inlineStr">
        <is>
          <t>NET CASH FLOW</t>
        </is>
      </c>
      <c r="C77" s="36">
        <f>C11-C76</f>
        <v/>
      </c>
      <c r="D77" s="36">
        <f>D11-D76</f>
        <v/>
      </c>
      <c r="E77" s="36">
        <f>C77-D77</f>
        <v/>
      </c>
      <c r="F77" s="37" t="inlineStr"/>
      <c r="G77" s="37" t="inlineStr"/>
    </row>
  </sheetData>
  <mergeCells count="22">
    <mergeCell ref="A59:B59"/>
    <mergeCell ref="A11:B11"/>
    <mergeCell ref="A51:B51"/>
    <mergeCell ref="A4:G4"/>
    <mergeCell ref="A20:G20"/>
    <mergeCell ref="A52:G52"/>
    <mergeCell ref="A68:G68"/>
    <mergeCell ref="A28:G28"/>
    <mergeCell ref="A44:G44"/>
    <mergeCell ref="A75:B75"/>
    <mergeCell ref="A60:G60"/>
    <mergeCell ref="A27:B27"/>
    <mergeCell ref="A36:G36"/>
    <mergeCell ref="A1:G1"/>
    <mergeCell ref="A76:B76"/>
    <mergeCell ref="A35:B35"/>
    <mergeCell ref="A43:B43"/>
    <mergeCell ref="A19:B19"/>
    <mergeCell ref="A12:G12"/>
    <mergeCell ref="A2:G2"/>
    <mergeCell ref="A67:B67"/>
    <mergeCell ref="A77:B7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3" customWidth="1" min="4" max="4"/>
    <col width="13" customWidth="1" min="5" max="5"/>
    <col width="10" customWidth="1" min="6" max="6"/>
    <col width="18" customWidth="1" min="7" max="7"/>
  </cols>
  <sheetData>
    <row r="1" ht="44" customHeight="1">
      <c r="A1" s="14" t="inlineStr">
        <is>
          <t>OCTOBER · MONTHLY BUDGET</t>
        </is>
      </c>
    </row>
    <row r="2" ht="18" customHeight="1">
      <c r="A2" s="15" t="inlineStr">
        <is>
          <t>Track your income, expenses, and savings for the month</t>
        </is>
      </c>
    </row>
    <row r="3" ht="20" customHeight="1">
      <c r="A3" s="16" t="inlineStr">
        <is>
          <t>CATEGORY</t>
        </is>
      </c>
      <c r="B3" s="16" t="inlineStr">
        <is>
          <t>SUBCATEGORY</t>
        </is>
      </c>
      <c r="C3" s="16" t="inlineStr">
        <is>
          <t>BUDGETED</t>
        </is>
      </c>
      <c r="D3" s="16" t="inlineStr">
        <is>
          <t>ACTUAL</t>
        </is>
      </c>
      <c r="E3" s="16" t="inlineStr">
        <is>
          <t>DIFFERENCE</t>
        </is>
      </c>
      <c r="F3" s="16" t="inlineStr">
        <is>
          <t>% USED</t>
        </is>
      </c>
      <c r="G3" s="16" t="inlineStr">
        <is>
          <t>NOTES</t>
        </is>
      </c>
    </row>
    <row r="4" ht="18" customHeight="1">
      <c r="A4" s="17" t="inlineStr">
        <is>
          <t>INCOME</t>
        </is>
      </c>
    </row>
    <row r="5">
      <c r="A5" s="4" t="inlineStr">
        <is>
          <t>INCOME</t>
        </is>
      </c>
      <c r="B5" s="18" t="inlineStr">
        <is>
          <t>Primary Salary</t>
        </is>
      </c>
      <c r="C5" s="19" t="n">
        <v>0</v>
      </c>
      <c r="D5" s="19" t="n">
        <v>0</v>
      </c>
      <c r="E5" s="5">
        <f>C5-D5</f>
        <v/>
      </c>
      <c r="F5" s="20">
        <f>IFERROR(D5/C5,0)</f>
        <v/>
      </c>
      <c r="G5" s="18" t="inlineStr"/>
    </row>
    <row r="6">
      <c r="A6" s="8" t="inlineStr">
        <is>
          <t>INCOME</t>
        </is>
      </c>
      <c r="B6" s="21" t="inlineStr">
        <is>
          <t>Freelance</t>
        </is>
      </c>
      <c r="C6" s="22" t="n">
        <v>0</v>
      </c>
      <c r="D6" s="22" t="n">
        <v>0</v>
      </c>
      <c r="E6" s="9">
        <f>C6-D6</f>
        <v/>
      </c>
      <c r="F6" s="11">
        <f>IFERROR(D6/C6,0)</f>
        <v/>
      </c>
      <c r="G6" s="21" t="inlineStr"/>
    </row>
    <row r="7">
      <c r="A7" s="4" t="inlineStr">
        <is>
          <t>INCOME</t>
        </is>
      </c>
      <c r="B7" s="18" t="inlineStr">
        <is>
          <t>Rental Income</t>
        </is>
      </c>
      <c r="C7" s="19" t="n">
        <v>0</v>
      </c>
      <c r="D7" s="19" t="n">
        <v>0</v>
      </c>
      <c r="E7" s="5">
        <f>C7-D7</f>
        <v/>
      </c>
      <c r="F7" s="20">
        <f>IFERROR(D7/C7,0)</f>
        <v/>
      </c>
      <c r="G7" s="18" t="inlineStr"/>
    </row>
    <row r="8">
      <c r="A8" s="8" t="inlineStr">
        <is>
          <t>INCOME</t>
        </is>
      </c>
      <c r="B8" s="21" t="inlineStr">
        <is>
          <t>Dividends</t>
        </is>
      </c>
      <c r="C8" s="22" t="n">
        <v>0</v>
      </c>
      <c r="D8" s="22" t="n">
        <v>0</v>
      </c>
      <c r="E8" s="9">
        <f>C8-D8</f>
        <v/>
      </c>
      <c r="F8" s="11">
        <f>IFERROR(D8/C8,0)</f>
        <v/>
      </c>
      <c r="G8" s="21" t="inlineStr"/>
    </row>
    <row r="9">
      <c r="A9" s="4" t="inlineStr">
        <is>
          <t>INCOME</t>
        </is>
      </c>
      <c r="B9" s="18" t="inlineStr">
        <is>
          <t>Side Business</t>
        </is>
      </c>
      <c r="C9" s="19" t="n">
        <v>0</v>
      </c>
      <c r="D9" s="19" t="n">
        <v>0</v>
      </c>
      <c r="E9" s="5">
        <f>C9-D9</f>
        <v/>
      </c>
      <c r="F9" s="20">
        <f>IFERROR(D9/C9,0)</f>
        <v/>
      </c>
      <c r="G9" s="18" t="inlineStr"/>
    </row>
    <row r="10">
      <c r="A10" s="8" t="inlineStr">
        <is>
          <t>INCOME</t>
        </is>
      </c>
      <c r="B10" s="21" t="inlineStr">
        <is>
          <t>Other Income</t>
        </is>
      </c>
      <c r="C10" s="22" t="n">
        <v>0</v>
      </c>
      <c r="D10" s="22" t="n">
        <v>0</v>
      </c>
      <c r="E10" s="9">
        <f>C10-D10</f>
        <v/>
      </c>
      <c r="F10" s="11">
        <f>IFERROR(D10/C10,0)</f>
        <v/>
      </c>
      <c r="G10" s="21" t="inlineStr"/>
    </row>
    <row r="11" ht="18" customHeight="1">
      <c r="A11" s="23" t="inlineStr">
        <is>
          <t>TOTAL INCOME</t>
        </is>
      </c>
      <c r="C11" s="24">
        <f>SUM(C5:C10)</f>
        <v/>
      </c>
      <c r="D11" s="24">
        <f>SUM(D5:D10)</f>
        <v/>
      </c>
      <c r="E11" s="24">
        <f>C11-D11</f>
        <v/>
      </c>
      <c r="F11" s="25">
        <f>IFERROR(D11/C11,0)</f>
        <v/>
      </c>
      <c r="G11" s="26" t="inlineStr"/>
    </row>
    <row r="12" ht="18" customHeight="1">
      <c r="A12" s="27" t="inlineStr">
        <is>
          <t>HOUSING</t>
        </is>
      </c>
    </row>
    <row r="13">
      <c r="A13" s="18" t="inlineStr">
        <is>
          <t>HOUSING</t>
        </is>
      </c>
      <c r="B13" s="18" t="inlineStr">
        <is>
          <t>Rent/Mortgage</t>
        </is>
      </c>
      <c r="C13" s="19" t="n">
        <v>0</v>
      </c>
      <c r="D13" s="19" t="n">
        <v>0</v>
      </c>
      <c r="E13" s="5">
        <f>C13-D13</f>
        <v/>
      </c>
      <c r="F13" s="20">
        <f>IFERROR(D13/C13,0)</f>
        <v/>
      </c>
      <c r="G13" s="18" t="inlineStr"/>
    </row>
    <row r="14">
      <c r="A14" s="21" t="inlineStr">
        <is>
          <t>HOUSING</t>
        </is>
      </c>
      <c r="B14" s="21" t="inlineStr">
        <is>
          <t>Electricity</t>
        </is>
      </c>
      <c r="C14" s="22" t="n">
        <v>0</v>
      </c>
      <c r="D14" s="22" t="n">
        <v>0</v>
      </c>
      <c r="E14" s="9">
        <f>C14-D14</f>
        <v/>
      </c>
      <c r="F14" s="11">
        <f>IFERROR(D14/C14,0)</f>
        <v/>
      </c>
      <c r="G14" s="21" t="inlineStr"/>
    </row>
    <row r="15">
      <c r="A15" s="18" t="inlineStr">
        <is>
          <t>HOUSING</t>
        </is>
      </c>
      <c r="B15" s="18" t="inlineStr">
        <is>
          <t>Water</t>
        </is>
      </c>
      <c r="C15" s="19" t="n">
        <v>0</v>
      </c>
      <c r="D15" s="19" t="n">
        <v>0</v>
      </c>
      <c r="E15" s="5">
        <f>C15-D15</f>
        <v/>
      </c>
      <c r="F15" s="20">
        <f>IFERROR(D15/C15,0)</f>
        <v/>
      </c>
      <c r="G15" s="18" t="inlineStr"/>
    </row>
    <row r="16">
      <c r="A16" s="21" t="inlineStr">
        <is>
          <t>HOUSING</t>
        </is>
      </c>
      <c r="B16" s="21" t="inlineStr">
        <is>
          <t>Internet</t>
        </is>
      </c>
      <c r="C16" s="22" t="n">
        <v>0</v>
      </c>
      <c r="D16" s="22" t="n">
        <v>0</v>
      </c>
      <c r="E16" s="9">
        <f>C16-D16</f>
        <v/>
      </c>
      <c r="F16" s="11">
        <f>IFERROR(D16/C16,0)</f>
        <v/>
      </c>
      <c r="G16" s="21" t="inlineStr"/>
    </row>
    <row r="17">
      <c r="A17" s="18" t="inlineStr">
        <is>
          <t>HOUSING</t>
        </is>
      </c>
      <c r="B17" s="18" t="inlineStr">
        <is>
          <t>Home Insurance</t>
        </is>
      </c>
      <c r="C17" s="19" t="n">
        <v>0</v>
      </c>
      <c r="D17" s="19" t="n">
        <v>0</v>
      </c>
      <c r="E17" s="5">
        <f>C17-D17</f>
        <v/>
      </c>
      <c r="F17" s="20">
        <f>IFERROR(D17/C17,0)</f>
        <v/>
      </c>
      <c r="G17" s="18" t="inlineStr"/>
    </row>
    <row r="18">
      <c r="A18" s="21" t="inlineStr">
        <is>
          <t>HOUSING</t>
        </is>
      </c>
      <c r="B18" s="21" t="inlineStr">
        <is>
          <t>Maintenance</t>
        </is>
      </c>
      <c r="C18" s="22" t="n">
        <v>0</v>
      </c>
      <c r="D18" s="22" t="n">
        <v>0</v>
      </c>
      <c r="E18" s="9">
        <f>C18-D18</f>
        <v/>
      </c>
      <c r="F18" s="11">
        <f>IFERROR(D18/C18,0)</f>
        <v/>
      </c>
      <c r="G18" s="21" t="inlineStr"/>
    </row>
    <row r="19" ht="18" customHeight="1">
      <c r="A19" s="28" t="inlineStr">
        <is>
          <t>HOUSING TOTAL</t>
        </is>
      </c>
      <c r="C19" s="29">
        <f>SUM(C13:C18)</f>
        <v/>
      </c>
      <c r="D19" s="29">
        <f>SUM(D13:D18)</f>
        <v/>
      </c>
      <c r="E19" s="29">
        <f>C19-D19</f>
        <v/>
      </c>
      <c r="F19" s="30">
        <f>IFERROR(D19/C19,0)</f>
        <v/>
      </c>
      <c r="G19" s="31" t="inlineStr"/>
    </row>
    <row r="20" ht="18" customHeight="1">
      <c r="A20" s="27" t="inlineStr">
        <is>
          <t>TRANSPORT</t>
        </is>
      </c>
    </row>
    <row r="21">
      <c r="A21" s="18" t="inlineStr">
        <is>
          <t>TRANSPORT</t>
        </is>
      </c>
      <c r="B21" s="18" t="inlineStr">
        <is>
          <t>Car Payment</t>
        </is>
      </c>
      <c r="C21" s="19" t="n">
        <v>0</v>
      </c>
      <c r="D21" s="19" t="n">
        <v>0</v>
      </c>
      <c r="E21" s="5">
        <f>C21-D21</f>
        <v/>
      </c>
      <c r="F21" s="20">
        <f>IFERROR(D21/C21,0)</f>
        <v/>
      </c>
      <c r="G21" s="18" t="inlineStr"/>
    </row>
    <row r="22">
      <c r="A22" s="21" t="inlineStr">
        <is>
          <t>TRANSPORT</t>
        </is>
      </c>
      <c r="B22" s="21" t="inlineStr">
        <is>
          <t>Fuel</t>
        </is>
      </c>
      <c r="C22" s="22" t="n">
        <v>0</v>
      </c>
      <c r="D22" s="22" t="n">
        <v>0</v>
      </c>
      <c r="E22" s="9">
        <f>C22-D22</f>
        <v/>
      </c>
      <c r="F22" s="11">
        <f>IFERROR(D22/C22,0)</f>
        <v/>
      </c>
      <c r="G22" s="21" t="inlineStr"/>
    </row>
    <row r="23">
      <c r="A23" s="18" t="inlineStr">
        <is>
          <t>TRANSPORT</t>
        </is>
      </c>
      <c r="B23" s="18" t="inlineStr">
        <is>
          <t>Car Insurance</t>
        </is>
      </c>
      <c r="C23" s="19" t="n">
        <v>0</v>
      </c>
      <c r="D23" s="19" t="n">
        <v>0</v>
      </c>
      <c r="E23" s="5">
        <f>C23-D23</f>
        <v/>
      </c>
      <c r="F23" s="20">
        <f>IFERROR(D23/C23,0)</f>
        <v/>
      </c>
      <c r="G23" s="18" t="inlineStr"/>
    </row>
    <row r="24">
      <c r="A24" s="21" t="inlineStr">
        <is>
          <t>TRANSPORT</t>
        </is>
      </c>
      <c r="B24" s="21" t="inlineStr">
        <is>
          <t>Parking</t>
        </is>
      </c>
      <c r="C24" s="22" t="n">
        <v>0</v>
      </c>
      <c r="D24" s="22" t="n">
        <v>0</v>
      </c>
      <c r="E24" s="9">
        <f>C24-D24</f>
        <v/>
      </c>
      <c r="F24" s="11">
        <f>IFERROR(D24/C24,0)</f>
        <v/>
      </c>
      <c r="G24" s="21" t="inlineStr"/>
    </row>
    <row r="25">
      <c r="A25" s="18" t="inlineStr">
        <is>
          <t>TRANSPORT</t>
        </is>
      </c>
      <c r="B25" s="18" t="inlineStr">
        <is>
          <t>Public Transport</t>
        </is>
      </c>
      <c r="C25" s="19" t="n">
        <v>0</v>
      </c>
      <c r="D25" s="19" t="n">
        <v>0</v>
      </c>
      <c r="E25" s="5">
        <f>C25-D25</f>
        <v/>
      </c>
      <c r="F25" s="20">
        <f>IFERROR(D25/C25,0)</f>
        <v/>
      </c>
      <c r="G25" s="18" t="inlineStr"/>
    </row>
    <row r="26">
      <c r="A26" s="21" t="inlineStr">
        <is>
          <t>TRANSPORT</t>
        </is>
      </c>
      <c r="B26" s="21" t="inlineStr">
        <is>
          <t>Ride Share</t>
        </is>
      </c>
      <c r="C26" s="22" t="n">
        <v>0</v>
      </c>
      <c r="D26" s="22" t="n">
        <v>0</v>
      </c>
      <c r="E26" s="9">
        <f>C26-D26</f>
        <v/>
      </c>
      <c r="F26" s="11">
        <f>IFERROR(D26/C26,0)</f>
        <v/>
      </c>
      <c r="G26" s="21" t="inlineStr"/>
    </row>
    <row r="27" ht="18" customHeight="1">
      <c r="A27" s="28" t="inlineStr">
        <is>
          <t>TRANSPORT TOTAL</t>
        </is>
      </c>
      <c r="C27" s="29">
        <f>SUM(C21:C26)</f>
        <v/>
      </c>
      <c r="D27" s="29">
        <f>SUM(D21:D26)</f>
        <v/>
      </c>
      <c r="E27" s="29">
        <f>C27-D27</f>
        <v/>
      </c>
      <c r="F27" s="30">
        <f>IFERROR(D27/C27,0)</f>
        <v/>
      </c>
      <c r="G27" s="31" t="inlineStr"/>
    </row>
    <row r="28" ht="18" customHeight="1">
      <c r="A28" s="27" t="inlineStr">
        <is>
          <t>FOOD &amp; DINING</t>
        </is>
      </c>
    </row>
    <row r="29">
      <c r="A29" s="18" t="inlineStr">
        <is>
          <t>FOOD &amp; DINING</t>
        </is>
      </c>
      <c r="B29" s="18" t="inlineStr">
        <is>
          <t>Groceries</t>
        </is>
      </c>
      <c r="C29" s="19" t="n">
        <v>0</v>
      </c>
      <c r="D29" s="19" t="n">
        <v>0</v>
      </c>
      <c r="E29" s="5">
        <f>C29-D29</f>
        <v/>
      </c>
      <c r="F29" s="20">
        <f>IFERROR(D29/C29,0)</f>
        <v/>
      </c>
      <c r="G29" s="18" t="inlineStr"/>
    </row>
    <row r="30">
      <c r="A30" s="21" t="inlineStr">
        <is>
          <t>FOOD &amp; DINING</t>
        </is>
      </c>
      <c r="B30" s="21" t="inlineStr">
        <is>
          <t>Restaurants</t>
        </is>
      </c>
      <c r="C30" s="22" t="n">
        <v>0</v>
      </c>
      <c r="D30" s="22" t="n">
        <v>0</v>
      </c>
      <c r="E30" s="9">
        <f>C30-D30</f>
        <v/>
      </c>
      <c r="F30" s="11">
        <f>IFERROR(D30/C30,0)</f>
        <v/>
      </c>
      <c r="G30" s="21" t="inlineStr"/>
    </row>
    <row r="31">
      <c r="A31" s="18" t="inlineStr">
        <is>
          <t>FOOD &amp; DINING</t>
        </is>
      </c>
      <c r="B31" s="18" t="inlineStr">
        <is>
          <t>Coffee Shops</t>
        </is>
      </c>
      <c r="C31" s="19" t="n">
        <v>0</v>
      </c>
      <c r="D31" s="19" t="n">
        <v>0</v>
      </c>
      <c r="E31" s="5">
        <f>C31-D31</f>
        <v/>
      </c>
      <c r="F31" s="20">
        <f>IFERROR(D31/C31,0)</f>
        <v/>
      </c>
      <c r="G31" s="18" t="inlineStr"/>
    </row>
    <row r="32">
      <c r="A32" s="21" t="inlineStr">
        <is>
          <t>FOOD &amp; DINING</t>
        </is>
      </c>
      <c r="B32" s="21" t="inlineStr">
        <is>
          <t>Food Delivery</t>
        </is>
      </c>
      <c r="C32" s="22" t="n">
        <v>0</v>
      </c>
      <c r="D32" s="22" t="n">
        <v>0</v>
      </c>
      <c r="E32" s="9">
        <f>C32-D32</f>
        <v/>
      </c>
      <c r="F32" s="11">
        <f>IFERROR(D32/C32,0)</f>
        <v/>
      </c>
      <c r="G32" s="21" t="inlineStr"/>
    </row>
    <row r="33">
      <c r="A33" s="18" t="inlineStr">
        <is>
          <t>FOOD &amp; DINING</t>
        </is>
      </c>
      <c r="B33" s="18" t="inlineStr">
        <is>
          <t>Work Lunch</t>
        </is>
      </c>
      <c r="C33" s="19" t="n">
        <v>0</v>
      </c>
      <c r="D33" s="19" t="n">
        <v>0</v>
      </c>
      <c r="E33" s="5">
        <f>C33-D33</f>
        <v/>
      </c>
      <c r="F33" s="20">
        <f>IFERROR(D33/C33,0)</f>
        <v/>
      </c>
      <c r="G33" s="18" t="inlineStr"/>
    </row>
    <row r="34">
      <c r="A34" s="21" t="inlineStr">
        <is>
          <t>FOOD &amp; DINING</t>
        </is>
      </c>
      <c r="B34" s="21" t="inlineStr">
        <is>
          <t>Other</t>
        </is>
      </c>
      <c r="C34" s="22" t="n">
        <v>0</v>
      </c>
      <c r="D34" s="22" t="n">
        <v>0</v>
      </c>
      <c r="E34" s="9">
        <f>C34-D34</f>
        <v/>
      </c>
      <c r="F34" s="11">
        <f>IFERROR(D34/C34,0)</f>
        <v/>
      </c>
      <c r="G34" s="21" t="inlineStr"/>
    </row>
    <row r="35" ht="18" customHeight="1">
      <c r="A35" s="28" t="inlineStr">
        <is>
          <t>FOOD &amp; DINING TOTAL</t>
        </is>
      </c>
      <c r="C35" s="29">
        <f>SUM(C29:C34)</f>
        <v/>
      </c>
      <c r="D35" s="29">
        <f>SUM(D29:D34)</f>
        <v/>
      </c>
      <c r="E35" s="29">
        <f>C35-D35</f>
        <v/>
      </c>
      <c r="F35" s="30">
        <f>IFERROR(D35/C35,0)</f>
        <v/>
      </c>
      <c r="G35" s="31" t="inlineStr"/>
    </row>
    <row r="36" ht="18" customHeight="1">
      <c r="A36" s="27" t="inlineStr">
        <is>
          <t>HEALTH &amp; WELLNESS</t>
        </is>
      </c>
    </row>
    <row r="37">
      <c r="A37" s="18" t="inlineStr">
        <is>
          <t>HEALTH &amp; WELLNESS</t>
        </is>
      </c>
      <c r="B37" s="18" t="inlineStr">
        <is>
          <t>Health Insurance</t>
        </is>
      </c>
      <c r="C37" s="19" t="n">
        <v>0</v>
      </c>
      <c r="D37" s="19" t="n">
        <v>0</v>
      </c>
      <c r="E37" s="5">
        <f>C37-D37</f>
        <v/>
      </c>
      <c r="F37" s="20">
        <f>IFERROR(D37/C37,0)</f>
        <v/>
      </c>
      <c r="G37" s="18" t="inlineStr"/>
    </row>
    <row r="38">
      <c r="A38" s="21" t="inlineStr">
        <is>
          <t>HEALTH &amp; WELLNESS</t>
        </is>
      </c>
      <c r="B38" s="21" t="inlineStr">
        <is>
          <t>Gym Membership</t>
        </is>
      </c>
      <c r="C38" s="22" t="n">
        <v>0</v>
      </c>
      <c r="D38" s="22" t="n">
        <v>0</v>
      </c>
      <c r="E38" s="9">
        <f>C38-D38</f>
        <v/>
      </c>
      <c r="F38" s="11">
        <f>IFERROR(D38/C38,0)</f>
        <v/>
      </c>
      <c r="G38" s="21" t="inlineStr"/>
    </row>
    <row r="39">
      <c r="A39" s="18" t="inlineStr">
        <is>
          <t>HEALTH &amp; WELLNESS</t>
        </is>
      </c>
      <c r="B39" s="18" t="inlineStr">
        <is>
          <t>Pharmacy</t>
        </is>
      </c>
      <c r="C39" s="19" t="n">
        <v>0</v>
      </c>
      <c r="D39" s="19" t="n">
        <v>0</v>
      </c>
      <c r="E39" s="5">
        <f>C39-D39</f>
        <v/>
      </c>
      <c r="F39" s="20">
        <f>IFERROR(D39/C39,0)</f>
        <v/>
      </c>
      <c r="G39" s="18" t="inlineStr"/>
    </row>
    <row r="40">
      <c r="A40" s="21" t="inlineStr">
        <is>
          <t>HEALTH &amp; WELLNESS</t>
        </is>
      </c>
      <c r="B40" s="21" t="inlineStr">
        <is>
          <t>Doctor Visits</t>
        </is>
      </c>
      <c r="C40" s="22" t="n">
        <v>0</v>
      </c>
      <c r="D40" s="22" t="n">
        <v>0</v>
      </c>
      <c r="E40" s="9">
        <f>C40-D40</f>
        <v/>
      </c>
      <c r="F40" s="11">
        <f>IFERROR(D40/C40,0)</f>
        <v/>
      </c>
      <c r="G40" s="21" t="inlineStr"/>
    </row>
    <row r="41">
      <c r="A41" s="18" t="inlineStr">
        <is>
          <t>HEALTH &amp; WELLNESS</t>
        </is>
      </c>
      <c r="B41" s="18" t="inlineStr">
        <is>
          <t>Dental</t>
        </is>
      </c>
      <c r="C41" s="19" t="n">
        <v>0</v>
      </c>
      <c r="D41" s="19" t="n">
        <v>0</v>
      </c>
      <c r="E41" s="5">
        <f>C41-D41</f>
        <v/>
      </c>
      <c r="F41" s="20">
        <f>IFERROR(D41/C41,0)</f>
        <v/>
      </c>
      <c r="G41" s="18" t="inlineStr"/>
    </row>
    <row r="42">
      <c r="A42" s="21" t="inlineStr">
        <is>
          <t>HEALTH &amp; WELLNESS</t>
        </is>
      </c>
      <c r="B42" s="21" t="inlineStr">
        <is>
          <t>Mental Health</t>
        </is>
      </c>
      <c r="C42" s="22" t="n">
        <v>0</v>
      </c>
      <c r="D42" s="22" t="n">
        <v>0</v>
      </c>
      <c r="E42" s="9">
        <f>C42-D42</f>
        <v/>
      </c>
      <c r="F42" s="11">
        <f>IFERROR(D42/C42,0)</f>
        <v/>
      </c>
      <c r="G42" s="21" t="inlineStr"/>
    </row>
    <row r="43" ht="18" customHeight="1">
      <c r="A43" s="28" t="inlineStr">
        <is>
          <t>HEALTH &amp; WELLNESS TOTAL</t>
        </is>
      </c>
      <c r="C43" s="29">
        <f>SUM(C37:C42)</f>
        <v/>
      </c>
      <c r="D43" s="29">
        <f>SUM(D37:D42)</f>
        <v/>
      </c>
      <c r="E43" s="29">
        <f>C43-D43</f>
        <v/>
      </c>
      <c r="F43" s="30">
        <f>IFERROR(D43/C43,0)</f>
        <v/>
      </c>
      <c r="G43" s="31" t="inlineStr"/>
    </row>
    <row r="44" ht="18" customHeight="1">
      <c r="A44" s="27" t="inlineStr">
        <is>
          <t>LIFESTYLE</t>
        </is>
      </c>
    </row>
    <row r="45">
      <c r="A45" s="18" t="inlineStr">
        <is>
          <t>LIFESTYLE</t>
        </is>
      </c>
      <c r="B45" s="18" t="inlineStr">
        <is>
          <t>Streaming Services</t>
        </is>
      </c>
      <c r="C45" s="19" t="n">
        <v>0</v>
      </c>
      <c r="D45" s="19" t="n">
        <v>0</v>
      </c>
      <c r="E45" s="5">
        <f>C45-D45</f>
        <v/>
      </c>
      <c r="F45" s="20">
        <f>IFERROR(D45/C45,0)</f>
        <v/>
      </c>
      <c r="G45" s="18" t="inlineStr"/>
    </row>
    <row r="46">
      <c r="A46" s="21" t="inlineStr">
        <is>
          <t>LIFESTYLE</t>
        </is>
      </c>
      <c r="B46" s="21" t="inlineStr">
        <is>
          <t>Entertainment</t>
        </is>
      </c>
      <c r="C46" s="22" t="n">
        <v>0</v>
      </c>
      <c r="D46" s="22" t="n">
        <v>0</v>
      </c>
      <c r="E46" s="9">
        <f>C46-D46</f>
        <v/>
      </c>
      <c r="F46" s="11">
        <f>IFERROR(D46/C46,0)</f>
        <v/>
      </c>
      <c r="G46" s="21" t="inlineStr"/>
    </row>
    <row r="47">
      <c r="A47" s="18" t="inlineStr">
        <is>
          <t>LIFESTYLE</t>
        </is>
      </c>
      <c r="B47" s="18" t="inlineStr">
        <is>
          <t>Hobbies</t>
        </is>
      </c>
      <c r="C47" s="19" t="n">
        <v>0</v>
      </c>
      <c r="D47" s="19" t="n">
        <v>0</v>
      </c>
      <c r="E47" s="5">
        <f>C47-D47</f>
        <v/>
      </c>
      <c r="F47" s="20">
        <f>IFERROR(D47/C47,0)</f>
        <v/>
      </c>
      <c r="G47" s="18" t="inlineStr"/>
    </row>
    <row r="48">
      <c r="A48" s="21" t="inlineStr">
        <is>
          <t>LIFESTYLE</t>
        </is>
      </c>
      <c r="B48" s="21" t="inlineStr">
        <is>
          <t>Personal Care</t>
        </is>
      </c>
      <c r="C48" s="22" t="n">
        <v>0</v>
      </c>
      <c r="D48" s="22" t="n">
        <v>0</v>
      </c>
      <c r="E48" s="9">
        <f>C48-D48</f>
        <v/>
      </c>
      <c r="F48" s="11">
        <f>IFERROR(D48/C48,0)</f>
        <v/>
      </c>
      <c r="G48" s="21" t="inlineStr"/>
    </row>
    <row r="49">
      <c r="A49" s="18" t="inlineStr">
        <is>
          <t>LIFESTYLE</t>
        </is>
      </c>
      <c r="B49" s="18" t="inlineStr">
        <is>
          <t>Books</t>
        </is>
      </c>
      <c r="C49" s="19" t="n">
        <v>0</v>
      </c>
      <c r="D49" s="19" t="n">
        <v>0</v>
      </c>
      <c r="E49" s="5">
        <f>C49-D49</f>
        <v/>
      </c>
      <c r="F49" s="20">
        <f>IFERROR(D49/C49,0)</f>
        <v/>
      </c>
      <c r="G49" s="18" t="inlineStr"/>
    </row>
    <row r="50">
      <c r="A50" s="21" t="inlineStr">
        <is>
          <t>LIFESTYLE</t>
        </is>
      </c>
      <c r="B50" s="21" t="inlineStr">
        <is>
          <t>Clothing</t>
        </is>
      </c>
      <c r="C50" s="22" t="n">
        <v>0</v>
      </c>
      <c r="D50" s="22" t="n">
        <v>0</v>
      </c>
      <c r="E50" s="9">
        <f>C50-D50</f>
        <v/>
      </c>
      <c r="F50" s="11">
        <f>IFERROR(D50/C50,0)</f>
        <v/>
      </c>
      <c r="G50" s="21" t="inlineStr"/>
    </row>
    <row r="51" ht="18" customHeight="1">
      <c r="A51" s="28" t="inlineStr">
        <is>
          <t>LIFESTYLE TOTAL</t>
        </is>
      </c>
      <c r="C51" s="29">
        <f>SUM(C45:C50)</f>
        <v/>
      </c>
      <c r="D51" s="29">
        <f>SUM(D45:D50)</f>
        <v/>
      </c>
      <c r="E51" s="29">
        <f>C51-D51</f>
        <v/>
      </c>
      <c r="F51" s="30">
        <f>IFERROR(D51/C51,0)</f>
        <v/>
      </c>
      <c r="G51" s="31" t="inlineStr"/>
    </row>
    <row r="52" ht="18" customHeight="1">
      <c r="A52" s="27" t="inlineStr">
        <is>
          <t>CHILDREN &amp; FAMILY</t>
        </is>
      </c>
    </row>
    <row r="53">
      <c r="A53" s="18" t="inlineStr">
        <is>
          <t>CHILDREN &amp; FAMILY</t>
        </is>
      </c>
      <c r="B53" s="18" t="inlineStr">
        <is>
          <t>Childcare</t>
        </is>
      </c>
      <c r="C53" s="19" t="n">
        <v>0</v>
      </c>
      <c r="D53" s="19" t="n">
        <v>0</v>
      </c>
      <c r="E53" s="5">
        <f>C53-D53</f>
        <v/>
      </c>
      <c r="F53" s="20">
        <f>IFERROR(D53/C53,0)</f>
        <v/>
      </c>
      <c r="G53" s="18" t="inlineStr"/>
    </row>
    <row r="54">
      <c r="A54" s="21" t="inlineStr">
        <is>
          <t>CHILDREN &amp; FAMILY</t>
        </is>
      </c>
      <c r="B54" s="21" t="inlineStr">
        <is>
          <t>School Fees</t>
        </is>
      </c>
      <c r="C54" s="22" t="n">
        <v>0</v>
      </c>
      <c r="D54" s="22" t="n">
        <v>0</v>
      </c>
      <c r="E54" s="9">
        <f>C54-D54</f>
        <v/>
      </c>
      <c r="F54" s="11">
        <f>IFERROR(D54/C54,0)</f>
        <v/>
      </c>
      <c r="G54" s="21" t="inlineStr"/>
    </row>
    <row r="55">
      <c r="A55" s="18" t="inlineStr">
        <is>
          <t>CHILDREN &amp; FAMILY</t>
        </is>
      </c>
      <c r="B55" s="18" t="inlineStr">
        <is>
          <t>Activities</t>
        </is>
      </c>
      <c r="C55" s="19" t="n">
        <v>0</v>
      </c>
      <c r="D55" s="19" t="n">
        <v>0</v>
      </c>
      <c r="E55" s="5">
        <f>C55-D55</f>
        <v/>
      </c>
      <c r="F55" s="20">
        <f>IFERROR(D55/C55,0)</f>
        <v/>
      </c>
      <c r="G55" s="18" t="inlineStr"/>
    </row>
    <row r="56">
      <c r="A56" s="21" t="inlineStr">
        <is>
          <t>CHILDREN &amp; FAMILY</t>
        </is>
      </c>
      <c r="B56" s="21" t="inlineStr">
        <is>
          <t>Toys &amp; Gifts</t>
        </is>
      </c>
      <c r="C56" s="22" t="n">
        <v>0</v>
      </c>
      <c r="D56" s="22" t="n">
        <v>0</v>
      </c>
      <c r="E56" s="9">
        <f>C56-D56</f>
        <v/>
      </c>
      <c r="F56" s="11">
        <f>IFERROR(D56/C56,0)</f>
        <v/>
      </c>
      <c r="G56" s="21" t="inlineStr"/>
    </row>
    <row r="57">
      <c r="A57" s="18" t="inlineStr">
        <is>
          <t>CHILDREN &amp; FAMILY</t>
        </is>
      </c>
      <c r="B57" s="18" t="inlineStr">
        <is>
          <t>Family Outings</t>
        </is>
      </c>
      <c r="C57" s="19" t="n">
        <v>0</v>
      </c>
      <c r="D57" s="19" t="n">
        <v>0</v>
      </c>
      <c r="E57" s="5">
        <f>C57-D57</f>
        <v/>
      </c>
      <c r="F57" s="20">
        <f>IFERROR(D57/C57,0)</f>
        <v/>
      </c>
      <c r="G57" s="18" t="inlineStr"/>
    </row>
    <row r="58">
      <c r="A58" s="21" t="inlineStr">
        <is>
          <t>CHILDREN &amp; FAMILY</t>
        </is>
      </c>
      <c r="B58" s="21" t="inlineStr">
        <is>
          <t>Other</t>
        </is>
      </c>
      <c r="C58" s="22" t="n">
        <v>0</v>
      </c>
      <c r="D58" s="22" t="n">
        <v>0</v>
      </c>
      <c r="E58" s="9">
        <f>C58-D58</f>
        <v/>
      </c>
      <c r="F58" s="11">
        <f>IFERROR(D58/C58,0)</f>
        <v/>
      </c>
      <c r="G58" s="21" t="inlineStr"/>
    </row>
    <row r="59" ht="18" customHeight="1">
      <c r="A59" s="28" t="inlineStr">
        <is>
          <t>CHILDREN &amp; FAMILY TOTAL</t>
        </is>
      </c>
      <c r="C59" s="29">
        <f>SUM(C53:C58)</f>
        <v/>
      </c>
      <c r="D59" s="29">
        <f>SUM(D53:D58)</f>
        <v/>
      </c>
      <c r="E59" s="29">
        <f>C59-D59</f>
        <v/>
      </c>
      <c r="F59" s="30">
        <f>IFERROR(D59/C59,0)</f>
        <v/>
      </c>
      <c r="G59" s="31" t="inlineStr"/>
    </row>
    <row r="60" ht="18" customHeight="1">
      <c r="A60" s="27" t="inlineStr">
        <is>
          <t>SAVINGS &amp; INVESTMENTS</t>
        </is>
      </c>
    </row>
    <row r="61">
      <c r="A61" s="18" t="inlineStr">
        <is>
          <t>SAVINGS &amp; INVESTMENTS</t>
        </is>
      </c>
      <c r="B61" s="18" t="inlineStr">
        <is>
          <t>Emergency Fund</t>
        </is>
      </c>
      <c r="C61" s="19" t="n">
        <v>0</v>
      </c>
      <c r="D61" s="19" t="n">
        <v>0</v>
      </c>
      <c r="E61" s="5">
        <f>C61-D61</f>
        <v/>
      </c>
      <c r="F61" s="20">
        <f>IFERROR(D61/C61,0)</f>
        <v/>
      </c>
      <c r="G61" s="18" t="inlineStr"/>
    </row>
    <row r="62">
      <c r="A62" s="21" t="inlineStr">
        <is>
          <t>SAVINGS &amp; INVESTMENTS</t>
        </is>
      </c>
      <c r="B62" s="21" t="inlineStr">
        <is>
          <t>Pension/IRA</t>
        </is>
      </c>
      <c r="C62" s="22" t="n">
        <v>0</v>
      </c>
      <c r="D62" s="22" t="n">
        <v>0</v>
      </c>
      <c r="E62" s="9">
        <f>C62-D62</f>
        <v/>
      </c>
      <c r="F62" s="11">
        <f>IFERROR(D62/C62,0)</f>
        <v/>
      </c>
      <c r="G62" s="21" t="inlineStr"/>
    </row>
    <row r="63">
      <c r="A63" s="18" t="inlineStr">
        <is>
          <t>SAVINGS &amp; INVESTMENTS</t>
        </is>
      </c>
      <c r="B63" s="18" t="inlineStr">
        <is>
          <t>Stocks &amp; ETFs</t>
        </is>
      </c>
      <c r="C63" s="19" t="n">
        <v>0</v>
      </c>
      <c r="D63" s="19" t="n">
        <v>0</v>
      </c>
      <c r="E63" s="5">
        <f>C63-D63</f>
        <v/>
      </c>
      <c r="F63" s="20">
        <f>IFERROR(D63/C63,0)</f>
        <v/>
      </c>
      <c r="G63" s="18" t="inlineStr"/>
    </row>
    <row r="64">
      <c r="A64" s="21" t="inlineStr">
        <is>
          <t>SAVINGS &amp; INVESTMENTS</t>
        </is>
      </c>
      <c r="B64" s="21" t="inlineStr">
        <is>
          <t>Vacation Fund</t>
        </is>
      </c>
      <c r="C64" s="22" t="n">
        <v>0</v>
      </c>
      <c r="D64" s="22" t="n">
        <v>0</v>
      </c>
      <c r="E64" s="9">
        <f>C64-D64</f>
        <v/>
      </c>
      <c r="F64" s="11">
        <f>IFERROR(D64/C64,0)</f>
        <v/>
      </c>
      <c r="G64" s="21" t="inlineStr"/>
    </row>
    <row r="65">
      <c r="A65" s="18" t="inlineStr">
        <is>
          <t>SAVINGS &amp; INVESTMENTS</t>
        </is>
      </c>
      <c r="B65" s="18" t="inlineStr">
        <is>
          <t>Home Fund</t>
        </is>
      </c>
      <c r="C65" s="19" t="n">
        <v>0</v>
      </c>
      <c r="D65" s="19" t="n">
        <v>0</v>
      </c>
      <c r="E65" s="5">
        <f>C65-D65</f>
        <v/>
      </c>
      <c r="F65" s="20">
        <f>IFERROR(D65/C65,0)</f>
        <v/>
      </c>
      <c r="G65" s="18" t="inlineStr"/>
    </row>
    <row r="66">
      <c r="A66" s="21" t="inlineStr">
        <is>
          <t>SAVINGS &amp; INVESTMENTS</t>
        </is>
      </c>
      <c r="B66" s="21" t="inlineStr">
        <is>
          <t>Other</t>
        </is>
      </c>
      <c r="C66" s="22" t="n">
        <v>0</v>
      </c>
      <c r="D66" s="22" t="n">
        <v>0</v>
      </c>
      <c r="E66" s="9">
        <f>C66-D66</f>
        <v/>
      </c>
      <c r="F66" s="11">
        <f>IFERROR(D66/C66,0)</f>
        <v/>
      </c>
      <c r="G66" s="21" t="inlineStr"/>
    </row>
    <row r="67" ht="18" customHeight="1">
      <c r="A67" s="28" t="inlineStr">
        <is>
          <t>SAVINGS &amp; INVESTMENTS TOTAL</t>
        </is>
      </c>
      <c r="C67" s="29">
        <f>SUM(C61:C66)</f>
        <v/>
      </c>
      <c r="D67" s="29">
        <f>SUM(D61:D66)</f>
        <v/>
      </c>
      <c r="E67" s="29">
        <f>C67-D67</f>
        <v/>
      </c>
      <c r="F67" s="30">
        <f>IFERROR(D67/C67,0)</f>
        <v/>
      </c>
      <c r="G67" s="31" t="inlineStr"/>
    </row>
    <row r="68" ht="18" customHeight="1">
      <c r="A68" s="27" t="inlineStr">
        <is>
          <t>DEBT PAYMENTS</t>
        </is>
      </c>
    </row>
    <row r="69">
      <c r="A69" s="18" t="inlineStr">
        <is>
          <t>DEBT PAYMENTS</t>
        </is>
      </c>
      <c r="B69" s="18" t="inlineStr">
        <is>
          <t>Credit Card 1</t>
        </is>
      </c>
      <c r="C69" s="19" t="n">
        <v>0</v>
      </c>
      <c r="D69" s="19" t="n">
        <v>0</v>
      </c>
      <c r="E69" s="5">
        <f>C69-D69</f>
        <v/>
      </c>
      <c r="F69" s="20">
        <f>IFERROR(D69/C69,0)</f>
        <v/>
      </c>
      <c r="G69" s="18" t="inlineStr"/>
    </row>
    <row r="70">
      <c r="A70" s="21" t="inlineStr">
        <is>
          <t>DEBT PAYMENTS</t>
        </is>
      </c>
      <c r="B70" s="21" t="inlineStr">
        <is>
          <t>Credit Card 2</t>
        </is>
      </c>
      <c r="C70" s="22" t="n">
        <v>0</v>
      </c>
      <c r="D70" s="22" t="n">
        <v>0</v>
      </c>
      <c r="E70" s="9">
        <f>C70-D70</f>
        <v/>
      </c>
      <c r="F70" s="11">
        <f>IFERROR(D70/C70,0)</f>
        <v/>
      </c>
      <c r="G70" s="21" t="inlineStr"/>
    </row>
    <row r="71">
      <c r="A71" s="18" t="inlineStr">
        <is>
          <t>DEBT PAYMENTS</t>
        </is>
      </c>
      <c r="B71" s="18" t="inlineStr">
        <is>
          <t>Student Loan</t>
        </is>
      </c>
      <c r="C71" s="19" t="n">
        <v>0</v>
      </c>
      <c r="D71" s="19" t="n">
        <v>0</v>
      </c>
      <c r="E71" s="5">
        <f>C71-D71</f>
        <v/>
      </c>
      <c r="F71" s="20">
        <f>IFERROR(D71/C71,0)</f>
        <v/>
      </c>
      <c r="G71" s="18" t="inlineStr"/>
    </row>
    <row r="72">
      <c r="A72" s="21" t="inlineStr">
        <is>
          <t>DEBT PAYMENTS</t>
        </is>
      </c>
      <c r="B72" s="21" t="inlineStr">
        <is>
          <t>Car Loan</t>
        </is>
      </c>
      <c r="C72" s="22" t="n">
        <v>0</v>
      </c>
      <c r="D72" s="22" t="n">
        <v>0</v>
      </c>
      <c r="E72" s="9">
        <f>C72-D72</f>
        <v/>
      </c>
      <c r="F72" s="11">
        <f>IFERROR(D72/C72,0)</f>
        <v/>
      </c>
      <c r="G72" s="21" t="inlineStr"/>
    </row>
    <row r="73">
      <c r="A73" s="18" t="inlineStr">
        <is>
          <t>DEBT PAYMENTS</t>
        </is>
      </c>
      <c r="B73" s="18" t="inlineStr">
        <is>
          <t>Personal Loan</t>
        </is>
      </c>
      <c r="C73" s="19" t="n">
        <v>0</v>
      </c>
      <c r="D73" s="19" t="n">
        <v>0</v>
      </c>
      <c r="E73" s="5">
        <f>C73-D73</f>
        <v/>
      </c>
      <c r="F73" s="20">
        <f>IFERROR(D73/C73,0)</f>
        <v/>
      </c>
      <c r="G73" s="18" t="inlineStr"/>
    </row>
    <row r="74">
      <c r="A74" s="21" t="inlineStr">
        <is>
          <t>DEBT PAYMENTS</t>
        </is>
      </c>
      <c r="B74" s="21" t="inlineStr">
        <is>
          <t>Other</t>
        </is>
      </c>
      <c r="C74" s="22" t="n">
        <v>0</v>
      </c>
      <c r="D74" s="22" t="n">
        <v>0</v>
      </c>
      <c r="E74" s="9">
        <f>C74-D74</f>
        <v/>
      </c>
      <c r="F74" s="11">
        <f>IFERROR(D74/C74,0)</f>
        <v/>
      </c>
      <c r="G74" s="21" t="inlineStr"/>
    </row>
    <row r="75" ht="18" customHeight="1">
      <c r="A75" s="28" t="inlineStr">
        <is>
          <t>DEBT PAYMENTS TOTAL</t>
        </is>
      </c>
      <c r="C75" s="29">
        <f>SUM(C69:C74)</f>
        <v/>
      </c>
      <c r="D75" s="29">
        <f>SUM(D69:D74)</f>
        <v/>
      </c>
      <c r="E75" s="29">
        <f>C75-D75</f>
        <v/>
      </c>
      <c r="F75" s="30">
        <f>IFERROR(D75/C75,0)</f>
        <v/>
      </c>
      <c r="G75" s="31" t="inlineStr"/>
    </row>
    <row r="76" ht="22" customHeight="1">
      <c r="A76" s="32" t="inlineStr">
        <is>
          <t>GRAND TOTAL EXPENSES</t>
        </is>
      </c>
      <c r="C76" s="33">
        <f>SUM(C19,C27,C35,C43,C51,C59,C67,C75)</f>
        <v/>
      </c>
      <c r="D76" s="33">
        <f>D19+D27+D35+D43+D51+D59+D67+D75</f>
        <v/>
      </c>
      <c r="E76" s="33">
        <f>C76-D76</f>
        <v/>
      </c>
      <c r="F76" s="34">
        <f>IFERROR(D76/C76,0)</f>
        <v/>
      </c>
      <c r="G76" s="35" t="inlineStr"/>
    </row>
    <row r="77" ht="22" customHeight="1">
      <c r="A77" s="17" t="inlineStr">
        <is>
          <t>NET CASH FLOW</t>
        </is>
      </c>
      <c r="C77" s="36">
        <f>C11-C76</f>
        <v/>
      </c>
      <c r="D77" s="36">
        <f>D11-D76</f>
        <v/>
      </c>
      <c r="E77" s="36">
        <f>C77-D77</f>
        <v/>
      </c>
      <c r="F77" s="37" t="inlineStr"/>
      <c r="G77" s="37" t="inlineStr"/>
    </row>
  </sheetData>
  <mergeCells count="22">
    <mergeCell ref="A59:B59"/>
    <mergeCell ref="A11:B11"/>
    <mergeCell ref="A51:B51"/>
    <mergeCell ref="A4:G4"/>
    <mergeCell ref="A20:G20"/>
    <mergeCell ref="A52:G52"/>
    <mergeCell ref="A68:G68"/>
    <mergeCell ref="A28:G28"/>
    <mergeCell ref="A44:G44"/>
    <mergeCell ref="A75:B75"/>
    <mergeCell ref="A60:G60"/>
    <mergeCell ref="A27:B27"/>
    <mergeCell ref="A36:G36"/>
    <mergeCell ref="A1:G1"/>
    <mergeCell ref="A76:B76"/>
    <mergeCell ref="A35:B35"/>
    <mergeCell ref="A43:B43"/>
    <mergeCell ref="A19:B19"/>
    <mergeCell ref="A12:G12"/>
    <mergeCell ref="A2:G2"/>
    <mergeCell ref="A67:B67"/>
    <mergeCell ref="A77:B7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3" customWidth="1" min="4" max="4"/>
    <col width="13" customWidth="1" min="5" max="5"/>
    <col width="10" customWidth="1" min="6" max="6"/>
    <col width="18" customWidth="1" min="7" max="7"/>
  </cols>
  <sheetData>
    <row r="1" ht="44" customHeight="1">
      <c r="A1" s="14" t="inlineStr">
        <is>
          <t>NOVEMBER · MONTHLY BUDGET</t>
        </is>
      </c>
    </row>
    <row r="2" ht="18" customHeight="1">
      <c r="A2" s="15" t="inlineStr">
        <is>
          <t>Track your income, expenses, and savings for the month</t>
        </is>
      </c>
    </row>
    <row r="3" ht="20" customHeight="1">
      <c r="A3" s="16" t="inlineStr">
        <is>
          <t>CATEGORY</t>
        </is>
      </c>
      <c r="B3" s="16" t="inlineStr">
        <is>
          <t>SUBCATEGORY</t>
        </is>
      </c>
      <c r="C3" s="16" t="inlineStr">
        <is>
          <t>BUDGETED</t>
        </is>
      </c>
      <c r="D3" s="16" t="inlineStr">
        <is>
          <t>ACTUAL</t>
        </is>
      </c>
      <c r="E3" s="16" t="inlineStr">
        <is>
          <t>DIFFERENCE</t>
        </is>
      </c>
      <c r="F3" s="16" t="inlineStr">
        <is>
          <t>% USED</t>
        </is>
      </c>
      <c r="G3" s="16" t="inlineStr">
        <is>
          <t>NOTES</t>
        </is>
      </c>
    </row>
    <row r="4" ht="18" customHeight="1">
      <c r="A4" s="17" t="inlineStr">
        <is>
          <t>INCOME</t>
        </is>
      </c>
    </row>
    <row r="5">
      <c r="A5" s="4" t="inlineStr">
        <is>
          <t>INCOME</t>
        </is>
      </c>
      <c r="B5" s="18" t="inlineStr">
        <is>
          <t>Primary Salary</t>
        </is>
      </c>
      <c r="C5" s="19" t="n">
        <v>0</v>
      </c>
      <c r="D5" s="19" t="n">
        <v>0</v>
      </c>
      <c r="E5" s="5">
        <f>C5-D5</f>
        <v/>
      </c>
      <c r="F5" s="20">
        <f>IFERROR(D5/C5,0)</f>
        <v/>
      </c>
      <c r="G5" s="18" t="inlineStr"/>
    </row>
    <row r="6">
      <c r="A6" s="8" t="inlineStr">
        <is>
          <t>INCOME</t>
        </is>
      </c>
      <c r="B6" s="21" t="inlineStr">
        <is>
          <t>Freelance</t>
        </is>
      </c>
      <c r="C6" s="22" t="n">
        <v>0</v>
      </c>
      <c r="D6" s="22" t="n">
        <v>0</v>
      </c>
      <c r="E6" s="9">
        <f>C6-D6</f>
        <v/>
      </c>
      <c r="F6" s="11">
        <f>IFERROR(D6/C6,0)</f>
        <v/>
      </c>
      <c r="G6" s="21" t="inlineStr"/>
    </row>
    <row r="7">
      <c r="A7" s="4" t="inlineStr">
        <is>
          <t>INCOME</t>
        </is>
      </c>
      <c r="B7" s="18" t="inlineStr">
        <is>
          <t>Rental Income</t>
        </is>
      </c>
      <c r="C7" s="19" t="n">
        <v>0</v>
      </c>
      <c r="D7" s="19" t="n">
        <v>0</v>
      </c>
      <c r="E7" s="5">
        <f>C7-D7</f>
        <v/>
      </c>
      <c r="F7" s="20">
        <f>IFERROR(D7/C7,0)</f>
        <v/>
      </c>
      <c r="G7" s="18" t="inlineStr"/>
    </row>
    <row r="8">
      <c r="A8" s="8" t="inlineStr">
        <is>
          <t>INCOME</t>
        </is>
      </c>
      <c r="B8" s="21" t="inlineStr">
        <is>
          <t>Dividends</t>
        </is>
      </c>
      <c r="C8" s="22" t="n">
        <v>0</v>
      </c>
      <c r="D8" s="22" t="n">
        <v>0</v>
      </c>
      <c r="E8" s="9">
        <f>C8-D8</f>
        <v/>
      </c>
      <c r="F8" s="11">
        <f>IFERROR(D8/C8,0)</f>
        <v/>
      </c>
      <c r="G8" s="21" t="inlineStr"/>
    </row>
    <row r="9">
      <c r="A9" s="4" t="inlineStr">
        <is>
          <t>INCOME</t>
        </is>
      </c>
      <c r="B9" s="18" t="inlineStr">
        <is>
          <t>Side Business</t>
        </is>
      </c>
      <c r="C9" s="19" t="n">
        <v>0</v>
      </c>
      <c r="D9" s="19" t="n">
        <v>0</v>
      </c>
      <c r="E9" s="5">
        <f>C9-D9</f>
        <v/>
      </c>
      <c r="F9" s="20">
        <f>IFERROR(D9/C9,0)</f>
        <v/>
      </c>
      <c r="G9" s="18" t="inlineStr"/>
    </row>
    <row r="10">
      <c r="A10" s="8" t="inlineStr">
        <is>
          <t>INCOME</t>
        </is>
      </c>
      <c r="B10" s="21" t="inlineStr">
        <is>
          <t>Other Income</t>
        </is>
      </c>
      <c r="C10" s="22" t="n">
        <v>0</v>
      </c>
      <c r="D10" s="22" t="n">
        <v>0</v>
      </c>
      <c r="E10" s="9">
        <f>C10-D10</f>
        <v/>
      </c>
      <c r="F10" s="11">
        <f>IFERROR(D10/C10,0)</f>
        <v/>
      </c>
      <c r="G10" s="21" t="inlineStr"/>
    </row>
    <row r="11" ht="18" customHeight="1">
      <c r="A11" s="23" t="inlineStr">
        <is>
          <t>TOTAL INCOME</t>
        </is>
      </c>
      <c r="C11" s="24">
        <f>SUM(C5:C10)</f>
        <v/>
      </c>
      <c r="D11" s="24">
        <f>SUM(D5:D10)</f>
        <v/>
      </c>
      <c r="E11" s="24">
        <f>C11-D11</f>
        <v/>
      </c>
      <c r="F11" s="25">
        <f>IFERROR(D11/C11,0)</f>
        <v/>
      </c>
      <c r="G11" s="26" t="inlineStr"/>
    </row>
    <row r="12" ht="18" customHeight="1">
      <c r="A12" s="27" t="inlineStr">
        <is>
          <t>HOUSING</t>
        </is>
      </c>
    </row>
    <row r="13">
      <c r="A13" s="18" t="inlineStr">
        <is>
          <t>HOUSING</t>
        </is>
      </c>
      <c r="B13" s="18" t="inlineStr">
        <is>
          <t>Rent/Mortgage</t>
        </is>
      </c>
      <c r="C13" s="19" t="n">
        <v>0</v>
      </c>
      <c r="D13" s="19" t="n">
        <v>0</v>
      </c>
      <c r="E13" s="5">
        <f>C13-D13</f>
        <v/>
      </c>
      <c r="F13" s="20">
        <f>IFERROR(D13/C13,0)</f>
        <v/>
      </c>
      <c r="G13" s="18" t="inlineStr"/>
    </row>
    <row r="14">
      <c r="A14" s="21" t="inlineStr">
        <is>
          <t>HOUSING</t>
        </is>
      </c>
      <c r="B14" s="21" t="inlineStr">
        <is>
          <t>Electricity</t>
        </is>
      </c>
      <c r="C14" s="22" t="n">
        <v>0</v>
      </c>
      <c r="D14" s="22" t="n">
        <v>0</v>
      </c>
      <c r="E14" s="9">
        <f>C14-D14</f>
        <v/>
      </c>
      <c r="F14" s="11">
        <f>IFERROR(D14/C14,0)</f>
        <v/>
      </c>
      <c r="G14" s="21" t="inlineStr"/>
    </row>
    <row r="15">
      <c r="A15" s="18" t="inlineStr">
        <is>
          <t>HOUSING</t>
        </is>
      </c>
      <c r="B15" s="18" t="inlineStr">
        <is>
          <t>Water</t>
        </is>
      </c>
      <c r="C15" s="19" t="n">
        <v>0</v>
      </c>
      <c r="D15" s="19" t="n">
        <v>0</v>
      </c>
      <c r="E15" s="5">
        <f>C15-D15</f>
        <v/>
      </c>
      <c r="F15" s="20">
        <f>IFERROR(D15/C15,0)</f>
        <v/>
      </c>
      <c r="G15" s="18" t="inlineStr"/>
    </row>
    <row r="16">
      <c r="A16" s="21" t="inlineStr">
        <is>
          <t>HOUSING</t>
        </is>
      </c>
      <c r="B16" s="21" t="inlineStr">
        <is>
          <t>Internet</t>
        </is>
      </c>
      <c r="C16" s="22" t="n">
        <v>0</v>
      </c>
      <c r="D16" s="22" t="n">
        <v>0</v>
      </c>
      <c r="E16" s="9">
        <f>C16-D16</f>
        <v/>
      </c>
      <c r="F16" s="11">
        <f>IFERROR(D16/C16,0)</f>
        <v/>
      </c>
      <c r="G16" s="21" t="inlineStr"/>
    </row>
    <row r="17">
      <c r="A17" s="18" t="inlineStr">
        <is>
          <t>HOUSING</t>
        </is>
      </c>
      <c r="B17" s="18" t="inlineStr">
        <is>
          <t>Home Insurance</t>
        </is>
      </c>
      <c r="C17" s="19" t="n">
        <v>0</v>
      </c>
      <c r="D17" s="19" t="n">
        <v>0</v>
      </c>
      <c r="E17" s="5">
        <f>C17-D17</f>
        <v/>
      </c>
      <c r="F17" s="20">
        <f>IFERROR(D17/C17,0)</f>
        <v/>
      </c>
      <c r="G17" s="18" t="inlineStr"/>
    </row>
    <row r="18">
      <c r="A18" s="21" t="inlineStr">
        <is>
          <t>HOUSING</t>
        </is>
      </c>
      <c r="B18" s="21" t="inlineStr">
        <is>
          <t>Maintenance</t>
        </is>
      </c>
      <c r="C18" s="22" t="n">
        <v>0</v>
      </c>
      <c r="D18" s="22" t="n">
        <v>0</v>
      </c>
      <c r="E18" s="9">
        <f>C18-D18</f>
        <v/>
      </c>
      <c r="F18" s="11">
        <f>IFERROR(D18/C18,0)</f>
        <v/>
      </c>
      <c r="G18" s="21" t="inlineStr"/>
    </row>
    <row r="19" ht="18" customHeight="1">
      <c r="A19" s="28" t="inlineStr">
        <is>
          <t>HOUSING TOTAL</t>
        </is>
      </c>
      <c r="C19" s="29">
        <f>SUM(C13:C18)</f>
        <v/>
      </c>
      <c r="D19" s="29">
        <f>SUM(D13:D18)</f>
        <v/>
      </c>
      <c r="E19" s="29">
        <f>C19-D19</f>
        <v/>
      </c>
      <c r="F19" s="30">
        <f>IFERROR(D19/C19,0)</f>
        <v/>
      </c>
      <c r="G19" s="31" t="inlineStr"/>
    </row>
    <row r="20" ht="18" customHeight="1">
      <c r="A20" s="27" t="inlineStr">
        <is>
          <t>TRANSPORT</t>
        </is>
      </c>
    </row>
    <row r="21">
      <c r="A21" s="18" t="inlineStr">
        <is>
          <t>TRANSPORT</t>
        </is>
      </c>
      <c r="B21" s="18" t="inlineStr">
        <is>
          <t>Car Payment</t>
        </is>
      </c>
      <c r="C21" s="19" t="n">
        <v>0</v>
      </c>
      <c r="D21" s="19" t="n">
        <v>0</v>
      </c>
      <c r="E21" s="5">
        <f>C21-D21</f>
        <v/>
      </c>
      <c r="F21" s="20">
        <f>IFERROR(D21/C21,0)</f>
        <v/>
      </c>
      <c r="G21" s="18" t="inlineStr"/>
    </row>
    <row r="22">
      <c r="A22" s="21" t="inlineStr">
        <is>
          <t>TRANSPORT</t>
        </is>
      </c>
      <c r="B22" s="21" t="inlineStr">
        <is>
          <t>Fuel</t>
        </is>
      </c>
      <c r="C22" s="22" t="n">
        <v>0</v>
      </c>
      <c r="D22" s="22" t="n">
        <v>0</v>
      </c>
      <c r="E22" s="9">
        <f>C22-D22</f>
        <v/>
      </c>
      <c r="F22" s="11">
        <f>IFERROR(D22/C22,0)</f>
        <v/>
      </c>
      <c r="G22" s="21" t="inlineStr"/>
    </row>
    <row r="23">
      <c r="A23" s="18" t="inlineStr">
        <is>
          <t>TRANSPORT</t>
        </is>
      </c>
      <c r="B23" s="18" t="inlineStr">
        <is>
          <t>Car Insurance</t>
        </is>
      </c>
      <c r="C23" s="19" t="n">
        <v>0</v>
      </c>
      <c r="D23" s="19" t="n">
        <v>0</v>
      </c>
      <c r="E23" s="5">
        <f>C23-D23</f>
        <v/>
      </c>
      <c r="F23" s="20">
        <f>IFERROR(D23/C23,0)</f>
        <v/>
      </c>
      <c r="G23" s="18" t="inlineStr"/>
    </row>
    <row r="24">
      <c r="A24" s="21" t="inlineStr">
        <is>
          <t>TRANSPORT</t>
        </is>
      </c>
      <c r="B24" s="21" t="inlineStr">
        <is>
          <t>Parking</t>
        </is>
      </c>
      <c r="C24" s="22" t="n">
        <v>0</v>
      </c>
      <c r="D24" s="22" t="n">
        <v>0</v>
      </c>
      <c r="E24" s="9">
        <f>C24-D24</f>
        <v/>
      </c>
      <c r="F24" s="11">
        <f>IFERROR(D24/C24,0)</f>
        <v/>
      </c>
      <c r="G24" s="21" t="inlineStr"/>
    </row>
    <row r="25">
      <c r="A25" s="18" t="inlineStr">
        <is>
          <t>TRANSPORT</t>
        </is>
      </c>
      <c r="B25" s="18" t="inlineStr">
        <is>
          <t>Public Transport</t>
        </is>
      </c>
      <c r="C25" s="19" t="n">
        <v>0</v>
      </c>
      <c r="D25" s="19" t="n">
        <v>0</v>
      </c>
      <c r="E25" s="5">
        <f>C25-D25</f>
        <v/>
      </c>
      <c r="F25" s="20">
        <f>IFERROR(D25/C25,0)</f>
        <v/>
      </c>
      <c r="G25" s="18" t="inlineStr"/>
    </row>
    <row r="26">
      <c r="A26" s="21" t="inlineStr">
        <is>
          <t>TRANSPORT</t>
        </is>
      </c>
      <c r="B26" s="21" t="inlineStr">
        <is>
          <t>Ride Share</t>
        </is>
      </c>
      <c r="C26" s="22" t="n">
        <v>0</v>
      </c>
      <c r="D26" s="22" t="n">
        <v>0</v>
      </c>
      <c r="E26" s="9">
        <f>C26-D26</f>
        <v/>
      </c>
      <c r="F26" s="11">
        <f>IFERROR(D26/C26,0)</f>
        <v/>
      </c>
      <c r="G26" s="21" t="inlineStr"/>
    </row>
    <row r="27" ht="18" customHeight="1">
      <c r="A27" s="28" t="inlineStr">
        <is>
          <t>TRANSPORT TOTAL</t>
        </is>
      </c>
      <c r="C27" s="29">
        <f>SUM(C21:C26)</f>
        <v/>
      </c>
      <c r="D27" s="29">
        <f>SUM(D21:D26)</f>
        <v/>
      </c>
      <c r="E27" s="29">
        <f>C27-D27</f>
        <v/>
      </c>
      <c r="F27" s="30">
        <f>IFERROR(D27/C27,0)</f>
        <v/>
      </c>
      <c r="G27" s="31" t="inlineStr"/>
    </row>
    <row r="28" ht="18" customHeight="1">
      <c r="A28" s="27" t="inlineStr">
        <is>
          <t>FOOD &amp; DINING</t>
        </is>
      </c>
    </row>
    <row r="29">
      <c r="A29" s="18" t="inlineStr">
        <is>
          <t>FOOD &amp; DINING</t>
        </is>
      </c>
      <c r="B29" s="18" t="inlineStr">
        <is>
          <t>Groceries</t>
        </is>
      </c>
      <c r="C29" s="19" t="n">
        <v>0</v>
      </c>
      <c r="D29" s="19" t="n">
        <v>0</v>
      </c>
      <c r="E29" s="5">
        <f>C29-D29</f>
        <v/>
      </c>
      <c r="F29" s="20">
        <f>IFERROR(D29/C29,0)</f>
        <v/>
      </c>
      <c r="G29" s="18" t="inlineStr"/>
    </row>
    <row r="30">
      <c r="A30" s="21" t="inlineStr">
        <is>
          <t>FOOD &amp; DINING</t>
        </is>
      </c>
      <c r="B30" s="21" t="inlineStr">
        <is>
          <t>Restaurants</t>
        </is>
      </c>
      <c r="C30" s="22" t="n">
        <v>0</v>
      </c>
      <c r="D30" s="22" t="n">
        <v>0</v>
      </c>
      <c r="E30" s="9">
        <f>C30-D30</f>
        <v/>
      </c>
      <c r="F30" s="11">
        <f>IFERROR(D30/C30,0)</f>
        <v/>
      </c>
      <c r="G30" s="21" t="inlineStr"/>
    </row>
    <row r="31">
      <c r="A31" s="18" t="inlineStr">
        <is>
          <t>FOOD &amp; DINING</t>
        </is>
      </c>
      <c r="B31" s="18" t="inlineStr">
        <is>
          <t>Coffee Shops</t>
        </is>
      </c>
      <c r="C31" s="19" t="n">
        <v>0</v>
      </c>
      <c r="D31" s="19" t="n">
        <v>0</v>
      </c>
      <c r="E31" s="5">
        <f>C31-D31</f>
        <v/>
      </c>
      <c r="F31" s="20">
        <f>IFERROR(D31/C31,0)</f>
        <v/>
      </c>
      <c r="G31" s="18" t="inlineStr"/>
    </row>
    <row r="32">
      <c r="A32" s="21" t="inlineStr">
        <is>
          <t>FOOD &amp; DINING</t>
        </is>
      </c>
      <c r="B32" s="21" t="inlineStr">
        <is>
          <t>Food Delivery</t>
        </is>
      </c>
      <c r="C32" s="22" t="n">
        <v>0</v>
      </c>
      <c r="D32" s="22" t="n">
        <v>0</v>
      </c>
      <c r="E32" s="9">
        <f>C32-D32</f>
        <v/>
      </c>
      <c r="F32" s="11">
        <f>IFERROR(D32/C32,0)</f>
        <v/>
      </c>
      <c r="G32" s="21" t="inlineStr"/>
    </row>
    <row r="33">
      <c r="A33" s="18" t="inlineStr">
        <is>
          <t>FOOD &amp; DINING</t>
        </is>
      </c>
      <c r="B33" s="18" t="inlineStr">
        <is>
          <t>Work Lunch</t>
        </is>
      </c>
      <c r="C33" s="19" t="n">
        <v>0</v>
      </c>
      <c r="D33" s="19" t="n">
        <v>0</v>
      </c>
      <c r="E33" s="5">
        <f>C33-D33</f>
        <v/>
      </c>
      <c r="F33" s="20">
        <f>IFERROR(D33/C33,0)</f>
        <v/>
      </c>
      <c r="G33" s="18" t="inlineStr"/>
    </row>
    <row r="34">
      <c r="A34" s="21" t="inlineStr">
        <is>
          <t>FOOD &amp; DINING</t>
        </is>
      </c>
      <c r="B34" s="21" t="inlineStr">
        <is>
          <t>Other</t>
        </is>
      </c>
      <c r="C34" s="22" t="n">
        <v>0</v>
      </c>
      <c r="D34" s="22" t="n">
        <v>0</v>
      </c>
      <c r="E34" s="9">
        <f>C34-D34</f>
        <v/>
      </c>
      <c r="F34" s="11">
        <f>IFERROR(D34/C34,0)</f>
        <v/>
      </c>
      <c r="G34" s="21" t="inlineStr"/>
    </row>
    <row r="35" ht="18" customHeight="1">
      <c r="A35" s="28" t="inlineStr">
        <is>
          <t>FOOD &amp; DINING TOTAL</t>
        </is>
      </c>
      <c r="C35" s="29">
        <f>SUM(C29:C34)</f>
        <v/>
      </c>
      <c r="D35" s="29">
        <f>SUM(D29:D34)</f>
        <v/>
      </c>
      <c r="E35" s="29">
        <f>C35-D35</f>
        <v/>
      </c>
      <c r="F35" s="30">
        <f>IFERROR(D35/C35,0)</f>
        <v/>
      </c>
      <c r="G35" s="31" t="inlineStr"/>
    </row>
    <row r="36" ht="18" customHeight="1">
      <c r="A36" s="27" t="inlineStr">
        <is>
          <t>HEALTH &amp; WELLNESS</t>
        </is>
      </c>
    </row>
    <row r="37">
      <c r="A37" s="18" t="inlineStr">
        <is>
          <t>HEALTH &amp; WELLNESS</t>
        </is>
      </c>
      <c r="B37" s="18" t="inlineStr">
        <is>
          <t>Health Insurance</t>
        </is>
      </c>
      <c r="C37" s="19" t="n">
        <v>0</v>
      </c>
      <c r="D37" s="19" t="n">
        <v>0</v>
      </c>
      <c r="E37" s="5">
        <f>C37-D37</f>
        <v/>
      </c>
      <c r="F37" s="20">
        <f>IFERROR(D37/C37,0)</f>
        <v/>
      </c>
      <c r="G37" s="18" t="inlineStr"/>
    </row>
    <row r="38">
      <c r="A38" s="21" t="inlineStr">
        <is>
          <t>HEALTH &amp; WELLNESS</t>
        </is>
      </c>
      <c r="B38" s="21" t="inlineStr">
        <is>
          <t>Gym Membership</t>
        </is>
      </c>
      <c r="C38" s="22" t="n">
        <v>0</v>
      </c>
      <c r="D38" s="22" t="n">
        <v>0</v>
      </c>
      <c r="E38" s="9">
        <f>C38-D38</f>
        <v/>
      </c>
      <c r="F38" s="11">
        <f>IFERROR(D38/C38,0)</f>
        <v/>
      </c>
      <c r="G38" s="21" t="inlineStr"/>
    </row>
    <row r="39">
      <c r="A39" s="18" t="inlineStr">
        <is>
          <t>HEALTH &amp; WELLNESS</t>
        </is>
      </c>
      <c r="B39" s="18" t="inlineStr">
        <is>
          <t>Pharmacy</t>
        </is>
      </c>
      <c r="C39" s="19" t="n">
        <v>0</v>
      </c>
      <c r="D39" s="19" t="n">
        <v>0</v>
      </c>
      <c r="E39" s="5">
        <f>C39-D39</f>
        <v/>
      </c>
      <c r="F39" s="20">
        <f>IFERROR(D39/C39,0)</f>
        <v/>
      </c>
      <c r="G39" s="18" t="inlineStr"/>
    </row>
    <row r="40">
      <c r="A40" s="21" t="inlineStr">
        <is>
          <t>HEALTH &amp; WELLNESS</t>
        </is>
      </c>
      <c r="B40" s="21" t="inlineStr">
        <is>
          <t>Doctor Visits</t>
        </is>
      </c>
      <c r="C40" s="22" t="n">
        <v>0</v>
      </c>
      <c r="D40" s="22" t="n">
        <v>0</v>
      </c>
      <c r="E40" s="9">
        <f>C40-D40</f>
        <v/>
      </c>
      <c r="F40" s="11">
        <f>IFERROR(D40/C40,0)</f>
        <v/>
      </c>
      <c r="G40" s="21" t="inlineStr"/>
    </row>
    <row r="41">
      <c r="A41" s="18" t="inlineStr">
        <is>
          <t>HEALTH &amp; WELLNESS</t>
        </is>
      </c>
      <c r="B41" s="18" t="inlineStr">
        <is>
          <t>Dental</t>
        </is>
      </c>
      <c r="C41" s="19" t="n">
        <v>0</v>
      </c>
      <c r="D41" s="19" t="n">
        <v>0</v>
      </c>
      <c r="E41" s="5">
        <f>C41-D41</f>
        <v/>
      </c>
      <c r="F41" s="20">
        <f>IFERROR(D41/C41,0)</f>
        <v/>
      </c>
      <c r="G41" s="18" t="inlineStr"/>
    </row>
    <row r="42">
      <c r="A42" s="21" t="inlineStr">
        <is>
          <t>HEALTH &amp; WELLNESS</t>
        </is>
      </c>
      <c r="B42" s="21" t="inlineStr">
        <is>
          <t>Mental Health</t>
        </is>
      </c>
      <c r="C42" s="22" t="n">
        <v>0</v>
      </c>
      <c r="D42" s="22" t="n">
        <v>0</v>
      </c>
      <c r="E42" s="9">
        <f>C42-D42</f>
        <v/>
      </c>
      <c r="F42" s="11">
        <f>IFERROR(D42/C42,0)</f>
        <v/>
      </c>
      <c r="G42" s="21" t="inlineStr"/>
    </row>
    <row r="43" ht="18" customHeight="1">
      <c r="A43" s="28" t="inlineStr">
        <is>
          <t>HEALTH &amp; WELLNESS TOTAL</t>
        </is>
      </c>
      <c r="C43" s="29">
        <f>SUM(C37:C42)</f>
        <v/>
      </c>
      <c r="D43" s="29">
        <f>SUM(D37:D42)</f>
        <v/>
      </c>
      <c r="E43" s="29">
        <f>C43-D43</f>
        <v/>
      </c>
      <c r="F43" s="30">
        <f>IFERROR(D43/C43,0)</f>
        <v/>
      </c>
      <c r="G43" s="31" t="inlineStr"/>
    </row>
    <row r="44" ht="18" customHeight="1">
      <c r="A44" s="27" t="inlineStr">
        <is>
          <t>LIFESTYLE</t>
        </is>
      </c>
    </row>
    <row r="45">
      <c r="A45" s="18" t="inlineStr">
        <is>
          <t>LIFESTYLE</t>
        </is>
      </c>
      <c r="B45" s="18" t="inlineStr">
        <is>
          <t>Streaming Services</t>
        </is>
      </c>
      <c r="C45" s="19" t="n">
        <v>0</v>
      </c>
      <c r="D45" s="19" t="n">
        <v>0</v>
      </c>
      <c r="E45" s="5">
        <f>C45-D45</f>
        <v/>
      </c>
      <c r="F45" s="20">
        <f>IFERROR(D45/C45,0)</f>
        <v/>
      </c>
      <c r="G45" s="18" t="inlineStr"/>
    </row>
    <row r="46">
      <c r="A46" s="21" t="inlineStr">
        <is>
          <t>LIFESTYLE</t>
        </is>
      </c>
      <c r="B46" s="21" t="inlineStr">
        <is>
          <t>Entertainment</t>
        </is>
      </c>
      <c r="C46" s="22" t="n">
        <v>0</v>
      </c>
      <c r="D46" s="22" t="n">
        <v>0</v>
      </c>
      <c r="E46" s="9">
        <f>C46-D46</f>
        <v/>
      </c>
      <c r="F46" s="11">
        <f>IFERROR(D46/C46,0)</f>
        <v/>
      </c>
      <c r="G46" s="21" t="inlineStr"/>
    </row>
    <row r="47">
      <c r="A47" s="18" t="inlineStr">
        <is>
          <t>LIFESTYLE</t>
        </is>
      </c>
      <c r="B47" s="18" t="inlineStr">
        <is>
          <t>Hobbies</t>
        </is>
      </c>
      <c r="C47" s="19" t="n">
        <v>0</v>
      </c>
      <c r="D47" s="19" t="n">
        <v>0</v>
      </c>
      <c r="E47" s="5">
        <f>C47-D47</f>
        <v/>
      </c>
      <c r="F47" s="20">
        <f>IFERROR(D47/C47,0)</f>
        <v/>
      </c>
      <c r="G47" s="18" t="inlineStr"/>
    </row>
    <row r="48">
      <c r="A48" s="21" t="inlineStr">
        <is>
          <t>LIFESTYLE</t>
        </is>
      </c>
      <c r="B48" s="21" t="inlineStr">
        <is>
          <t>Personal Care</t>
        </is>
      </c>
      <c r="C48" s="22" t="n">
        <v>0</v>
      </c>
      <c r="D48" s="22" t="n">
        <v>0</v>
      </c>
      <c r="E48" s="9">
        <f>C48-D48</f>
        <v/>
      </c>
      <c r="F48" s="11">
        <f>IFERROR(D48/C48,0)</f>
        <v/>
      </c>
      <c r="G48" s="21" t="inlineStr"/>
    </row>
    <row r="49">
      <c r="A49" s="18" t="inlineStr">
        <is>
          <t>LIFESTYLE</t>
        </is>
      </c>
      <c r="B49" s="18" t="inlineStr">
        <is>
          <t>Books</t>
        </is>
      </c>
      <c r="C49" s="19" t="n">
        <v>0</v>
      </c>
      <c r="D49" s="19" t="n">
        <v>0</v>
      </c>
      <c r="E49" s="5">
        <f>C49-D49</f>
        <v/>
      </c>
      <c r="F49" s="20">
        <f>IFERROR(D49/C49,0)</f>
        <v/>
      </c>
      <c r="G49" s="18" t="inlineStr"/>
    </row>
    <row r="50">
      <c r="A50" s="21" t="inlineStr">
        <is>
          <t>LIFESTYLE</t>
        </is>
      </c>
      <c r="B50" s="21" t="inlineStr">
        <is>
          <t>Clothing</t>
        </is>
      </c>
      <c r="C50" s="22" t="n">
        <v>0</v>
      </c>
      <c r="D50" s="22" t="n">
        <v>0</v>
      </c>
      <c r="E50" s="9">
        <f>C50-D50</f>
        <v/>
      </c>
      <c r="F50" s="11">
        <f>IFERROR(D50/C50,0)</f>
        <v/>
      </c>
      <c r="G50" s="21" t="inlineStr"/>
    </row>
    <row r="51" ht="18" customHeight="1">
      <c r="A51" s="28" t="inlineStr">
        <is>
          <t>LIFESTYLE TOTAL</t>
        </is>
      </c>
      <c r="C51" s="29">
        <f>SUM(C45:C50)</f>
        <v/>
      </c>
      <c r="D51" s="29">
        <f>SUM(D45:D50)</f>
        <v/>
      </c>
      <c r="E51" s="29">
        <f>C51-D51</f>
        <v/>
      </c>
      <c r="F51" s="30">
        <f>IFERROR(D51/C51,0)</f>
        <v/>
      </c>
      <c r="G51" s="31" t="inlineStr"/>
    </row>
    <row r="52" ht="18" customHeight="1">
      <c r="A52" s="27" t="inlineStr">
        <is>
          <t>CHILDREN &amp; FAMILY</t>
        </is>
      </c>
    </row>
    <row r="53">
      <c r="A53" s="18" t="inlineStr">
        <is>
          <t>CHILDREN &amp; FAMILY</t>
        </is>
      </c>
      <c r="B53" s="18" t="inlineStr">
        <is>
          <t>Childcare</t>
        </is>
      </c>
      <c r="C53" s="19" t="n">
        <v>0</v>
      </c>
      <c r="D53" s="19" t="n">
        <v>0</v>
      </c>
      <c r="E53" s="5">
        <f>C53-D53</f>
        <v/>
      </c>
      <c r="F53" s="20">
        <f>IFERROR(D53/C53,0)</f>
        <v/>
      </c>
      <c r="G53" s="18" t="inlineStr"/>
    </row>
    <row r="54">
      <c r="A54" s="21" t="inlineStr">
        <is>
          <t>CHILDREN &amp; FAMILY</t>
        </is>
      </c>
      <c r="B54" s="21" t="inlineStr">
        <is>
          <t>School Fees</t>
        </is>
      </c>
      <c r="C54" s="22" t="n">
        <v>0</v>
      </c>
      <c r="D54" s="22" t="n">
        <v>0</v>
      </c>
      <c r="E54" s="9">
        <f>C54-D54</f>
        <v/>
      </c>
      <c r="F54" s="11">
        <f>IFERROR(D54/C54,0)</f>
        <v/>
      </c>
      <c r="G54" s="21" t="inlineStr"/>
    </row>
    <row r="55">
      <c r="A55" s="18" t="inlineStr">
        <is>
          <t>CHILDREN &amp; FAMILY</t>
        </is>
      </c>
      <c r="B55" s="18" t="inlineStr">
        <is>
          <t>Activities</t>
        </is>
      </c>
      <c r="C55" s="19" t="n">
        <v>0</v>
      </c>
      <c r="D55" s="19" t="n">
        <v>0</v>
      </c>
      <c r="E55" s="5">
        <f>C55-D55</f>
        <v/>
      </c>
      <c r="F55" s="20">
        <f>IFERROR(D55/C55,0)</f>
        <v/>
      </c>
      <c r="G55" s="18" t="inlineStr"/>
    </row>
    <row r="56">
      <c r="A56" s="21" t="inlineStr">
        <is>
          <t>CHILDREN &amp; FAMILY</t>
        </is>
      </c>
      <c r="B56" s="21" t="inlineStr">
        <is>
          <t>Toys &amp; Gifts</t>
        </is>
      </c>
      <c r="C56" s="22" t="n">
        <v>0</v>
      </c>
      <c r="D56" s="22" t="n">
        <v>0</v>
      </c>
      <c r="E56" s="9">
        <f>C56-D56</f>
        <v/>
      </c>
      <c r="F56" s="11">
        <f>IFERROR(D56/C56,0)</f>
        <v/>
      </c>
      <c r="G56" s="21" t="inlineStr"/>
    </row>
    <row r="57">
      <c r="A57" s="18" t="inlineStr">
        <is>
          <t>CHILDREN &amp; FAMILY</t>
        </is>
      </c>
      <c r="B57" s="18" t="inlineStr">
        <is>
          <t>Family Outings</t>
        </is>
      </c>
      <c r="C57" s="19" t="n">
        <v>0</v>
      </c>
      <c r="D57" s="19" t="n">
        <v>0</v>
      </c>
      <c r="E57" s="5">
        <f>C57-D57</f>
        <v/>
      </c>
      <c r="F57" s="20">
        <f>IFERROR(D57/C57,0)</f>
        <v/>
      </c>
      <c r="G57" s="18" t="inlineStr"/>
    </row>
    <row r="58">
      <c r="A58" s="21" t="inlineStr">
        <is>
          <t>CHILDREN &amp; FAMILY</t>
        </is>
      </c>
      <c r="B58" s="21" t="inlineStr">
        <is>
          <t>Other</t>
        </is>
      </c>
      <c r="C58" s="22" t="n">
        <v>0</v>
      </c>
      <c r="D58" s="22" t="n">
        <v>0</v>
      </c>
      <c r="E58" s="9">
        <f>C58-D58</f>
        <v/>
      </c>
      <c r="F58" s="11">
        <f>IFERROR(D58/C58,0)</f>
        <v/>
      </c>
      <c r="G58" s="21" t="inlineStr"/>
    </row>
    <row r="59" ht="18" customHeight="1">
      <c r="A59" s="28" t="inlineStr">
        <is>
          <t>CHILDREN &amp; FAMILY TOTAL</t>
        </is>
      </c>
      <c r="C59" s="29">
        <f>SUM(C53:C58)</f>
        <v/>
      </c>
      <c r="D59" s="29">
        <f>SUM(D53:D58)</f>
        <v/>
      </c>
      <c r="E59" s="29">
        <f>C59-D59</f>
        <v/>
      </c>
      <c r="F59" s="30">
        <f>IFERROR(D59/C59,0)</f>
        <v/>
      </c>
      <c r="G59" s="31" t="inlineStr"/>
    </row>
    <row r="60" ht="18" customHeight="1">
      <c r="A60" s="27" t="inlineStr">
        <is>
          <t>SAVINGS &amp; INVESTMENTS</t>
        </is>
      </c>
    </row>
    <row r="61">
      <c r="A61" s="18" t="inlineStr">
        <is>
          <t>SAVINGS &amp; INVESTMENTS</t>
        </is>
      </c>
      <c r="B61" s="18" t="inlineStr">
        <is>
          <t>Emergency Fund</t>
        </is>
      </c>
      <c r="C61" s="19" t="n">
        <v>0</v>
      </c>
      <c r="D61" s="19" t="n">
        <v>0</v>
      </c>
      <c r="E61" s="5">
        <f>C61-D61</f>
        <v/>
      </c>
      <c r="F61" s="20">
        <f>IFERROR(D61/C61,0)</f>
        <v/>
      </c>
      <c r="G61" s="18" t="inlineStr"/>
    </row>
    <row r="62">
      <c r="A62" s="21" t="inlineStr">
        <is>
          <t>SAVINGS &amp; INVESTMENTS</t>
        </is>
      </c>
      <c r="B62" s="21" t="inlineStr">
        <is>
          <t>Pension/IRA</t>
        </is>
      </c>
      <c r="C62" s="22" t="n">
        <v>0</v>
      </c>
      <c r="D62" s="22" t="n">
        <v>0</v>
      </c>
      <c r="E62" s="9">
        <f>C62-D62</f>
        <v/>
      </c>
      <c r="F62" s="11">
        <f>IFERROR(D62/C62,0)</f>
        <v/>
      </c>
      <c r="G62" s="21" t="inlineStr"/>
    </row>
    <row r="63">
      <c r="A63" s="18" t="inlineStr">
        <is>
          <t>SAVINGS &amp; INVESTMENTS</t>
        </is>
      </c>
      <c r="B63" s="18" t="inlineStr">
        <is>
          <t>Stocks &amp; ETFs</t>
        </is>
      </c>
      <c r="C63" s="19" t="n">
        <v>0</v>
      </c>
      <c r="D63" s="19" t="n">
        <v>0</v>
      </c>
      <c r="E63" s="5">
        <f>C63-D63</f>
        <v/>
      </c>
      <c r="F63" s="20">
        <f>IFERROR(D63/C63,0)</f>
        <v/>
      </c>
      <c r="G63" s="18" t="inlineStr"/>
    </row>
    <row r="64">
      <c r="A64" s="21" t="inlineStr">
        <is>
          <t>SAVINGS &amp; INVESTMENTS</t>
        </is>
      </c>
      <c r="B64" s="21" t="inlineStr">
        <is>
          <t>Vacation Fund</t>
        </is>
      </c>
      <c r="C64" s="22" t="n">
        <v>0</v>
      </c>
      <c r="D64" s="22" t="n">
        <v>0</v>
      </c>
      <c r="E64" s="9">
        <f>C64-D64</f>
        <v/>
      </c>
      <c r="F64" s="11">
        <f>IFERROR(D64/C64,0)</f>
        <v/>
      </c>
      <c r="G64" s="21" t="inlineStr"/>
    </row>
    <row r="65">
      <c r="A65" s="18" t="inlineStr">
        <is>
          <t>SAVINGS &amp; INVESTMENTS</t>
        </is>
      </c>
      <c r="B65" s="18" t="inlineStr">
        <is>
          <t>Home Fund</t>
        </is>
      </c>
      <c r="C65" s="19" t="n">
        <v>0</v>
      </c>
      <c r="D65" s="19" t="n">
        <v>0</v>
      </c>
      <c r="E65" s="5">
        <f>C65-D65</f>
        <v/>
      </c>
      <c r="F65" s="20">
        <f>IFERROR(D65/C65,0)</f>
        <v/>
      </c>
      <c r="G65" s="18" t="inlineStr"/>
    </row>
    <row r="66">
      <c r="A66" s="21" t="inlineStr">
        <is>
          <t>SAVINGS &amp; INVESTMENTS</t>
        </is>
      </c>
      <c r="B66" s="21" t="inlineStr">
        <is>
          <t>Other</t>
        </is>
      </c>
      <c r="C66" s="22" t="n">
        <v>0</v>
      </c>
      <c r="D66" s="22" t="n">
        <v>0</v>
      </c>
      <c r="E66" s="9">
        <f>C66-D66</f>
        <v/>
      </c>
      <c r="F66" s="11">
        <f>IFERROR(D66/C66,0)</f>
        <v/>
      </c>
      <c r="G66" s="21" t="inlineStr"/>
    </row>
    <row r="67" ht="18" customHeight="1">
      <c r="A67" s="28" t="inlineStr">
        <is>
          <t>SAVINGS &amp; INVESTMENTS TOTAL</t>
        </is>
      </c>
      <c r="C67" s="29">
        <f>SUM(C61:C66)</f>
        <v/>
      </c>
      <c r="D67" s="29">
        <f>SUM(D61:D66)</f>
        <v/>
      </c>
      <c r="E67" s="29">
        <f>C67-D67</f>
        <v/>
      </c>
      <c r="F67" s="30">
        <f>IFERROR(D67/C67,0)</f>
        <v/>
      </c>
      <c r="G67" s="31" t="inlineStr"/>
    </row>
    <row r="68" ht="18" customHeight="1">
      <c r="A68" s="27" t="inlineStr">
        <is>
          <t>DEBT PAYMENTS</t>
        </is>
      </c>
    </row>
    <row r="69">
      <c r="A69" s="18" t="inlineStr">
        <is>
          <t>DEBT PAYMENTS</t>
        </is>
      </c>
      <c r="B69" s="18" t="inlineStr">
        <is>
          <t>Credit Card 1</t>
        </is>
      </c>
      <c r="C69" s="19" t="n">
        <v>0</v>
      </c>
      <c r="D69" s="19" t="n">
        <v>0</v>
      </c>
      <c r="E69" s="5">
        <f>C69-D69</f>
        <v/>
      </c>
      <c r="F69" s="20">
        <f>IFERROR(D69/C69,0)</f>
        <v/>
      </c>
      <c r="G69" s="18" t="inlineStr"/>
    </row>
    <row r="70">
      <c r="A70" s="21" t="inlineStr">
        <is>
          <t>DEBT PAYMENTS</t>
        </is>
      </c>
      <c r="B70" s="21" t="inlineStr">
        <is>
          <t>Credit Card 2</t>
        </is>
      </c>
      <c r="C70" s="22" t="n">
        <v>0</v>
      </c>
      <c r="D70" s="22" t="n">
        <v>0</v>
      </c>
      <c r="E70" s="9">
        <f>C70-D70</f>
        <v/>
      </c>
      <c r="F70" s="11">
        <f>IFERROR(D70/C70,0)</f>
        <v/>
      </c>
      <c r="G70" s="21" t="inlineStr"/>
    </row>
    <row r="71">
      <c r="A71" s="18" t="inlineStr">
        <is>
          <t>DEBT PAYMENTS</t>
        </is>
      </c>
      <c r="B71" s="18" t="inlineStr">
        <is>
          <t>Student Loan</t>
        </is>
      </c>
      <c r="C71" s="19" t="n">
        <v>0</v>
      </c>
      <c r="D71" s="19" t="n">
        <v>0</v>
      </c>
      <c r="E71" s="5">
        <f>C71-D71</f>
        <v/>
      </c>
      <c r="F71" s="20">
        <f>IFERROR(D71/C71,0)</f>
        <v/>
      </c>
      <c r="G71" s="18" t="inlineStr"/>
    </row>
    <row r="72">
      <c r="A72" s="21" t="inlineStr">
        <is>
          <t>DEBT PAYMENTS</t>
        </is>
      </c>
      <c r="B72" s="21" t="inlineStr">
        <is>
          <t>Car Loan</t>
        </is>
      </c>
      <c r="C72" s="22" t="n">
        <v>0</v>
      </c>
      <c r="D72" s="22" t="n">
        <v>0</v>
      </c>
      <c r="E72" s="9">
        <f>C72-D72</f>
        <v/>
      </c>
      <c r="F72" s="11">
        <f>IFERROR(D72/C72,0)</f>
        <v/>
      </c>
      <c r="G72" s="21" t="inlineStr"/>
    </row>
    <row r="73">
      <c r="A73" s="18" t="inlineStr">
        <is>
          <t>DEBT PAYMENTS</t>
        </is>
      </c>
      <c r="B73" s="18" t="inlineStr">
        <is>
          <t>Personal Loan</t>
        </is>
      </c>
      <c r="C73" s="19" t="n">
        <v>0</v>
      </c>
      <c r="D73" s="19" t="n">
        <v>0</v>
      </c>
      <c r="E73" s="5">
        <f>C73-D73</f>
        <v/>
      </c>
      <c r="F73" s="20">
        <f>IFERROR(D73/C73,0)</f>
        <v/>
      </c>
      <c r="G73" s="18" t="inlineStr"/>
    </row>
    <row r="74">
      <c r="A74" s="21" t="inlineStr">
        <is>
          <t>DEBT PAYMENTS</t>
        </is>
      </c>
      <c r="B74" s="21" t="inlineStr">
        <is>
          <t>Other</t>
        </is>
      </c>
      <c r="C74" s="22" t="n">
        <v>0</v>
      </c>
      <c r="D74" s="22" t="n">
        <v>0</v>
      </c>
      <c r="E74" s="9">
        <f>C74-D74</f>
        <v/>
      </c>
      <c r="F74" s="11">
        <f>IFERROR(D74/C74,0)</f>
        <v/>
      </c>
      <c r="G74" s="21" t="inlineStr"/>
    </row>
    <row r="75" ht="18" customHeight="1">
      <c r="A75" s="28" t="inlineStr">
        <is>
          <t>DEBT PAYMENTS TOTAL</t>
        </is>
      </c>
      <c r="C75" s="29">
        <f>SUM(C69:C74)</f>
        <v/>
      </c>
      <c r="D75" s="29">
        <f>SUM(D69:D74)</f>
        <v/>
      </c>
      <c r="E75" s="29">
        <f>C75-D75</f>
        <v/>
      </c>
      <c r="F75" s="30">
        <f>IFERROR(D75/C75,0)</f>
        <v/>
      </c>
      <c r="G75" s="31" t="inlineStr"/>
    </row>
    <row r="76" ht="22" customHeight="1">
      <c r="A76" s="32" t="inlineStr">
        <is>
          <t>GRAND TOTAL EXPENSES</t>
        </is>
      </c>
      <c r="C76" s="33">
        <f>SUM(C19,C27,C35,C43,C51,C59,C67,C75)</f>
        <v/>
      </c>
      <c r="D76" s="33">
        <f>D19+D27+D35+D43+D51+D59+D67+D75</f>
        <v/>
      </c>
      <c r="E76" s="33">
        <f>C76-D76</f>
        <v/>
      </c>
      <c r="F76" s="34">
        <f>IFERROR(D76/C76,0)</f>
        <v/>
      </c>
      <c r="G76" s="35" t="inlineStr"/>
    </row>
    <row r="77" ht="22" customHeight="1">
      <c r="A77" s="17" t="inlineStr">
        <is>
          <t>NET CASH FLOW</t>
        </is>
      </c>
      <c r="C77" s="36">
        <f>C11-C76</f>
        <v/>
      </c>
      <c r="D77" s="36">
        <f>D11-D76</f>
        <v/>
      </c>
      <c r="E77" s="36">
        <f>C77-D77</f>
        <v/>
      </c>
      <c r="F77" s="37" t="inlineStr"/>
      <c r="G77" s="37" t="inlineStr"/>
    </row>
  </sheetData>
  <mergeCells count="22">
    <mergeCell ref="A59:B59"/>
    <mergeCell ref="A11:B11"/>
    <mergeCell ref="A51:B51"/>
    <mergeCell ref="A4:G4"/>
    <mergeCell ref="A20:G20"/>
    <mergeCell ref="A52:G52"/>
    <mergeCell ref="A68:G68"/>
    <mergeCell ref="A28:G28"/>
    <mergeCell ref="A44:G44"/>
    <mergeCell ref="A75:B75"/>
    <mergeCell ref="A60:G60"/>
    <mergeCell ref="A27:B27"/>
    <mergeCell ref="A36:G36"/>
    <mergeCell ref="A1:G1"/>
    <mergeCell ref="A76:B76"/>
    <mergeCell ref="A35:B35"/>
    <mergeCell ref="A43:B43"/>
    <mergeCell ref="A19:B19"/>
    <mergeCell ref="A12:G12"/>
    <mergeCell ref="A2:G2"/>
    <mergeCell ref="A67:B67"/>
    <mergeCell ref="A77:B7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3" customWidth="1" min="4" max="4"/>
    <col width="13" customWidth="1" min="5" max="5"/>
    <col width="10" customWidth="1" min="6" max="6"/>
    <col width="18" customWidth="1" min="7" max="7"/>
  </cols>
  <sheetData>
    <row r="1" ht="44" customHeight="1">
      <c r="A1" s="14" t="inlineStr">
        <is>
          <t>DECEMBER · MONTHLY BUDGET</t>
        </is>
      </c>
    </row>
    <row r="2" ht="18" customHeight="1">
      <c r="A2" s="15" t="inlineStr">
        <is>
          <t>Track your income, expenses, and savings for the month</t>
        </is>
      </c>
    </row>
    <row r="3" ht="20" customHeight="1">
      <c r="A3" s="16" t="inlineStr">
        <is>
          <t>CATEGORY</t>
        </is>
      </c>
      <c r="B3" s="16" t="inlineStr">
        <is>
          <t>SUBCATEGORY</t>
        </is>
      </c>
      <c r="C3" s="16" t="inlineStr">
        <is>
          <t>BUDGETED</t>
        </is>
      </c>
      <c r="D3" s="16" t="inlineStr">
        <is>
          <t>ACTUAL</t>
        </is>
      </c>
      <c r="E3" s="16" t="inlineStr">
        <is>
          <t>DIFFERENCE</t>
        </is>
      </c>
      <c r="F3" s="16" t="inlineStr">
        <is>
          <t>% USED</t>
        </is>
      </c>
      <c r="G3" s="16" t="inlineStr">
        <is>
          <t>NOTES</t>
        </is>
      </c>
    </row>
    <row r="4" ht="18" customHeight="1">
      <c r="A4" s="17" t="inlineStr">
        <is>
          <t>INCOME</t>
        </is>
      </c>
    </row>
    <row r="5">
      <c r="A5" s="4" t="inlineStr">
        <is>
          <t>INCOME</t>
        </is>
      </c>
      <c r="B5" s="18" t="inlineStr">
        <is>
          <t>Primary Salary</t>
        </is>
      </c>
      <c r="C5" s="19" t="n">
        <v>0</v>
      </c>
      <c r="D5" s="19" t="n">
        <v>0</v>
      </c>
      <c r="E5" s="5">
        <f>C5-D5</f>
        <v/>
      </c>
      <c r="F5" s="20">
        <f>IFERROR(D5/C5,0)</f>
        <v/>
      </c>
      <c r="G5" s="18" t="inlineStr"/>
    </row>
    <row r="6">
      <c r="A6" s="8" t="inlineStr">
        <is>
          <t>INCOME</t>
        </is>
      </c>
      <c r="B6" s="21" t="inlineStr">
        <is>
          <t>Freelance</t>
        </is>
      </c>
      <c r="C6" s="22" t="n">
        <v>0</v>
      </c>
      <c r="D6" s="22" t="n">
        <v>0</v>
      </c>
      <c r="E6" s="9">
        <f>C6-D6</f>
        <v/>
      </c>
      <c r="F6" s="11">
        <f>IFERROR(D6/C6,0)</f>
        <v/>
      </c>
      <c r="G6" s="21" t="inlineStr"/>
    </row>
    <row r="7">
      <c r="A7" s="4" t="inlineStr">
        <is>
          <t>INCOME</t>
        </is>
      </c>
      <c r="B7" s="18" t="inlineStr">
        <is>
          <t>Rental Income</t>
        </is>
      </c>
      <c r="C7" s="19" t="n">
        <v>0</v>
      </c>
      <c r="D7" s="19" t="n">
        <v>0</v>
      </c>
      <c r="E7" s="5">
        <f>C7-D7</f>
        <v/>
      </c>
      <c r="F7" s="20">
        <f>IFERROR(D7/C7,0)</f>
        <v/>
      </c>
      <c r="G7" s="18" t="inlineStr"/>
    </row>
    <row r="8">
      <c r="A8" s="8" t="inlineStr">
        <is>
          <t>INCOME</t>
        </is>
      </c>
      <c r="B8" s="21" t="inlineStr">
        <is>
          <t>Dividends</t>
        </is>
      </c>
      <c r="C8" s="22" t="n">
        <v>0</v>
      </c>
      <c r="D8" s="22" t="n">
        <v>0</v>
      </c>
      <c r="E8" s="9">
        <f>C8-D8</f>
        <v/>
      </c>
      <c r="F8" s="11">
        <f>IFERROR(D8/C8,0)</f>
        <v/>
      </c>
      <c r="G8" s="21" t="inlineStr"/>
    </row>
    <row r="9">
      <c r="A9" s="4" t="inlineStr">
        <is>
          <t>INCOME</t>
        </is>
      </c>
      <c r="B9" s="18" t="inlineStr">
        <is>
          <t>Side Business</t>
        </is>
      </c>
      <c r="C9" s="19" t="n">
        <v>0</v>
      </c>
      <c r="D9" s="19" t="n">
        <v>0</v>
      </c>
      <c r="E9" s="5">
        <f>C9-D9</f>
        <v/>
      </c>
      <c r="F9" s="20">
        <f>IFERROR(D9/C9,0)</f>
        <v/>
      </c>
      <c r="G9" s="18" t="inlineStr"/>
    </row>
    <row r="10">
      <c r="A10" s="8" t="inlineStr">
        <is>
          <t>INCOME</t>
        </is>
      </c>
      <c r="B10" s="21" t="inlineStr">
        <is>
          <t>Other Income</t>
        </is>
      </c>
      <c r="C10" s="22" t="n">
        <v>0</v>
      </c>
      <c r="D10" s="22" t="n">
        <v>0</v>
      </c>
      <c r="E10" s="9">
        <f>C10-D10</f>
        <v/>
      </c>
      <c r="F10" s="11">
        <f>IFERROR(D10/C10,0)</f>
        <v/>
      </c>
      <c r="G10" s="21" t="inlineStr"/>
    </row>
    <row r="11" ht="18" customHeight="1">
      <c r="A11" s="23" t="inlineStr">
        <is>
          <t>TOTAL INCOME</t>
        </is>
      </c>
      <c r="C11" s="24">
        <f>SUM(C5:C10)</f>
        <v/>
      </c>
      <c r="D11" s="24">
        <f>SUM(D5:D10)</f>
        <v/>
      </c>
      <c r="E11" s="24">
        <f>C11-D11</f>
        <v/>
      </c>
      <c r="F11" s="25">
        <f>IFERROR(D11/C11,0)</f>
        <v/>
      </c>
      <c r="G11" s="26" t="inlineStr"/>
    </row>
    <row r="12" ht="18" customHeight="1">
      <c r="A12" s="27" t="inlineStr">
        <is>
          <t>HOUSING</t>
        </is>
      </c>
    </row>
    <row r="13">
      <c r="A13" s="18" t="inlineStr">
        <is>
          <t>HOUSING</t>
        </is>
      </c>
      <c r="B13" s="18" t="inlineStr">
        <is>
          <t>Rent/Mortgage</t>
        </is>
      </c>
      <c r="C13" s="19" t="n">
        <v>0</v>
      </c>
      <c r="D13" s="19" t="n">
        <v>0</v>
      </c>
      <c r="E13" s="5">
        <f>C13-D13</f>
        <v/>
      </c>
      <c r="F13" s="20">
        <f>IFERROR(D13/C13,0)</f>
        <v/>
      </c>
      <c r="G13" s="18" t="inlineStr"/>
    </row>
    <row r="14">
      <c r="A14" s="21" t="inlineStr">
        <is>
          <t>HOUSING</t>
        </is>
      </c>
      <c r="B14" s="21" t="inlineStr">
        <is>
          <t>Electricity</t>
        </is>
      </c>
      <c r="C14" s="22" t="n">
        <v>0</v>
      </c>
      <c r="D14" s="22" t="n">
        <v>0</v>
      </c>
      <c r="E14" s="9">
        <f>C14-D14</f>
        <v/>
      </c>
      <c r="F14" s="11">
        <f>IFERROR(D14/C14,0)</f>
        <v/>
      </c>
      <c r="G14" s="21" t="inlineStr"/>
    </row>
    <row r="15">
      <c r="A15" s="18" t="inlineStr">
        <is>
          <t>HOUSING</t>
        </is>
      </c>
      <c r="B15" s="18" t="inlineStr">
        <is>
          <t>Water</t>
        </is>
      </c>
      <c r="C15" s="19" t="n">
        <v>0</v>
      </c>
      <c r="D15" s="19" t="n">
        <v>0</v>
      </c>
      <c r="E15" s="5">
        <f>C15-D15</f>
        <v/>
      </c>
      <c r="F15" s="20">
        <f>IFERROR(D15/C15,0)</f>
        <v/>
      </c>
      <c r="G15" s="18" t="inlineStr"/>
    </row>
    <row r="16">
      <c r="A16" s="21" t="inlineStr">
        <is>
          <t>HOUSING</t>
        </is>
      </c>
      <c r="B16" s="21" t="inlineStr">
        <is>
          <t>Internet</t>
        </is>
      </c>
      <c r="C16" s="22" t="n">
        <v>0</v>
      </c>
      <c r="D16" s="22" t="n">
        <v>0</v>
      </c>
      <c r="E16" s="9">
        <f>C16-D16</f>
        <v/>
      </c>
      <c r="F16" s="11">
        <f>IFERROR(D16/C16,0)</f>
        <v/>
      </c>
      <c r="G16" s="21" t="inlineStr"/>
    </row>
    <row r="17">
      <c r="A17" s="18" t="inlineStr">
        <is>
          <t>HOUSING</t>
        </is>
      </c>
      <c r="B17" s="18" t="inlineStr">
        <is>
          <t>Home Insurance</t>
        </is>
      </c>
      <c r="C17" s="19" t="n">
        <v>0</v>
      </c>
      <c r="D17" s="19" t="n">
        <v>0</v>
      </c>
      <c r="E17" s="5">
        <f>C17-D17</f>
        <v/>
      </c>
      <c r="F17" s="20">
        <f>IFERROR(D17/C17,0)</f>
        <v/>
      </c>
      <c r="G17" s="18" t="inlineStr"/>
    </row>
    <row r="18">
      <c r="A18" s="21" t="inlineStr">
        <is>
          <t>HOUSING</t>
        </is>
      </c>
      <c r="B18" s="21" t="inlineStr">
        <is>
          <t>Maintenance</t>
        </is>
      </c>
      <c r="C18" s="22" t="n">
        <v>0</v>
      </c>
      <c r="D18" s="22" t="n">
        <v>0</v>
      </c>
      <c r="E18" s="9">
        <f>C18-D18</f>
        <v/>
      </c>
      <c r="F18" s="11">
        <f>IFERROR(D18/C18,0)</f>
        <v/>
      </c>
      <c r="G18" s="21" t="inlineStr"/>
    </row>
    <row r="19" ht="18" customHeight="1">
      <c r="A19" s="28" t="inlineStr">
        <is>
          <t>HOUSING TOTAL</t>
        </is>
      </c>
      <c r="C19" s="29">
        <f>SUM(C13:C18)</f>
        <v/>
      </c>
      <c r="D19" s="29">
        <f>SUM(D13:D18)</f>
        <v/>
      </c>
      <c r="E19" s="29">
        <f>C19-D19</f>
        <v/>
      </c>
      <c r="F19" s="30">
        <f>IFERROR(D19/C19,0)</f>
        <v/>
      </c>
      <c r="G19" s="31" t="inlineStr"/>
    </row>
    <row r="20" ht="18" customHeight="1">
      <c r="A20" s="27" t="inlineStr">
        <is>
          <t>TRANSPORT</t>
        </is>
      </c>
    </row>
    <row r="21">
      <c r="A21" s="18" t="inlineStr">
        <is>
          <t>TRANSPORT</t>
        </is>
      </c>
      <c r="B21" s="18" t="inlineStr">
        <is>
          <t>Car Payment</t>
        </is>
      </c>
      <c r="C21" s="19" t="n">
        <v>0</v>
      </c>
      <c r="D21" s="19" t="n">
        <v>0</v>
      </c>
      <c r="E21" s="5">
        <f>C21-D21</f>
        <v/>
      </c>
      <c r="F21" s="20">
        <f>IFERROR(D21/C21,0)</f>
        <v/>
      </c>
      <c r="G21" s="18" t="inlineStr"/>
    </row>
    <row r="22">
      <c r="A22" s="21" t="inlineStr">
        <is>
          <t>TRANSPORT</t>
        </is>
      </c>
      <c r="B22" s="21" t="inlineStr">
        <is>
          <t>Fuel</t>
        </is>
      </c>
      <c r="C22" s="22" t="n">
        <v>0</v>
      </c>
      <c r="D22" s="22" t="n">
        <v>0</v>
      </c>
      <c r="E22" s="9">
        <f>C22-D22</f>
        <v/>
      </c>
      <c r="F22" s="11">
        <f>IFERROR(D22/C22,0)</f>
        <v/>
      </c>
      <c r="G22" s="21" t="inlineStr"/>
    </row>
    <row r="23">
      <c r="A23" s="18" t="inlineStr">
        <is>
          <t>TRANSPORT</t>
        </is>
      </c>
      <c r="B23" s="18" t="inlineStr">
        <is>
          <t>Car Insurance</t>
        </is>
      </c>
      <c r="C23" s="19" t="n">
        <v>0</v>
      </c>
      <c r="D23" s="19" t="n">
        <v>0</v>
      </c>
      <c r="E23" s="5">
        <f>C23-D23</f>
        <v/>
      </c>
      <c r="F23" s="20">
        <f>IFERROR(D23/C23,0)</f>
        <v/>
      </c>
      <c r="G23" s="18" t="inlineStr"/>
    </row>
    <row r="24">
      <c r="A24" s="21" t="inlineStr">
        <is>
          <t>TRANSPORT</t>
        </is>
      </c>
      <c r="B24" s="21" t="inlineStr">
        <is>
          <t>Parking</t>
        </is>
      </c>
      <c r="C24" s="22" t="n">
        <v>0</v>
      </c>
      <c r="D24" s="22" t="n">
        <v>0</v>
      </c>
      <c r="E24" s="9">
        <f>C24-D24</f>
        <v/>
      </c>
      <c r="F24" s="11">
        <f>IFERROR(D24/C24,0)</f>
        <v/>
      </c>
      <c r="G24" s="21" t="inlineStr"/>
    </row>
    <row r="25">
      <c r="A25" s="18" t="inlineStr">
        <is>
          <t>TRANSPORT</t>
        </is>
      </c>
      <c r="B25" s="18" t="inlineStr">
        <is>
          <t>Public Transport</t>
        </is>
      </c>
      <c r="C25" s="19" t="n">
        <v>0</v>
      </c>
      <c r="D25" s="19" t="n">
        <v>0</v>
      </c>
      <c r="E25" s="5">
        <f>C25-D25</f>
        <v/>
      </c>
      <c r="F25" s="20">
        <f>IFERROR(D25/C25,0)</f>
        <v/>
      </c>
      <c r="G25" s="18" t="inlineStr"/>
    </row>
    <row r="26">
      <c r="A26" s="21" t="inlineStr">
        <is>
          <t>TRANSPORT</t>
        </is>
      </c>
      <c r="B26" s="21" t="inlineStr">
        <is>
          <t>Ride Share</t>
        </is>
      </c>
      <c r="C26" s="22" t="n">
        <v>0</v>
      </c>
      <c r="D26" s="22" t="n">
        <v>0</v>
      </c>
      <c r="E26" s="9">
        <f>C26-D26</f>
        <v/>
      </c>
      <c r="F26" s="11">
        <f>IFERROR(D26/C26,0)</f>
        <v/>
      </c>
      <c r="G26" s="21" t="inlineStr"/>
    </row>
    <row r="27" ht="18" customHeight="1">
      <c r="A27" s="28" t="inlineStr">
        <is>
          <t>TRANSPORT TOTAL</t>
        </is>
      </c>
      <c r="C27" s="29">
        <f>SUM(C21:C26)</f>
        <v/>
      </c>
      <c r="D27" s="29">
        <f>SUM(D21:D26)</f>
        <v/>
      </c>
      <c r="E27" s="29">
        <f>C27-D27</f>
        <v/>
      </c>
      <c r="F27" s="30">
        <f>IFERROR(D27/C27,0)</f>
        <v/>
      </c>
      <c r="G27" s="31" t="inlineStr"/>
    </row>
    <row r="28" ht="18" customHeight="1">
      <c r="A28" s="27" t="inlineStr">
        <is>
          <t>FOOD &amp; DINING</t>
        </is>
      </c>
    </row>
    <row r="29">
      <c r="A29" s="18" t="inlineStr">
        <is>
          <t>FOOD &amp; DINING</t>
        </is>
      </c>
      <c r="B29" s="18" t="inlineStr">
        <is>
          <t>Groceries</t>
        </is>
      </c>
      <c r="C29" s="19" t="n">
        <v>0</v>
      </c>
      <c r="D29" s="19" t="n">
        <v>0</v>
      </c>
      <c r="E29" s="5">
        <f>C29-D29</f>
        <v/>
      </c>
      <c r="F29" s="20">
        <f>IFERROR(D29/C29,0)</f>
        <v/>
      </c>
      <c r="G29" s="18" t="inlineStr"/>
    </row>
    <row r="30">
      <c r="A30" s="21" t="inlineStr">
        <is>
          <t>FOOD &amp; DINING</t>
        </is>
      </c>
      <c r="B30" s="21" t="inlineStr">
        <is>
          <t>Restaurants</t>
        </is>
      </c>
      <c r="C30" s="22" t="n">
        <v>0</v>
      </c>
      <c r="D30" s="22" t="n">
        <v>0</v>
      </c>
      <c r="E30" s="9">
        <f>C30-D30</f>
        <v/>
      </c>
      <c r="F30" s="11">
        <f>IFERROR(D30/C30,0)</f>
        <v/>
      </c>
      <c r="G30" s="21" t="inlineStr"/>
    </row>
    <row r="31">
      <c r="A31" s="18" t="inlineStr">
        <is>
          <t>FOOD &amp; DINING</t>
        </is>
      </c>
      <c r="B31" s="18" t="inlineStr">
        <is>
          <t>Coffee Shops</t>
        </is>
      </c>
      <c r="C31" s="19" t="n">
        <v>0</v>
      </c>
      <c r="D31" s="19" t="n">
        <v>0</v>
      </c>
      <c r="E31" s="5">
        <f>C31-D31</f>
        <v/>
      </c>
      <c r="F31" s="20">
        <f>IFERROR(D31/C31,0)</f>
        <v/>
      </c>
      <c r="G31" s="18" t="inlineStr"/>
    </row>
    <row r="32">
      <c r="A32" s="21" t="inlineStr">
        <is>
          <t>FOOD &amp; DINING</t>
        </is>
      </c>
      <c r="B32" s="21" t="inlineStr">
        <is>
          <t>Food Delivery</t>
        </is>
      </c>
      <c r="C32" s="22" t="n">
        <v>0</v>
      </c>
      <c r="D32" s="22" t="n">
        <v>0</v>
      </c>
      <c r="E32" s="9">
        <f>C32-D32</f>
        <v/>
      </c>
      <c r="F32" s="11">
        <f>IFERROR(D32/C32,0)</f>
        <v/>
      </c>
      <c r="G32" s="21" t="inlineStr"/>
    </row>
    <row r="33">
      <c r="A33" s="18" t="inlineStr">
        <is>
          <t>FOOD &amp; DINING</t>
        </is>
      </c>
      <c r="B33" s="18" t="inlineStr">
        <is>
          <t>Work Lunch</t>
        </is>
      </c>
      <c r="C33" s="19" t="n">
        <v>0</v>
      </c>
      <c r="D33" s="19" t="n">
        <v>0</v>
      </c>
      <c r="E33" s="5">
        <f>C33-D33</f>
        <v/>
      </c>
      <c r="F33" s="20">
        <f>IFERROR(D33/C33,0)</f>
        <v/>
      </c>
      <c r="G33" s="18" t="inlineStr"/>
    </row>
    <row r="34">
      <c r="A34" s="21" t="inlineStr">
        <is>
          <t>FOOD &amp; DINING</t>
        </is>
      </c>
      <c r="B34" s="21" t="inlineStr">
        <is>
          <t>Other</t>
        </is>
      </c>
      <c r="C34" s="22" t="n">
        <v>0</v>
      </c>
      <c r="D34" s="22" t="n">
        <v>0</v>
      </c>
      <c r="E34" s="9">
        <f>C34-D34</f>
        <v/>
      </c>
      <c r="F34" s="11">
        <f>IFERROR(D34/C34,0)</f>
        <v/>
      </c>
      <c r="G34" s="21" t="inlineStr"/>
    </row>
    <row r="35" ht="18" customHeight="1">
      <c r="A35" s="28" t="inlineStr">
        <is>
          <t>FOOD &amp; DINING TOTAL</t>
        </is>
      </c>
      <c r="C35" s="29">
        <f>SUM(C29:C34)</f>
        <v/>
      </c>
      <c r="D35" s="29">
        <f>SUM(D29:D34)</f>
        <v/>
      </c>
      <c r="E35" s="29">
        <f>C35-D35</f>
        <v/>
      </c>
      <c r="F35" s="30">
        <f>IFERROR(D35/C35,0)</f>
        <v/>
      </c>
      <c r="G35" s="31" t="inlineStr"/>
    </row>
    <row r="36" ht="18" customHeight="1">
      <c r="A36" s="27" t="inlineStr">
        <is>
          <t>HEALTH &amp; WELLNESS</t>
        </is>
      </c>
    </row>
    <row r="37">
      <c r="A37" s="18" t="inlineStr">
        <is>
          <t>HEALTH &amp; WELLNESS</t>
        </is>
      </c>
      <c r="B37" s="18" t="inlineStr">
        <is>
          <t>Health Insurance</t>
        </is>
      </c>
      <c r="C37" s="19" t="n">
        <v>0</v>
      </c>
      <c r="D37" s="19" t="n">
        <v>0</v>
      </c>
      <c r="E37" s="5">
        <f>C37-D37</f>
        <v/>
      </c>
      <c r="F37" s="20">
        <f>IFERROR(D37/C37,0)</f>
        <v/>
      </c>
      <c r="G37" s="18" t="inlineStr"/>
    </row>
    <row r="38">
      <c r="A38" s="21" t="inlineStr">
        <is>
          <t>HEALTH &amp; WELLNESS</t>
        </is>
      </c>
      <c r="B38" s="21" t="inlineStr">
        <is>
          <t>Gym Membership</t>
        </is>
      </c>
      <c r="C38" s="22" t="n">
        <v>0</v>
      </c>
      <c r="D38" s="22" t="n">
        <v>0</v>
      </c>
      <c r="E38" s="9">
        <f>C38-D38</f>
        <v/>
      </c>
      <c r="F38" s="11">
        <f>IFERROR(D38/C38,0)</f>
        <v/>
      </c>
      <c r="G38" s="21" t="inlineStr"/>
    </row>
    <row r="39">
      <c r="A39" s="18" t="inlineStr">
        <is>
          <t>HEALTH &amp; WELLNESS</t>
        </is>
      </c>
      <c r="B39" s="18" t="inlineStr">
        <is>
          <t>Pharmacy</t>
        </is>
      </c>
      <c r="C39" s="19" t="n">
        <v>0</v>
      </c>
      <c r="D39" s="19" t="n">
        <v>0</v>
      </c>
      <c r="E39" s="5">
        <f>C39-D39</f>
        <v/>
      </c>
      <c r="F39" s="20">
        <f>IFERROR(D39/C39,0)</f>
        <v/>
      </c>
      <c r="G39" s="18" t="inlineStr"/>
    </row>
    <row r="40">
      <c r="A40" s="21" t="inlineStr">
        <is>
          <t>HEALTH &amp; WELLNESS</t>
        </is>
      </c>
      <c r="B40" s="21" t="inlineStr">
        <is>
          <t>Doctor Visits</t>
        </is>
      </c>
      <c r="C40" s="22" t="n">
        <v>0</v>
      </c>
      <c r="D40" s="22" t="n">
        <v>0</v>
      </c>
      <c r="E40" s="9">
        <f>C40-D40</f>
        <v/>
      </c>
      <c r="F40" s="11">
        <f>IFERROR(D40/C40,0)</f>
        <v/>
      </c>
      <c r="G40" s="21" t="inlineStr"/>
    </row>
    <row r="41">
      <c r="A41" s="18" t="inlineStr">
        <is>
          <t>HEALTH &amp; WELLNESS</t>
        </is>
      </c>
      <c r="B41" s="18" t="inlineStr">
        <is>
          <t>Dental</t>
        </is>
      </c>
      <c r="C41" s="19" t="n">
        <v>0</v>
      </c>
      <c r="D41" s="19" t="n">
        <v>0</v>
      </c>
      <c r="E41" s="5">
        <f>C41-D41</f>
        <v/>
      </c>
      <c r="F41" s="20">
        <f>IFERROR(D41/C41,0)</f>
        <v/>
      </c>
      <c r="G41" s="18" t="inlineStr"/>
    </row>
    <row r="42">
      <c r="A42" s="21" t="inlineStr">
        <is>
          <t>HEALTH &amp; WELLNESS</t>
        </is>
      </c>
      <c r="B42" s="21" t="inlineStr">
        <is>
          <t>Mental Health</t>
        </is>
      </c>
      <c r="C42" s="22" t="n">
        <v>0</v>
      </c>
      <c r="D42" s="22" t="n">
        <v>0</v>
      </c>
      <c r="E42" s="9">
        <f>C42-D42</f>
        <v/>
      </c>
      <c r="F42" s="11">
        <f>IFERROR(D42/C42,0)</f>
        <v/>
      </c>
      <c r="G42" s="21" t="inlineStr"/>
    </row>
    <row r="43" ht="18" customHeight="1">
      <c r="A43" s="28" t="inlineStr">
        <is>
          <t>HEALTH &amp; WELLNESS TOTAL</t>
        </is>
      </c>
      <c r="C43" s="29">
        <f>SUM(C37:C42)</f>
        <v/>
      </c>
      <c r="D43" s="29">
        <f>SUM(D37:D42)</f>
        <v/>
      </c>
      <c r="E43" s="29">
        <f>C43-D43</f>
        <v/>
      </c>
      <c r="F43" s="30">
        <f>IFERROR(D43/C43,0)</f>
        <v/>
      </c>
      <c r="G43" s="31" t="inlineStr"/>
    </row>
    <row r="44" ht="18" customHeight="1">
      <c r="A44" s="27" t="inlineStr">
        <is>
          <t>LIFESTYLE</t>
        </is>
      </c>
    </row>
    <row r="45">
      <c r="A45" s="18" t="inlineStr">
        <is>
          <t>LIFESTYLE</t>
        </is>
      </c>
      <c r="B45" s="18" t="inlineStr">
        <is>
          <t>Streaming Services</t>
        </is>
      </c>
      <c r="C45" s="19" t="n">
        <v>0</v>
      </c>
      <c r="D45" s="19" t="n">
        <v>0</v>
      </c>
      <c r="E45" s="5">
        <f>C45-D45</f>
        <v/>
      </c>
      <c r="F45" s="20">
        <f>IFERROR(D45/C45,0)</f>
        <v/>
      </c>
      <c r="G45" s="18" t="inlineStr"/>
    </row>
    <row r="46">
      <c r="A46" s="21" t="inlineStr">
        <is>
          <t>LIFESTYLE</t>
        </is>
      </c>
      <c r="B46" s="21" t="inlineStr">
        <is>
          <t>Entertainment</t>
        </is>
      </c>
      <c r="C46" s="22" t="n">
        <v>0</v>
      </c>
      <c r="D46" s="22" t="n">
        <v>0</v>
      </c>
      <c r="E46" s="9">
        <f>C46-D46</f>
        <v/>
      </c>
      <c r="F46" s="11">
        <f>IFERROR(D46/C46,0)</f>
        <v/>
      </c>
      <c r="G46" s="21" t="inlineStr"/>
    </row>
    <row r="47">
      <c r="A47" s="18" t="inlineStr">
        <is>
          <t>LIFESTYLE</t>
        </is>
      </c>
      <c r="B47" s="18" t="inlineStr">
        <is>
          <t>Hobbies</t>
        </is>
      </c>
      <c r="C47" s="19" t="n">
        <v>0</v>
      </c>
      <c r="D47" s="19" t="n">
        <v>0</v>
      </c>
      <c r="E47" s="5">
        <f>C47-D47</f>
        <v/>
      </c>
      <c r="F47" s="20">
        <f>IFERROR(D47/C47,0)</f>
        <v/>
      </c>
      <c r="G47" s="18" t="inlineStr"/>
    </row>
    <row r="48">
      <c r="A48" s="21" t="inlineStr">
        <is>
          <t>LIFESTYLE</t>
        </is>
      </c>
      <c r="B48" s="21" t="inlineStr">
        <is>
          <t>Personal Care</t>
        </is>
      </c>
      <c r="C48" s="22" t="n">
        <v>0</v>
      </c>
      <c r="D48" s="22" t="n">
        <v>0</v>
      </c>
      <c r="E48" s="9">
        <f>C48-D48</f>
        <v/>
      </c>
      <c r="F48" s="11">
        <f>IFERROR(D48/C48,0)</f>
        <v/>
      </c>
      <c r="G48" s="21" t="inlineStr"/>
    </row>
    <row r="49">
      <c r="A49" s="18" t="inlineStr">
        <is>
          <t>LIFESTYLE</t>
        </is>
      </c>
      <c r="B49" s="18" t="inlineStr">
        <is>
          <t>Books</t>
        </is>
      </c>
      <c r="C49" s="19" t="n">
        <v>0</v>
      </c>
      <c r="D49" s="19" t="n">
        <v>0</v>
      </c>
      <c r="E49" s="5">
        <f>C49-D49</f>
        <v/>
      </c>
      <c r="F49" s="20">
        <f>IFERROR(D49/C49,0)</f>
        <v/>
      </c>
      <c r="G49" s="18" t="inlineStr"/>
    </row>
    <row r="50">
      <c r="A50" s="21" t="inlineStr">
        <is>
          <t>LIFESTYLE</t>
        </is>
      </c>
      <c r="B50" s="21" t="inlineStr">
        <is>
          <t>Clothing</t>
        </is>
      </c>
      <c r="C50" s="22" t="n">
        <v>0</v>
      </c>
      <c r="D50" s="22" t="n">
        <v>0</v>
      </c>
      <c r="E50" s="9">
        <f>C50-D50</f>
        <v/>
      </c>
      <c r="F50" s="11">
        <f>IFERROR(D50/C50,0)</f>
        <v/>
      </c>
      <c r="G50" s="21" t="inlineStr"/>
    </row>
    <row r="51" ht="18" customHeight="1">
      <c r="A51" s="28" t="inlineStr">
        <is>
          <t>LIFESTYLE TOTAL</t>
        </is>
      </c>
      <c r="C51" s="29">
        <f>SUM(C45:C50)</f>
        <v/>
      </c>
      <c r="D51" s="29">
        <f>SUM(D45:D50)</f>
        <v/>
      </c>
      <c r="E51" s="29">
        <f>C51-D51</f>
        <v/>
      </c>
      <c r="F51" s="30">
        <f>IFERROR(D51/C51,0)</f>
        <v/>
      </c>
      <c r="G51" s="31" t="inlineStr"/>
    </row>
    <row r="52" ht="18" customHeight="1">
      <c r="A52" s="27" t="inlineStr">
        <is>
          <t>CHILDREN &amp; FAMILY</t>
        </is>
      </c>
    </row>
    <row r="53">
      <c r="A53" s="18" t="inlineStr">
        <is>
          <t>CHILDREN &amp; FAMILY</t>
        </is>
      </c>
      <c r="B53" s="18" t="inlineStr">
        <is>
          <t>Childcare</t>
        </is>
      </c>
      <c r="C53" s="19" t="n">
        <v>0</v>
      </c>
      <c r="D53" s="19" t="n">
        <v>0</v>
      </c>
      <c r="E53" s="5">
        <f>C53-D53</f>
        <v/>
      </c>
      <c r="F53" s="20">
        <f>IFERROR(D53/C53,0)</f>
        <v/>
      </c>
      <c r="G53" s="18" t="inlineStr"/>
    </row>
    <row r="54">
      <c r="A54" s="21" t="inlineStr">
        <is>
          <t>CHILDREN &amp; FAMILY</t>
        </is>
      </c>
      <c r="B54" s="21" t="inlineStr">
        <is>
          <t>School Fees</t>
        </is>
      </c>
      <c r="C54" s="22" t="n">
        <v>0</v>
      </c>
      <c r="D54" s="22" t="n">
        <v>0</v>
      </c>
      <c r="E54" s="9">
        <f>C54-D54</f>
        <v/>
      </c>
      <c r="F54" s="11">
        <f>IFERROR(D54/C54,0)</f>
        <v/>
      </c>
      <c r="G54" s="21" t="inlineStr"/>
    </row>
    <row r="55">
      <c r="A55" s="18" t="inlineStr">
        <is>
          <t>CHILDREN &amp; FAMILY</t>
        </is>
      </c>
      <c r="B55" s="18" t="inlineStr">
        <is>
          <t>Activities</t>
        </is>
      </c>
      <c r="C55" s="19" t="n">
        <v>0</v>
      </c>
      <c r="D55" s="19" t="n">
        <v>0</v>
      </c>
      <c r="E55" s="5">
        <f>C55-D55</f>
        <v/>
      </c>
      <c r="F55" s="20">
        <f>IFERROR(D55/C55,0)</f>
        <v/>
      </c>
      <c r="G55" s="18" t="inlineStr"/>
    </row>
    <row r="56">
      <c r="A56" s="21" t="inlineStr">
        <is>
          <t>CHILDREN &amp; FAMILY</t>
        </is>
      </c>
      <c r="B56" s="21" t="inlineStr">
        <is>
          <t>Toys &amp; Gifts</t>
        </is>
      </c>
      <c r="C56" s="22" t="n">
        <v>0</v>
      </c>
      <c r="D56" s="22" t="n">
        <v>0</v>
      </c>
      <c r="E56" s="9">
        <f>C56-D56</f>
        <v/>
      </c>
      <c r="F56" s="11">
        <f>IFERROR(D56/C56,0)</f>
        <v/>
      </c>
      <c r="G56" s="21" t="inlineStr"/>
    </row>
    <row r="57">
      <c r="A57" s="18" t="inlineStr">
        <is>
          <t>CHILDREN &amp; FAMILY</t>
        </is>
      </c>
      <c r="B57" s="18" t="inlineStr">
        <is>
          <t>Family Outings</t>
        </is>
      </c>
      <c r="C57" s="19" t="n">
        <v>0</v>
      </c>
      <c r="D57" s="19" t="n">
        <v>0</v>
      </c>
      <c r="E57" s="5">
        <f>C57-D57</f>
        <v/>
      </c>
      <c r="F57" s="20">
        <f>IFERROR(D57/C57,0)</f>
        <v/>
      </c>
      <c r="G57" s="18" t="inlineStr"/>
    </row>
    <row r="58">
      <c r="A58" s="21" t="inlineStr">
        <is>
          <t>CHILDREN &amp; FAMILY</t>
        </is>
      </c>
      <c r="B58" s="21" t="inlineStr">
        <is>
          <t>Other</t>
        </is>
      </c>
      <c r="C58" s="22" t="n">
        <v>0</v>
      </c>
      <c r="D58" s="22" t="n">
        <v>0</v>
      </c>
      <c r="E58" s="9">
        <f>C58-D58</f>
        <v/>
      </c>
      <c r="F58" s="11">
        <f>IFERROR(D58/C58,0)</f>
        <v/>
      </c>
      <c r="G58" s="21" t="inlineStr"/>
    </row>
    <row r="59" ht="18" customHeight="1">
      <c r="A59" s="28" t="inlineStr">
        <is>
          <t>CHILDREN &amp; FAMILY TOTAL</t>
        </is>
      </c>
      <c r="C59" s="29">
        <f>SUM(C53:C58)</f>
        <v/>
      </c>
      <c r="D59" s="29">
        <f>SUM(D53:D58)</f>
        <v/>
      </c>
      <c r="E59" s="29">
        <f>C59-D59</f>
        <v/>
      </c>
      <c r="F59" s="30">
        <f>IFERROR(D59/C59,0)</f>
        <v/>
      </c>
      <c r="G59" s="31" t="inlineStr"/>
    </row>
    <row r="60" ht="18" customHeight="1">
      <c r="A60" s="27" t="inlineStr">
        <is>
          <t>SAVINGS &amp; INVESTMENTS</t>
        </is>
      </c>
    </row>
    <row r="61">
      <c r="A61" s="18" t="inlineStr">
        <is>
          <t>SAVINGS &amp; INVESTMENTS</t>
        </is>
      </c>
      <c r="B61" s="18" t="inlineStr">
        <is>
          <t>Emergency Fund</t>
        </is>
      </c>
      <c r="C61" s="19" t="n">
        <v>0</v>
      </c>
      <c r="D61" s="19" t="n">
        <v>0</v>
      </c>
      <c r="E61" s="5">
        <f>C61-D61</f>
        <v/>
      </c>
      <c r="F61" s="20">
        <f>IFERROR(D61/C61,0)</f>
        <v/>
      </c>
      <c r="G61" s="18" t="inlineStr"/>
    </row>
    <row r="62">
      <c r="A62" s="21" t="inlineStr">
        <is>
          <t>SAVINGS &amp; INVESTMENTS</t>
        </is>
      </c>
      <c r="B62" s="21" t="inlineStr">
        <is>
          <t>Pension/IRA</t>
        </is>
      </c>
      <c r="C62" s="22" t="n">
        <v>0</v>
      </c>
      <c r="D62" s="22" t="n">
        <v>0</v>
      </c>
      <c r="E62" s="9">
        <f>C62-D62</f>
        <v/>
      </c>
      <c r="F62" s="11">
        <f>IFERROR(D62/C62,0)</f>
        <v/>
      </c>
      <c r="G62" s="21" t="inlineStr"/>
    </row>
    <row r="63">
      <c r="A63" s="18" t="inlineStr">
        <is>
          <t>SAVINGS &amp; INVESTMENTS</t>
        </is>
      </c>
      <c r="B63" s="18" t="inlineStr">
        <is>
          <t>Stocks &amp; ETFs</t>
        </is>
      </c>
      <c r="C63" s="19" t="n">
        <v>0</v>
      </c>
      <c r="D63" s="19" t="n">
        <v>0</v>
      </c>
      <c r="E63" s="5">
        <f>C63-D63</f>
        <v/>
      </c>
      <c r="F63" s="20">
        <f>IFERROR(D63/C63,0)</f>
        <v/>
      </c>
      <c r="G63" s="18" t="inlineStr"/>
    </row>
    <row r="64">
      <c r="A64" s="21" t="inlineStr">
        <is>
          <t>SAVINGS &amp; INVESTMENTS</t>
        </is>
      </c>
      <c r="B64" s="21" t="inlineStr">
        <is>
          <t>Vacation Fund</t>
        </is>
      </c>
      <c r="C64" s="22" t="n">
        <v>0</v>
      </c>
      <c r="D64" s="22" t="n">
        <v>0</v>
      </c>
      <c r="E64" s="9">
        <f>C64-D64</f>
        <v/>
      </c>
      <c r="F64" s="11">
        <f>IFERROR(D64/C64,0)</f>
        <v/>
      </c>
      <c r="G64" s="21" t="inlineStr"/>
    </row>
    <row r="65">
      <c r="A65" s="18" t="inlineStr">
        <is>
          <t>SAVINGS &amp; INVESTMENTS</t>
        </is>
      </c>
      <c r="B65" s="18" t="inlineStr">
        <is>
          <t>Home Fund</t>
        </is>
      </c>
      <c r="C65" s="19" t="n">
        <v>0</v>
      </c>
      <c r="D65" s="19" t="n">
        <v>0</v>
      </c>
      <c r="E65" s="5">
        <f>C65-D65</f>
        <v/>
      </c>
      <c r="F65" s="20">
        <f>IFERROR(D65/C65,0)</f>
        <v/>
      </c>
      <c r="G65" s="18" t="inlineStr"/>
    </row>
    <row r="66">
      <c r="A66" s="21" t="inlineStr">
        <is>
          <t>SAVINGS &amp; INVESTMENTS</t>
        </is>
      </c>
      <c r="B66" s="21" t="inlineStr">
        <is>
          <t>Other</t>
        </is>
      </c>
      <c r="C66" s="22" t="n">
        <v>0</v>
      </c>
      <c r="D66" s="22" t="n">
        <v>0</v>
      </c>
      <c r="E66" s="9">
        <f>C66-D66</f>
        <v/>
      </c>
      <c r="F66" s="11">
        <f>IFERROR(D66/C66,0)</f>
        <v/>
      </c>
      <c r="G66" s="21" t="inlineStr"/>
    </row>
    <row r="67" ht="18" customHeight="1">
      <c r="A67" s="28" t="inlineStr">
        <is>
          <t>SAVINGS &amp; INVESTMENTS TOTAL</t>
        </is>
      </c>
      <c r="C67" s="29">
        <f>SUM(C61:C66)</f>
        <v/>
      </c>
      <c r="D67" s="29">
        <f>SUM(D61:D66)</f>
        <v/>
      </c>
      <c r="E67" s="29">
        <f>C67-D67</f>
        <v/>
      </c>
      <c r="F67" s="30">
        <f>IFERROR(D67/C67,0)</f>
        <v/>
      </c>
      <c r="G67" s="31" t="inlineStr"/>
    </row>
    <row r="68" ht="18" customHeight="1">
      <c r="A68" s="27" t="inlineStr">
        <is>
          <t>DEBT PAYMENTS</t>
        </is>
      </c>
    </row>
    <row r="69">
      <c r="A69" s="18" t="inlineStr">
        <is>
          <t>DEBT PAYMENTS</t>
        </is>
      </c>
      <c r="B69" s="18" t="inlineStr">
        <is>
          <t>Credit Card 1</t>
        </is>
      </c>
      <c r="C69" s="19" t="n">
        <v>0</v>
      </c>
      <c r="D69" s="19" t="n">
        <v>0</v>
      </c>
      <c r="E69" s="5">
        <f>C69-D69</f>
        <v/>
      </c>
      <c r="F69" s="20">
        <f>IFERROR(D69/C69,0)</f>
        <v/>
      </c>
      <c r="G69" s="18" t="inlineStr"/>
    </row>
    <row r="70">
      <c r="A70" s="21" t="inlineStr">
        <is>
          <t>DEBT PAYMENTS</t>
        </is>
      </c>
      <c r="B70" s="21" t="inlineStr">
        <is>
          <t>Credit Card 2</t>
        </is>
      </c>
      <c r="C70" s="22" t="n">
        <v>0</v>
      </c>
      <c r="D70" s="22" t="n">
        <v>0</v>
      </c>
      <c r="E70" s="9">
        <f>C70-D70</f>
        <v/>
      </c>
      <c r="F70" s="11">
        <f>IFERROR(D70/C70,0)</f>
        <v/>
      </c>
      <c r="G70" s="21" t="inlineStr"/>
    </row>
    <row r="71">
      <c r="A71" s="18" t="inlineStr">
        <is>
          <t>DEBT PAYMENTS</t>
        </is>
      </c>
      <c r="B71" s="18" t="inlineStr">
        <is>
          <t>Student Loan</t>
        </is>
      </c>
      <c r="C71" s="19" t="n">
        <v>0</v>
      </c>
      <c r="D71" s="19" t="n">
        <v>0</v>
      </c>
      <c r="E71" s="5">
        <f>C71-D71</f>
        <v/>
      </c>
      <c r="F71" s="20">
        <f>IFERROR(D71/C71,0)</f>
        <v/>
      </c>
      <c r="G71" s="18" t="inlineStr"/>
    </row>
    <row r="72">
      <c r="A72" s="21" t="inlineStr">
        <is>
          <t>DEBT PAYMENTS</t>
        </is>
      </c>
      <c r="B72" s="21" t="inlineStr">
        <is>
          <t>Car Loan</t>
        </is>
      </c>
      <c r="C72" s="22" t="n">
        <v>0</v>
      </c>
      <c r="D72" s="22" t="n">
        <v>0</v>
      </c>
      <c r="E72" s="9">
        <f>C72-D72</f>
        <v/>
      </c>
      <c r="F72" s="11">
        <f>IFERROR(D72/C72,0)</f>
        <v/>
      </c>
      <c r="G72" s="21" t="inlineStr"/>
    </row>
    <row r="73">
      <c r="A73" s="18" t="inlineStr">
        <is>
          <t>DEBT PAYMENTS</t>
        </is>
      </c>
      <c r="B73" s="18" t="inlineStr">
        <is>
          <t>Personal Loan</t>
        </is>
      </c>
      <c r="C73" s="19" t="n">
        <v>0</v>
      </c>
      <c r="D73" s="19" t="n">
        <v>0</v>
      </c>
      <c r="E73" s="5">
        <f>C73-D73</f>
        <v/>
      </c>
      <c r="F73" s="20">
        <f>IFERROR(D73/C73,0)</f>
        <v/>
      </c>
      <c r="G73" s="18" t="inlineStr"/>
    </row>
    <row r="74">
      <c r="A74" s="21" t="inlineStr">
        <is>
          <t>DEBT PAYMENTS</t>
        </is>
      </c>
      <c r="B74" s="21" t="inlineStr">
        <is>
          <t>Other</t>
        </is>
      </c>
      <c r="C74" s="22" t="n">
        <v>0</v>
      </c>
      <c r="D74" s="22" t="n">
        <v>0</v>
      </c>
      <c r="E74" s="9">
        <f>C74-D74</f>
        <v/>
      </c>
      <c r="F74" s="11">
        <f>IFERROR(D74/C74,0)</f>
        <v/>
      </c>
      <c r="G74" s="21" t="inlineStr"/>
    </row>
    <row r="75" ht="18" customHeight="1">
      <c r="A75" s="28" t="inlineStr">
        <is>
          <t>DEBT PAYMENTS TOTAL</t>
        </is>
      </c>
      <c r="C75" s="29">
        <f>SUM(C69:C74)</f>
        <v/>
      </c>
      <c r="D75" s="29">
        <f>SUM(D69:D74)</f>
        <v/>
      </c>
      <c r="E75" s="29">
        <f>C75-D75</f>
        <v/>
      </c>
      <c r="F75" s="30">
        <f>IFERROR(D75/C75,0)</f>
        <v/>
      </c>
      <c r="G75" s="31" t="inlineStr"/>
    </row>
    <row r="76" ht="22" customHeight="1">
      <c r="A76" s="32" t="inlineStr">
        <is>
          <t>GRAND TOTAL EXPENSES</t>
        </is>
      </c>
      <c r="C76" s="33">
        <f>SUM(C19,C27,C35,C43,C51,C59,C67,C75)</f>
        <v/>
      </c>
      <c r="D76" s="33">
        <f>D19+D27+D35+D43+D51+D59+D67+D75</f>
        <v/>
      </c>
      <c r="E76" s="33">
        <f>C76-D76</f>
        <v/>
      </c>
      <c r="F76" s="34">
        <f>IFERROR(D76/C76,0)</f>
        <v/>
      </c>
      <c r="G76" s="35" t="inlineStr"/>
    </row>
    <row r="77" ht="22" customHeight="1">
      <c r="A77" s="17" t="inlineStr">
        <is>
          <t>NET CASH FLOW</t>
        </is>
      </c>
      <c r="C77" s="36">
        <f>C11-C76</f>
        <v/>
      </c>
      <c r="D77" s="36">
        <f>D11-D76</f>
        <v/>
      </c>
      <c r="E77" s="36">
        <f>C77-D77</f>
        <v/>
      </c>
      <c r="F77" s="37" t="inlineStr"/>
      <c r="G77" s="37" t="inlineStr"/>
    </row>
  </sheetData>
  <mergeCells count="22">
    <mergeCell ref="A59:B59"/>
    <mergeCell ref="A11:B11"/>
    <mergeCell ref="A51:B51"/>
    <mergeCell ref="A4:G4"/>
    <mergeCell ref="A20:G20"/>
    <mergeCell ref="A52:G52"/>
    <mergeCell ref="A68:G68"/>
    <mergeCell ref="A28:G28"/>
    <mergeCell ref="A44:G44"/>
    <mergeCell ref="A75:B75"/>
    <mergeCell ref="A60:G60"/>
    <mergeCell ref="A27:B27"/>
    <mergeCell ref="A36:G36"/>
    <mergeCell ref="A1:G1"/>
    <mergeCell ref="A76:B76"/>
    <mergeCell ref="A35:B35"/>
    <mergeCell ref="A43:B43"/>
    <mergeCell ref="A19:B19"/>
    <mergeCell ref="A12:G12"/>
    <mergeCell ref="A2:G2"/>
    <mergeCell ref="A67:B67"/>
    <mergeCell ref="A77:B7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2" customWidth="1" min="15" max="15"/>
    <col width="12" customWidth="1" min="16" max="16"/>
  </cols>
  <sheetData>
    <row r="1" ht="36" customHeight="1">
      <c r="A1" s="14" t="inlineStr">
        <is>
          <t>ANNUAL BUDGET · 2026</t>
        </is>
      </c>
    </row>
    <row r="2" ht="18" customHeight="1">
      <c r="A2" s="15" t="inlineStr">
        <is>
          <t>Full year comparison across all months</t>
        </is>
      </c>
    </row>
    <row r="3" ht="20" customHeight="1">
      <c r="A3" s="16" t="inlineStr">
        <is>
          <t>LINE ITEM</t>
        </is>
      </c>
      <c r="B3" s="16" t="inlineStr">
        <is>
          <t>Jan</t>
        </is>
      </c>
      <c r="C3" s="16" t="inlineStr">
        <is>
          <t>Feb</t>
        </is>
      </c>
      <c r="D3" s="16" t="inlineStr">
        <is>
          <t>Mar</t>
        </is>
      </c>
      <c r="E3" s="16" t="inlineStr">
        <is>
          <t>Apr</t>
        </is>
      </c>
      <c r="F3" s="16" t="inlineStr">
        <is>
          <t>May</t>
        </is>
      </c>
      <c r="G3" s="16" t="inlineStr">
        <is>
          <t>Jun</t>
        </is>
      </c>
      <c r="H3" s="16" t="inlineStr">
        <is>
          <t>Jul</t>
        </is>
      </c>
      <c r="I3" s="16" t="inlineStr">
        <is>
          <t>Aug</t>
        </is>
      </c>
      <c r="J3" s="16" t="inlineStr">
        <is>
          <t>Sep</t>
        </is>
      </c>
      <c r="K3" s="16" t="inlineStr">
        <is>
          <t>Oct</t>
        </is>
      </c>
      <c r="L3" s="16" t="inlineStr">
        <is>
          <t>Nov</t>
        </is>
      </c>
      <c r="M3" s="16" t="inlineStr">
        <is>
          <t>Dec</t>
        </is>
      </c>
      <c r="N3" s="16" t="inlineStr">
        <is>
          <t>ANNUAL TOTAL</t>
        </is>
      </c>
      <c r="O3" s="16" t="inlineStr">
        <is>
          <t>ANNUAL BUDGET</t>
        </is>
      </c>
      <c r="P3" s="16" t="inlineStr">
        <is>
          <t>VARIANCE</t>
        </is>
      </c>
    </row>
    <row r="4">
      <c r="A4" s="23" t="inlineStr">
        <is>
          <t>INCOME</t>
        </is>
      </c>
      <c r="B4" s="24">
        <f>Jan!D11</f>
        <v/>
      </c>
      <c r="C4" s="24">
        <f>Feb!D11</f>
        <v/>
      </c>
      <c r="D4" s="24">
        <f>Mar!D11</f>
        <v/>
      </c>
      <c r="E4" s="24">
        <f>Apr!D11</f>
        <v/>
      </c>
      <c r="F4" s="24">
        <f>May!D11</f>
        <v/>
      </c>
      <c r="G4" s="24">
        <f>Jun!D11</f>
        <v/>
      </c>
      <c r="H4" s="24">
        <f>Jul!D11</f>
        <v/>
      </c>
      <c r="I4" s="24">
        <f>Aug!D11</f>
        <v/>
      </c>
      <c r="J4" s="24">
        <f>Sep!D11</f>
        <v/>
      </c>
      <c r="K4" s="24">
        <f>Oct!D11</f>
        <v/>
      </c>
      <c r="L4" s="24">
        <f>Nov!D11</f>
        <v/>
      </c>
      <c r="M4" s="24">
        <f>Dec!D11</f>
        <v/>
      </c>
      <c r="N4" s="24">
        <f>SUM(B4:M4)</f>
        <v/>
      </c>
      <c r="O4" s="24" t="n">
        <v>0</v>
      </c>
      <c r="P4" s="24">
        <f>N4-O4</f>
        <v/>
      </c>
    </row>
    <row r="5">
      <c r="A5" s="18" t="inlineStr">
        <is>
          <t>HOUSING</t>
        </is>
      </c>
      <c r="B5" s="5">
        <f>Jan!D19</f>
        <v/>
      </c>
      <c r="C5" s="5">
        <f>Feb!D19</f>
        <v/>
      </c>
      <c r="D5" s="5">
        <f>Mar!D19</f>
        <v/>
      </c>
      <c r="E5" s="5">
        <f>Apr!D19</f>
        <v/>
      </c>
      <c r="F5" s="5">
        <f>May!D19</f>
        <v/>
      </c>
      <c r="G5" s="5">
        <f>Jun!D19</f>
        <v/>
      </c>
      <c r="H5" s="5">
        <f>Jul!D19</f>
        <v/>
      </c>
      <c r="I5" s="5">
        <f>Aug!D19</f>
        <v/>
      </c>
      <c r="J5" s="5">
        <f>Sep!D19</f>
        <v/>
      </c>
      <c r="K5" s="5">
        <f>Oct!D19</f>
        <v/>
      </c>
      <c r="L5" s="5">
        <f>Nov!D19</f>
        <v/>
      </c>
      <c r="M5" s="5">
        <f>Dec!D19</f>
        <v/>
      </c>
      <c r="N5" s="5">
        <f>SUM(B5:M5)</f>
        <v/>
      </c>
      <c r="O5" s="5" t="n">
        <v>0</v>
      </c>
      <c r="P5" s="5">
        <f>N5-O5</f>
        <v/>
      </c>
    </row>
    <row r="6">
      <c r="A6" s="21" t="inlineStr">
        <is>
          <t>TRANSPORT</t>
        </is>
      </c>
      <c r="B6" s="9">
        <f>Jan!D27</f>
        <v/>
      </c>
      <c r="C6" s="9">
        <f>Feb!D27</f>
        <v/>
      </c>
      <c r="D6" s="9">
        <f>Mar!D27</f>
        <v/>
      </c>
      <c r="E6" s="9">
        <f>Apr!D27</f>
        <v/>
      </c>
      <c r="F6" s="9">
        <f>May!D27</f>
        <v/>
      </c>
      <c r="G6" s="9">
        <f>Jun!D27</f>
        <v/>
      </c>
      <c r="H6" s="9">
        <f>Jul!D27</f>
        <v/>
      </c>
      <c r="I6" s="9">
        <f>Aug!D27</f>
        <v/>
      </c>
      <c r="J6" s="9">
        <f>Sep!D27</f>
        <v/>
      </c>
      <c r="K6" s="9">
        <f>Oct!D27</f>
        <v/>
      </c>
      <c r="L6" s="9">
        <f>Nov!D27</f>
        <v/>
      </c>
      <c r="M6" s="9">
        <f>Dec!D27</f>
        <v/>
      </c>
      <c r="N6" s="9">
        <f>SUM(B6:M6)</f>
        <v/>
      </c>
      <c r="O6" s="9" t="n">
        <v>0</v>
      </c>
      <c r="P6" s="9">
        <f>N6-O6</f>
        <v/>
      </c>
    </row>
    <row r="7">
      <c r="A7" s="18" t="inlineStr">
        <is>
          <t>FOOD &amp; DINING</t>
        </is>
      </c>
      <c r="B7" s="5">
        <f>Jan!D35</f>
        <v/>
      </c>
      <c r="C7" s="5">
        <f>Feb!D35</f>
        <v/>
      </c>
      <c r="D7" s="5">
        <f>Mar!D35</f>
        <v/>
      </c>
      <c r="E7" s="5">
        <f>Apr!D35</f>
        <v/>
      </c>
      <c r="F7" s="5">
        <f>May!D35</f>
        <v/>
      </c>
      <c r="G7" s="5">
        <f>Jun!D35</f>
        <v/>
      </c>
      <c r="H7" s="5">
        <f>Jul!D35</f>
        <v/>
      </c>
      <c r="I7" s="5">
        <f>Aug!D35</f>
        <v/>
      </c>
      <c r="J7" s="5">
        <f>Sep!D35</f>
        <v/>
      </c>
      <c r="K7" s="5">
        <f>Oct!D35</f>
        <v/>
      </c>
      <c r="L7" s="5">
        <f>Nov!D35</f>
        <v/>
      </c>
      <c r="M7" s="5">
        <f>Dec!D35</f>
        <v/>
      </c>
      <c r="N7" s="5">
        <f>SUM(B7:M7)</f>
        <v/>
      </c>
      <c r="O7" s="5" t="n">
        <v>0</v>
      </c>
      <c r="P7" s="5">
        <f>N7-O7</f>
        <v/>
      </c>
    </row>
    <row r="8">
      <c r="A8" s="21" t="inlineStr">
        <is>
          <t>HEALTH &amp; WELLNESS</t>
        </is>
      </c>
      <c r="B8" s="9">
        <f>Jan!D43</f>
        <v/>
      </c>
      <c r="C8" s="9">
        <f>Feb!D43</f>
        <v/>
      </c>
      <c r="D8" s="9">
        <f>Mar!D43</f>
        <v/>
      </c>
      <c r="E8" s="9">
        <f>Apr!D43</f>
        <v/>
      </c>
      <c r="F8" s="9">
        <f>May!D43</f>
        <v/>
      </c>
      <c r="G8" s="9">
        <f>Jun!D43</f>
        <v/>
      </c>
      <c r="H8" s="9">
        <f>Jul!D43</f>
        <v/>
      </c>
      <c r="I8" s="9">
        <f>Aug!D43</f>
        <v/>
      </c>
      <c r="J8" s="9">
        <f>Sep!D43</f>
        <v/>
      </c>
      <c r="K8" s="9">
        <f>Oct!D43</f>
        <v/>
      </c>
      <c r="L8" s="9">
        <f>Nov!D43</f>
        <v/>
      </c>
      <c r="M8" s="9">
        <f>Dec!D43</f>
        <v/>
      </c>
      <c r="N8" s="9">
        <f>SUM(B8:M8)</f>
        <v/>
      </c>
      <c r="O8" s="9" t="n">
        <v>0</v>
      </c>
      <c r="P8" s="9">
        <f>N8-O8</f>
        <v/>
      </c>
    </row>
    <row r="9">
      <c r="A9" s="18" t="inlineStr">
        <is>
          <t>LIFESTYLE</t>
        </is>
      </c>
      <c r="B9" s="5">
        <f>Jan!D51</f>
        <v/>
      </c>
      <c r="C9" s="5">
        <f>Feb!D51</f>
        <v/>
      </c>
      <c r="D9" s="5">
        <f>Mar!D51</f>
        <v/>
      </c>
      <c r="E9" s="5">
        <f>Apr!D51</f>
        <v/>
      </c>
      <c r="F9" s="5">
        <f>May!D51</f>
        <v/>
      </c>
      <c r="G9" s="5">
        <f>Jun!D51</f>
        <v/>
      </c>
      <c r="H9" s="5">
        <f>Jul!D51</f>
        <v/>
      </c>
      <c r="I9" s="5">
        <f>Aug!D51</f>
        <v/>
      </c>
      <c r="J9" s="5">
        <f>Sep!D51</f>
        <v/>
      </c>
      <c r="K9" s="5">
        <f>Oct!D51</f>
        <v/>
      </c>
      <c r="L9" s="5">
        <f>Nov!D51</f>
        <v/>
      </c>
      <c r="M9" s="5">
        <f>Dec!D51</f>
        <v/>
      </c>
      <c r="N9" s="5">
        <f>SUM(B9:M9)</f>
        <v/>
      </c>
      <c r="O9" s="5" t="n">
        <v>0</v>
      </c>
      <c r="P9" s="5">
        <f>N9-O9</f>
        <v/>
      </c>
    </row>
    <row r="10">
      <c r="A10" s="21" t="inlineStr">
        <is>
          <t>CHILDREN &amp; FAMILY</t>
        </is>
      </c>
      <c r="B10" s="9">
        <f>Jan!D59</f>
        <v/>
      </c>
      <c r="C10" s="9">
        <f>Feb!D59</f>
        <v/>
      </c>
      <c r="D10" s="9">
        <f>Mar!D59</f>
        <v/>
      </c>
      <c r="E10" s="9">
        <f>Apr!D59</f>
        <v/>
      </c>
      <c r="F10" s="9">
        <f>May!D59</f>
        <v/>
      </c>
      <c r="G10" s="9">
        <f>Jun!D59</f>
        <v/>
      </c>
      <c r="H10" s="9">
        <f>Jul!D59</f>
        <v/>
      </c>
      <c r="I10" s="9">
        <f>Aug!D59</f>
        <v/>
      </c>
      <c r="J10" s="9">
        <f>Sep!D59</f>
        <v/>
      </c>
      <c r="K10" s="9">
        <f>Oct!D59</f>
        <v/>
      </c>
      <c r="L10" s="9">
        <f>Nov!D59</f>
        <v/>
      </c>
      <c r="M10" s="9">
        <f>Dec!D59</f>
        <v/>
      </c>
      <c r="N10" s="9">
        <f>SUM(B10:M10)</f>
        <v/>
      </c>
      <c r="O10" s="9" t="n">
        <v>0</v>
      </c>
      <c r="P10" s="9">
        <f>N10-O10</f>
        <v/>
      </c>
    </row>
    <row r="11">
      <c r="A11" s="18" t="inlineStr">
        <is>
          <t>SAVINGS &amp; INVESTMENTS</t>
        </is>
      </c>
      <c r="B11" s="5">
        <f>Jan!D67</f>
        <v/>
      </c>
      <c r="C11" s="5">
        <f>Feb!D67</f>
        <v/>
      </c>
      <c r="D11" s="5">
        <f>Mar!D67</f>
        <v/>
      </c>
      <c r="E11" s="5">
        <f>Apr!D67</f>
        <v/>
      </c>
      <c r="F11" s="5">
        <f>May!D67</f>
        <v/>
      </c>
      <c r="G11" s="5">
        <f>Jun!D67</f>
        <v/>
      </c>
      <c r="H11" s="5">
        <f>Jul!D67</f>
        <v/>
      </c>
      <c r="I11" s="5">
        <f>Aug!D67</f>
        <v/>
      </c>
      <c r="J11" s="5">
        <f>Sep!D67</f>
        <v/>
      </c>
      <c r="K11" s="5">
        <f>Oct!D67</f>
        <v/>
      </c>
      <c r="L11" s="5">
        <f>Nov!D67</f>
        <v/>
      </c>
      <c r="M11" s="5">
        <f>Dec!D67</f>
        <v/>
      </c>
      <c r="N11" s="5">
        <f>SUM(B11:M11)</f>
        <v/>
      </c>
      <c r="O11" s="5" t="n">
        <v>0</v>
      </c>
      <c r="P11" s="5">
        <f>N11-O11</f>
        <v/>
      </c>
    </row>
    <row r="12">
      <c r="A12" s="21" t="inlineStr">
        <is>
          <t>DEBT PAYMENTS</t>
        </is>
      </c>
      <c r="B12" s="9">
        <f>Jan!D75</f>
        <v/>
      </c>
      <c r="C12" s="9">
        <f>Feb!D75</f>
        <v/>
      </c>
      <c r="D12" s="9">
        <f>Mar!D75</f>
        <v/>
      </c>
      <c r="E12" s="9">
        <f>Apr!D75</f>
        <v/>
      </c>
      <c r="F12" s="9">
        <f>May!D75</f>
        <v/>
      </c>
      <c r="G12" s="9">
        <f>Jun!D75</f>
        <v/>
      </c>
      <c r="H12" s="9">
        <f>Jul!D75</f>
        <v/>
      </c>
      <c r="I12" s="9">
        <f>Aug!D75</f>
        <v/>
      </c>
      <c r="J12" s="9">
        <f>Sep!D75</f>
        <v/>
      </c>
      <c r="K12" s="9">
        <f>Oct!D75</f>
        <v/>
      </c>
      <c r="L12" s="9">
        <f>Nov!D75</f>
        <v/>
      </c>
      <c r="M12" s="9">
        <f>Dec!D75</f>
        <v/>
      </c>
      <c r="N12" s="9">
        <f>SUM(B12:M12)</f>
        <v/>
      </c>
      <c r="O12" s="9" t="n">
        <v>0</v>
      </c>
      <c r="P12" s="9">
        <f>N12-O12</f>
        <v/>
      </c>
    </row>
    <row r="13">
      <c r="A13" s="38" t="inlineStr">
        <is>
          <t>GRAND TOTAL EXPENSES</t>
        </is>
      </c>
      <c r="B13" s="39">
        <f>Jan!D76</f>
        <v/>
      </c>
      <c r="C13" s="39">
        <f>Feb!D76</f>
        <v/>
      </c>
      <c r="D13" s="39">
        <f>Mar!D76</f>
        <v/>
      </c>
      <c r="E13" s="39">
        <f>Apr!D76</f>
        <v/>
      </c>
      <c r="F13" s="39">
        <f>May!D76</f>
        <v/>
      </c>
      <c r="G13" s="39">
        <f>Jun!D76</f>
        <v/>
      </c>
      <c r="H13" s="39">
        <f>Jul!D76</f>
        <v/>
      </c>
      <c r="I13" s="39">
        <f>Aug!D76</f>
        <v/>
      </c>
      <c r="J13" s="39">
        <f>Sep!D76</f>
        <v/>
      </c>
      <c r="K13" s="39">
        <f>Oct!D76</f>
        <v/>
      </c>
      <c r="L13" s="39">
        <f>Nov!D76</f>
        <v/>
      </c>
      <c r="M13" s="39">
        <f>Dec!D76</f>
        <v/>
      </c>
      <c r="N13" s="39">
        <f>SUM(B13:M13)</f>
        <v/>
      </c>
      <c r="O13" s="39" t="n">
        <v>0</v>
      </c>
      <c r="P13" s="39">
        <f>N13-O13</f>
        <v/>
      </c>
    </row>
    <row r="14">
      <c r="A14" s="40" t="inlineStr">
        <is>
          <t>NET CASH FLOW</t>
        </is>
      </c>
      <c r="B14" s="41">
        <f>Jan!D77</f>
        <v/>
      </c>
      <c r="C14" s="41">
        <f>Feb!D77</f>
        <v/>
      </c>
      <c r="D14" s="41">
        <f>Mar!D77</f>
        <v/>
      </c>
      <c r="E14" s="41">
        <f>Apr!D77</f>
        <v/>
      </c>
      <c r="F14" s="41">
        <f>May!D77</f>
        <v/>
      </c>
      <c r="G14" s="41">
        <f>Jun!D77</f>
        <v/>
      </c>
      <c r="H14" s="41">
        <f>Jul!D77</f>
        <v/>
      </c>
      <c r="I14" s="41">
        <f>Aug!D77</f>
        <v/>
      </c>
      <c r="J14" s="41">
        <f>Sep!D77</f>
        <v/>
      </c>
      <c r="K14" s="41">
        <f>Oct!D77</f>
        <v/>
      </c>
      <c r="L14" s="41">
        <f>Nov!D77</f>
        <v/>
      </c>
      <c r="M14" s="41">
        <f>Dec!D77</f>
        <v/>
      </c>
      <c r="N14" s="41">
        <f>SUM(B14:M14)</f>
        <v/>
      </c>
      <c r="O14" s="41" t="n">
        <v>0</v>
      </c>
      <c r="P14" s="41">
        <f>N14-O14</f>
        <v/>
      </c>
    </row>
  </sheetData>
  <mergeCells count="2">
    <mergeCell ref="A1:P1"/>
    <mergeCell ref="A2:P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 ht="36" customHeight="1">
      <c r="A1" s="42" t="inlineStr">
        <is>
          <t>SAVINGS TRACKER · 2026</t>
        </is>
      </c>
    </row>
    <row r="2" ht="18" customHeight="1">
      <c r="A2" s="15" t="inlineStr">
        <is>
          <t>Monitor your progress towards financial goals</t>
        </is>
      </c>
    </row>
    <row r="3" ht="20" customHeight="1">
      <c r="A3" s="16" t="inlineStr">
        <is>
          <t>SAVINGS GOAL</t>
        </is>
      </c>
      <c r="B3" s="16" t="inlineStr">
        <is>
          <t>TARGET</t>
        </is>
      </c>
      <c r="C3" s="16" t="inlineStr">
        <is>
          <t>SAVED SO FAR</t>
        </is>
      </c>
      <c r="D3" s="16" t="inlineStr">
        <is>
          <t>MONTHLY CONTRIB</t>
        </is>
      </c>
      <c r="E3" s="16" t="inlineStr">
        <is>
          <t>TARGET DATE</t>
        </is>
      </c>
      <c r="F3" s="16" t="inlineStr">
        <is>
          <t>% COMPLETE</t>
        </is>
      </c>
      <c r="G3" s="16" t="inlineStr">
        <is>
          <t>PROGRESS</t>
        </is>
      </c>
      <c r="H3" s="16" t="inlineStr">
        <is>
          <t>PRIORITY</t>
        </is>
      </c>
    </row>
    <row r="4">
      <c r="A4" s="4" t="inlineStr">
        <is>
          <t>Emergency Fund</t>
        </is>
      </c>
      <c r="B4" s="5" t="n">
        <v>50000</v>
      </c>
      <c r="C4" s="19" t="n">
        <v>0</v>
      </c>
      <c r="D4" s="19" t="n">
        <v>0</v>
      </c>
      <c r="E4" s="43" t="inlineStr">
        <is>
          <t>2026-12-31</t>
        </is>
      </c>
      <c r="F4" s="44">
        <f>IFERROR(C4/B4,0)</f>
        <v/>
      </c>
      <c r="G4" s="45">
        <f>REPT(CHAR(9608),ROUND(F4*10,0))&amp;REPT(CHAR(9617),10-ROUND(F4*10,0))</f>
        <v/>
      </c>
      <c r="H4" s="46" t="inlineStr">
        <is>
          <t>High</t>
        </is>
      </c>
    </row>
    <row r="5">
      <c r="A5" s="47" t="inlineStr">
        <is>
          <t>Vacation — Japan</t>
        </is>
      </c>
      <c r="B5" s="48" t="n">
        <v>25000</v>
      </c>
      <c r="C5" s="49" t="n">
        <v>0</v>
      </c>
      <c r="D5" s="49" t="n">
        <v>0</v>
      </c>
      <c r="E5" s="50" t="inlineStr">
        <is>
          <t>2026-12-31</t>
        </is>
      </c>
      <c r="F5" s="51">
        <f>IFERROR(C5/B5,0)</f>
        <v/>
      </c>
      <c r="G5" s="52">
        <f>REPT(CHAR(9608),ROUND(F5*10,0))&amp;REPT(CHAR(9617),10-ROUND(F5*10,0))</f>
        <v/>
      </c>
      <c r="H5" s="53" t="inlineStr">
        <is>
          <t>High</t>
        </is>
      </c>
    </row>
    <row r="6">
      <c r="A6" s="4" t="inlineStr">
        <is>
          <t>Home Down Payment</t>
        </is>
      </c>
      <c r="B6" s="5" t="n">
        <v>250000</v>
      </c>
      <c r="C6" s="19" t="n">
        <v>0</v>
      </c>
      <c r="D6" s="19" t="n">
        <v>0</v>
      </c>
      <c r="E6" s="43" t="inlineStr">
        <is>
          <t>2026-12-31</t>
        </is>
      </c>
      <c r="F6" s="44">
        <f>IFERROR(C6/B6,0)</f>
        <v/>
      </c>
      <c r="G6" s="45">
        <f>REPT(CHAR(9608),ROUND(F6*10,0))&amp;REPT(CHAR(9617),10-ROUND(F6*10,0))</f>
        <v/>
      </c>
      <c r="H6" s="46" t="inlineStr">
        <is>
          <t>High</t>
        </is>
      </c>
    </row>
    <row r="7">
      <c r="A7" s="47" t="inlineStr">
        <is>
          <t>New Car</t>
        </is>
      </c>
      <c r="B7" s="48" t="n">
        <v>80000</v>
      </c>
      <c r="C7" s="49" t="n">
        <v>0</v>
      </c>
      <c r="D7" s="49" t="n">
        <v>0</v>
      </c>
      <c r="E7" s="50" t="inlineStr">
        <is>
          <t>2026-12-31</t>
        </is>
      </c>
      <c r="F7" s="51">
        <f>IFERROR(C7/B7,0)</f>
        <v/>
      </c>
      <c r="G7" s="52">
        <f>REPT(CHAR(9608),ROUND(F7*10,0))&amp;REPT(CHAR(9617),10-ROUND(F7*10,0))</f>
        <v/>
      </c>
      <c r="H7" s="54" t="inlineStr">
        <is>
          <t>Medium</t>
        </is>
      </c>
    </row>
    <row r="8">
      <c r="A8" s="4" t="inlineStr">
        <is>
          <t>Retirement Boost</t>
        </is>
      </c>
      <c r="B8" s="5" t="n">
        <v>100000</v>
      </c>
      <c r="C8" s="19" t="n">
        <v>0</v>
      </c>
      <c r="D8" s="19" t="n">
        <v>0</v>
      </c>
      <c r="E8" s="43" t="inlineStr">
        <is>
          <t>2026-12-31</t>
        </is>
      </c>
      <c r="F8" s="44">
        <f>IFERROR(C8/B8,0)</f>
        <v/>
      </c>
      <c r="G8" s="45">
        <f>REPT(CHAR(9608),ROUND(F8*10,0))&amp;REPT(CHAR(9617),10-ROUND(F8*10,0))</f>
        <v/>
      </c>
      <c r="H8" s="46" t="inlineStr">
        <is>
          <t>High</t>
        </is>
      </c>
    </row>
    <row r="9">
      <c r="A9" s="47" t="inlineStr">
        <is>
          <t>Education Fund</t>
        </is>
      </c>
      <c r="B9" s="48" t="n">
        <v>40000</v>
      </c>
      <c r="C9" s="49" t="n">
        <v>0</v>
      </c>
      <c r="D9" s="49" t="n">
        <v>0</v>
      </c>
      <c r="E9" s="50" t="inlineStr">
        <is>
          <t>2026-12-31</t>
        </is>
      </c>
      <c r="F9" s="51">
        <f>IFERROR(C9/B9,0)</f>
        <v/>
      </c>
      <c r="G9" s="52">
        <f>REPT(CHAR(9608),ROUND(F9*10,0))&amp;REPT(CHAR(9617),10-ROUND(F9*10,0))</f>
        <v/>
      </c>
      <c r="H9" s="54" t="inlineStr">
        <is>
          <t>Medium</t>
        </is>
      </c>
    </row>
    <row r="10">
      <c r="A10" s="4" t="inlineStr">
        <is>
          <t>Wedding Fund</t>
        </is>
      </c>
      <c r="B10" s="5" t="n">
        <v>60000</v>
      </c>
      <c r="C10" s="19" t="n">
        <v>0</v>
      </c>
      <c r="D10" s="19" t="n">
        <v>0</v>
      </c>
      <c r="E10" s="43" t="inlineStr">
        <is>
          <t>2026-12-31</t>
        </is>
      </c>
      <c r="F10" s="44">
        <f>IFERROR(C10/B10,0)</f>
        <v/>
      </c>
      <c r="G10" s="45">
        <f>REPT(CHAR(9608),ROUND(F10*10,0))&amp;REPT(CHAR(9617),10-ROUND(F10*10,0))</f>
        <v/>
      </c>
      <c r="H10" s="55" t="inlineStr">
        <is>
          <t>Low</t>
        </is>
      </c>
    </row>
    <row r="11">
      <c r="A11" s="47" t="inlineStr">
        <is>
          <t>Home Renovation</t>
        </is>
      </c>
      <c r="B11" s="48" t="n">
        <v>35000</v>
      </c>
      <c r="C11" s="49" t="n">
        <v>0</v>
      </c>
      <c r="D11" s="49" t="n">
        <v>0</v>
      </c>
      <c r="E11" s="50" t="inlineStr">
        <is>
          <t>2026-12-31</t>
        </is>
      </c>
      <c r="F11" s="51">
        <f>IFERROR(C11/B11,0)</f>
        <v/>
      </c>
      <c r="G11" s="52">
        <f>REPT(CHAR(9608),ROUND(F11*10,0))&amp;REPT(CHAR(9617),10-ROUND(F11*10,0))</f>
        <v/>
      </c>
      <c r="H11" s="54" t="inlineStr">
        <is>
          <t>Medium</t>
        </is>
      </c>
    </row>
    <row r="12" ht="20" customHeight="1">
      <c r="A12" s="38" t="inlineStr">
        <is>
          <t>TOTALS</t>
        </is>
      </c>
      <c r="B12" s="39">
        <f>SUM(B4:B11)</f>
        <v/>
      </c>
      <c r="C12" s="39">
        <f>SUM(C4:C11)</f>
        <v/>
      </c>
      <c r="D12" s="39">
        <f>SUM(D4:D11)</f>
        <v/>
      </c>
      <c r="E12" s="35" t="inlineStr"/>
      <c r="F12" s="35" t="inlineStr"/>
      <c r="G12" s="35" t="inlineStr"/>
      <c r="H12" s="35" t="inlineStr"/>
    </row>
  </sheetData>
  <mergeCells count="3">
    <mergeCell ref="A2:H2"/>
    <mergeCell ref="A1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2026-06-22T21:46:43Z</dcterms:created>
  <dcterms:modified xsi:type="dcterms:W3CDTF">2026-06-22T21:46:43Z</dcterms:modified>
</cp:coreProperties>
</file>