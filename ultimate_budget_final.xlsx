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Jan" sheetId="2" state="visible" r:id="rId2"/>
    <sheet name="Feb" sheetId="3" state="visible" r:id="rId3"/>
    <sheet name="Mar" sheetId="4" state="visible" r:id="rId4"/>
    <sheet name="Apr" sheetId="5" state="visible" r:id="rId5"/>
    <sheet name="May" sheetId="6" state="visible" r:id="rId6"/>
    <sheet name="Jun" sheetId="7" state="visible" r:id="rId7"/>
    <sheet name="Jul" sheetId="8" state="visible" r:id="rId8"/>
    <sheet name="Aug" sheetId="9" state="visible" r:id="rId9"/>
    <sheet name="Sep" sheetId="10" state="visible" r:id="rId10"/>
    <sheet name="Oct" sheetId="11" state="visible" r:id="rId11"/>
    <sheet name="Nov" sheetId="12" state="visible" r:id="rId12"/>
    <sheet name="Dec" sheetId="13" state="visible" r:id="rId13"/>
    <sheet name="Annual Overview" sheetId="14" state="visible" r:id="rId14"/>
    <sheet name="Debt Tracker" sheetId="15" state="visible" r:id="rId15"/>
    <sheet name="Bill Calendar" sheetId="16" state="visible" r:id="rId16"/>
    <sheet name="Savings Goals" sheetId="17" state="visible" r:id="rId17"/>
    <sheet name="Spending Tracke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;&quot;-&quot;"/>
    <numFmt numFmtId="165" formatCode="0.0%;[RED]-0.0%;&quot;-&quot;"/>
    <numFmt numFmtId="166" formatCode="0.0"/>
    <numFmt numFmtId="167" formatCode="DD/MM/YYYY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2A2A2A"/>
      <sz val="9"/>
    </font>
    <font>
      <name val="Calibri"/>
      <color rgb="001A4FA0"/>
      <sz val="9"/>
    </font>
    <font>
      <name val="Calibri"/>
      <b val="1"/>
      <color rgb="002A2A2A"/>
      <sz val="9"/>
    </font>
    <font>
      <name val="Calibri"/>
      <color rgb="00FFFFFF"/>
      <sz val="9"/>
    </font>
    <font>
      <name val="Calibri"/>
      <b val="1"/>
      <color rgb="00FFFFFF"/>
      <sz val="11"/>
    </font>
    <font>
      <name val="Calibri"/>
      <b val="1"/>
      <color rgb="002A2A2A"/>
      <sz val="10"/>
    </font>
    <font>
      <name val="Calibri"/>
      <color rgb="001E8449"/>
      <sz val="9"/>
    </font>
    <font>
      <name val="Calibri"/>
      <b val="1"/>
      <color rgb="00FFFFFF"/>
      <sz val="18"/>
    </font>
    <font>
      <name val="Calibri"/>
      <b val="1"/>
      <color rgb="002A2A2A"/>
      <sz val="16"/>
    </font>
    <font>
      <name val="Calibri"/>
      <color rgb="003D5C3A"/>
      <sz val="11"/>
    </font>
    <font>
      <name val="Calibri"/>
      <b val="1"/>
      <color rgb="001E8449"/>
      <sz val="9"/>
    </font>
  </fonts>
  <fills count="12">
    <fill>
      <patternFill/>
    </fill>
    <fill>
      <patternFill patternType="gray125"/>
    </fill>
    <fill>
      <patternFill patternType="solid">
        <fgColor rgb="003D5C3A"/>
      </patternFill>
    </fill>
    <fill>
      <patternFill patternType="solid">
        <fgColor rgb="00BFA06A"/>
      </patternFill>
    </fill>
    <fill>
      <patternFill patternType="solid">
        <fgColor rgb="00B05E3A"/>
      </patternFill>
    </fill>
    <fill>
      <patternFill patternType="solid">
        <fgColor rgb="00EEF4E8"/>
      </patternFill>
    </fill>
    <fill>
      <patternFill patternType="solid">
        <fgColor rgb="00FFFFFF"/>
      </patternFill>
    </fill>
    <fill>
      <patternFill patternType="solid">
        <fgColor rgb="00C8DDB8"/>
      </patternFill>
    </fill>
    <fill>
      <patternFill patternType="solid">
        <fgColor rgb="005C8A52"/>
      </patternFill>
    </fill>
    <fill>
      <patternFill patternType="solid">
        <fgColor rgb="00EDD5C5"/>
      </patternFill>
    </fill>
    <fill>
      <patternFill patternType="solid">
        <fgColor rgb="00FAF7F2"/>
      </patternFill>
    </fill>
    <fill>
      <patternFill patternType="solid">
        <fgColor rgb="00EEEEEE"/>
      </patternFill>
    </fill>
  </fills>
  <borders count="4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  <border>
      <left style="thin">
        <color rgb="00DCDCDC"/>
      </left>
      <right style="thin">
        <color rgb="00DCDCDC"/>
      </right>
      <top style="thin">
        <color rgb="00DCDCDC"/>
      </top>
      <bottom style="medium">
        <color rgb="005C8A52"/>
      </bottom>
    </border>
    <border>
      <left style="thin">
        <color rgb="00DCDCDC"/>
      </left>
      <right style="thin">
        <color rgb="00DCDCDC"/>
      </right>
      <top style="thin">
        <color rgb="00DCDCDC"/>
      </top>
      <bottom style="medium">
        <color rgb="00BFA06A"/>
      </bottom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10" borderId="0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0" borderId="0" pivotButton="0" quotePrefix="0" xfId="0"/>
    <xf numFmtId="164" fontId="5" fillId="0" borderId="0" pivotButton="0" quotePrefix="0" xfId="0"/>
    <xf numFmtId="164" fontId="1" fillId="2" borderId="1" applyAlignment="1" pivotButton="0" quotePrefix="0" xfId="0">
      <alignment horizontal="center" vertical="center"/>
    </xf>
    <xf numFmtId="164" fontId="1" fillId="4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7" fillId="3" borderId="1" applyAlignment="1" pivotButton="0" quotePrefix="0" xfId="0">
      <alignment horizontal="center" vertical="center"/>
    </xf>
    <xf numFmtId="0" fontId="0" fillId="3" borderId="1" pivotButton="0" quotePrefix="0" xfId="0"/>
    <xf numFmtId="164" fontId="1" fillId="8" borderId="1" applyAlignment="1" pivotButton="0" quotePrefix="0" xfId="0">
      <alignment horizontal="center" vertical="center"/>
    </xf>
    <xf numFmtId="165" fontId="13" fillId="3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0" fillId="5" borderId="1" pivotButton="0" quotePrefix="0" xfId="0"/>
    <xf numFmtId="164" fontId="6" fillId="5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/>
    </xf>
    <xf numFmtId="0" fontId="0" fillId="9" borderId="1" pivotButton="0" quotePrefix="0" xfId="0"/>
    <xf numFmtId="164" fontId="6" fillId="9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0" fontId="0" fillId="6" borderId="1" pivotButton="0" quotePrefix="0" xfId="0"/>
    <xf numFmtId="164" fontId="5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right" vertical="center"/>
    </xf>
    <xf numFmtId="0" fontId="7" fillId="0" borderId="0" pivotButton="0" quotePrefix="0" xfId="0"/>
    <xf numFmtId="164" fontId="0" fillId="0" borderId="0" pivotButton="0" quotePrefix="0" xfId="0"/>
    <xf numFmtId="165" fontId="5" fillId="5" borderId="1" applyAlignment="1" pivotButton="0" quotePrefix="0" xfId="0">
      <alignment horizontal="right" vertical="center"/>
    </xf>
    <xf numFmtId="164" fontId="11" fillId="9" borderId="1" applyAlignment="1" pivotButton="0" quotePrefix="0" xfId="0">
      <alignment horizontal="right" vertical="center"/>
    </xf>
    <xf numFmtId="164" fontId="11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0" fillId="7" borderId="1" pivotButton="0" quotePrefix="0" xfId="0"/>
    <xf numFmtId="164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/>
    </xf>
    <xf numFmtId="164" fontId="8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164" fontId="8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indent="1"/>
    </xf>
    <xf numFmtId="164" fontId="7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indent="1"/>
    </xf>
    <xf numFmtId="164" fontId="7" fillId="6" borderId="1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/>
    </xf>
    <xf numFmtId="164" fontId="7" fillId="9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/>
    </xf>
    <xf numFmtId="164" fontId="3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 indent="1"/>
    </xf>
    <xf numFmtId="49" fontId="11" fillId="5" borderId="1" applyAlignment="1" pivotButton="0" quotePrefix="0" xfId="0">
      <alignment horizontal="right" vertical="center"/>
    </xf>
    <xf numFmtId="49" fontId="11" fillId="6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49" fontId="6" fillId="9" borderId="1" applyAlignment="1" pivotButton="0" quotePrefix="0" xfId="0">
      <alignment horizontal="right" vertical="center"/>
    </xf>
    <xf numFmtId="165" fontId="6" fillId="9" borderId="1" applyAlignment="1" pivotButton="0" quotePrefix="0" xfId="0">
      <alignment horizontal="right" vertical="center"/>
    </xf>
    <xf numFmtId="167" fontId="6" fillId="9" borderId="1" applyAlignment="1" pivotButton="0" quotePrefix="0" xfId="0">
      <alignment horizontal="right" vertical="center"/>
    </xf>
    <xf numFmtId="49" fontId="6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167" fontId="6" fillId="6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/>
    </xf>
    <xf numFmtId="167" fontId="6" fillId="5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164" fontId="6" fillId="10" borderId="1" applyAlignment="1" pivotButton="0" quotePrefix="0" xfId="0">
      <alignment horizontal="right" vertical="center"/>
    </xf>
    <xf numFmtId="167" fontId="6" fillId="10" borderId="1" applyAlignment="1" pivotButton="0" quotePrefix="0" xfId="0">
      <alignment horizontal="right" vertical="center"/>
    </xf>
    <xf numFmtId="165" fontId="5" fillId="10" borderId="1" applyAlignment="1" pivotButton="0" quotePrefix="0" xfId="0">
      <alignment horizontal="right" vertical="center"/>
    </xf>
    <xf numFmtId="0" fontId="14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49" fontId="7" fillId="7" borderId="2" applyAlignment="1" pivotButton="0" quotePrefix="0" xfId="0">
      <alignment horizontal="left" vertical="center"/>
    </xf>
    <xf numFmtId="164" fontId="7" fillId="7" borderId="2" applyAlignment="1" pivotButton="0" quotePrefix="0" xfId="0">
      <alignment horizontal="right" vertical="center"/>
    </xf>
    <xf numFmtId="165" fontId="7" fillId="7" borderId="2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11" borderId="1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6">
    <dxf>
      <font>
        <name val="Calibri"/>
        <color rgb="003D5C3A"/>
        <sz val="9"/>
      </font>
      <fill>
        <patternFill patternType="solid">
          <fgColor rgb="00C8DDB8"/>
        </patternFill>
      </fill>
    </dxf>
    <dxf>
      <font>
        <name val="Calibri"/>
        <b val="1"/>
        <color rgb="00BFA06A"/>
        <sz val="9"/>
      </font>
    </dxf>
    <dxf>
      <fill>
        <patternFill patternType="solid">
          <fgColor rgb="00EDD5C5"/>
        </patternFill>
      </fill>
    </dxf>
    <dxf>
      <fill>
        <patternFill patternType="solid">
          <fgColor rgb="00EEF4E8"/>
        </patternFill>
      </fill>
    </dxf>
    <dxf>
      <fill>
        <patternFill patternType="solid">
          <fgColor rgb="00FAF7F2"/>
        </patternFill>
      </fill>
    </dxf>
    <dxf>
      <font>
        <name val="Calibri"/>
        <b val="1"/>
        <color rgb="003D5C3A"/>
        <sz val="9"/>
      </font>
      <fill>
        <patternFill patternType="solid">
          <fgColor rgb="00C8DDB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Expense Distribution — January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'Dashboard'!$K$3:$K$10</f>
            </numRef>
          </cat>
          <val>
            <numRef>
              <f>'Dashboard'!$L$3:$L$10</f>
            </numRef>
          </val>
        </ser>
        <firstSliceAng val="0"/>
        <holeSize val="55"/>
      </doughnutChart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Annual Income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'Dashboard'!L12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'Dashboard'!$K$13:$K$24</f>
            </numRef>
          </cat>
          <val>
            <numRef>
              <f>'Dashboard'!$L$13:$L$24</f>
            </numRef>
          </val>
        </ser>
        <ser>
          <idx val="1"/>
          <order val="1"/>
          <tx>
            <strRef>
              <f>'Dashboard'!M12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'Dashboard'!$K$13:$K$24</f>
            </numRef>
          </cat>
          <val>
            <numRef>
              <f>'Dashboard'!$M$13:$M$24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January · Budget vs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'Jan'!J68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'Jan'!$I$69:$I$76</f>
            </numRef>
          </cat>
          <val>
            <numRef>
              <f>'Jan'!$J$69:$J$76</f>
            </numRef>
          </val>
        </ser>
        <ser>
          <idx val="1"/>
          <order val="1"/>
          <tx>
            <strRef>
              <f>'Jan'!K68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'Jan'!$I$69:$I$76</f>
            </numRef>
          </cat>
          <val>
            <numRef>
              <f>'Jan'!$K$69:$K$76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February · Budget vs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'Feb'!J68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'Feb'!$I$69:$I$76</f>
            </numRef>
          </cat>
          <val>
            <numRef>
              <f>'Feb'!$J$69:$J$76</f>
            </numRef>
          </val>
        </ser>
        <ser>
          <idx val="1"/>
          <order val="1"/>
          <tx>
            <strRef>
              <f>'Feb'!K68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'Feb'!$I$69:$I$76</f>
            </numRef>
          </cat>
          <val>
            <numRef>
              <f>'Feb'!$K$69:$K$76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March · Budget vs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'Mar'!J68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'Mar'!$I$69:$I$76</f>
            </numRef>
          </cat>
          <val>
            <numRef>
              <f>'Mar'!$J$69:$J$76</f>
            </numRef>
          </val>
        </ser>
        <ser>
          <idx val="1"/>
          <order val="1"/>
          <tx>
            <strRef>
              <f>'Mar'!K68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'Mar'!$I$69:$I$76</f>
            </numRef>
          </cat>
          <val>
            <numRef>
              <f>'Mar'!$K$69:$K$76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April · Budget vs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'Apr'!J68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'Apr'!$I$69:$I$76</f>
            </numRef>
          </cat>
          <val>
            <numRef>
              <f>'Apr'!$J$69:$J$76</f>
            </numRef>
          </val>
        </ser>
        <ser>
          <idx val="1"/>
          <order val="1"/>
          <tx>
            <strRef>
              <f>'Apr'!K68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'Apr'!$I$69:$I$76</f>
            </numRef>
          </cat>
          <val>
            <numRef>
              <f>'Apr'!$K$69:$K$76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May · Budget vs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'May'!J68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'May'!$I$69:$I$76</f>
            </numRef>
          </cat>
          <val>
            <numRef>
              <f>'May'!$J$69:$J$76</f>
            </numRef>
          </val>
        </ser>
        <ser>
          <idx val="1"/>
          <order val="1"/>
          <tx>
            <strRef>
              <f>'May'!K68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'May'!$I$69:$I$76</f>
            </numRef>
          </cat>
          <val>
            <numRef>
              <f>'May'!$K$69:$K$76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June · Budget vs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'Jun'!J68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'Jun'!$I$69:$I$76</f>
            </numRef>
          </cat>
          <val>
            <numRef>
              <f>'Jun'!$J$69:$J$76</f>
            </numRef>
          </val>
        </ser>
        <ser>
          <idx val="1"/>
          <order val="1"/>
          <tx>
            <strRef>
              <f>'Jun'!K68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'Jun'!$I$69:$I$76</f>
            </numRef>
          </cat>
          <val>
            <numRef>
              <f>'Jun'!$K$69:$K$76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July · Budget vs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'Jul'!J68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'Jul'!$I$69:$I$76</f>
            </numRef>
          </cat>
          <val>
            <numRef>
              <f>'Jul'!$J$69:$J$76</f>
            </numRef>
          </val>
        </ser>
        <ser>
          <idx val="1"/>
          <order val="1"/>
          <tx>
            <strRef>
              <f>'Jul'!K68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'Jul'!$I$69:$I$76</f>
            </numRef>
          </cat>
          <val>
            <numRef>
              <f>'Jul'!$K$69:$K$76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August · Budget vs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'Aug'!J68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'Aug'!$I$69:$I$76</f>
            </numRef>
          </cat>
          <val>
            <numRef>
              <f>'Aug'!$J$69:$J$76</f>
            </numRef>
          </val>
        </ser>
        <ser>
          <idx val="1"/>
          <order val="1"/>
          <tx>
            <strRef>
              <f>'Aug'!K68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'Aug'!$I$69:$I$76</f>
            </numRef>
          </cat>
          <val>
            <numRef>
              <f>'Aug'!$K$69:$K$76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September · Budget vs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'Sep'!J68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'Sep'!$I$69:$I$76</f>
            </numRef>
          </cat>
          <val>
            <numRef>
              <f>'Sep'!$J$69:$J$76</f>
            </numRef>
          </val>
        </ser>
        <ser>
          <idx val="1"/>
          <order val="1"/>
          <tx>
            <strRef>
              <f>'Sep'!K68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'Sep'!$I$69:$I$76</f>
            </numRef>
          </cat>
          <val>
            <numRef>
              <f>'Sep'!$K$69:$K$76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October · Budget vs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'Oct'!J68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'Oct'!$I$69:$I$76</f>
            </numRef>
          </cat>
          <val>
            <numRef>
              <f>'Oct'!$J$69:$J$76</f>
            </numRef>
          </val>
        </ser>
        <ser>
          <idx val="1"/>
          <order val="1"/>
          <tx>
            <strRef>
              <f>'Oct'!K68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'Oct'!$I$69:$I$76</f>
            </numRef>
          </cat>
          <val>
            <numRef>
              <f>'Oct'!$K$69:$K$76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November · Budget vs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'Nov'!J68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'Nov'!$I$69:$I$76</f>
            </numRef>
          </cat>
          <val>
            <numRef>
              <f>'Nov'!$J$69:$J$76</f>
            </numRef>
          </val>
        </ser>
        <ser>
          <idx val="1"/>
          <order val="1"/>
          <tx>
            <strRef>
              <f>'Nov'!K68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'Nov'!$I$69:$I$76</f>
            </numRef>
          </cat>
          <val>
            <numRef>
              <f>'Nov'!$K$69:$K$76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December · Budget vs Actual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'Dec'!J68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'Dec'!$I$69:$I$76</f>
            </numRef>
          </cat>
          <val>
            <numRef>
              <f>'Dec'!$J$69:$J$76</f>
            </numRef>
          </val>
        </ser>
        <ser>
          <idx val="1"/>
          <order val="1"/>
          <tx>
            <strRef>
              <f>'Dec'!K68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'Dec'!$I$69:$I$76</f>
            </numRef>
          </cat>
          <val>
            <numRef>
              <f>'Dec'!$K$69:$K$76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Annual Budget vs Actual — All Categories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Overview'!N3</f>
            </strRef>
          </tx>
          <spPr>
            <a:solidFill>
              <a:srgbClr val="3D5C3A"/>
            </a:solidFill>
            <a:ln>
              <a:prstDash val="solid"/>
            </a:ln>
          </spPr>
          <cat>
            <numRef>
              <f>'Annual Overview'!$A$4:$A$13</f>
            </numRef>
          </cat>
          <val>
            <numRef>
              <f>'Annual Overview'!$N$4:$N$13</f>
            </numRef>
          </val>
        </ser>
        <ser>
          <idx val="1"/>
          <order val="1"/>
          <tx>
            <strRef>
              <f>'Annual Overview'!O3</f>
            </strRef>
          </tx>
          <spPr>
            <a:solidFill>
              <a:srgbClr val="B05E3A"/>
            </a:solidFill>
            <a:ln>
              <a:prstDash val="solid"/>
            </a:ln>
          </spPr>
          <cat>
            <numRef>
              <f>'Annual Overview'!$A$4:$A$13</f>
            </numRef>
          </cat>
          <val>
            <numRef>
              <f>'Annual Overview'!$O$4:$O$13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Net Cash Flow — Monthly Trend</a:t>
            </a:r>
          </a:p>
        </rich>
      </tx>
    </title>
    <plotArea>
      <lineChart>
        <grouping val="standard"/>
        <ser>
          <idx val="0"/>
          <order val="0"/>
          <spPr>
            <a:solidFill>
              <a:srgbClr val="3D5C3A"/>
            </a:solidFill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Overview'!$B$3:$M$3</f>
            </numRef>
          </cat>
          <val>
            <numRef>
              <f>'Annual Overview'!$B$14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Overview'!$B$3:$M$3</f>
            </numRef>
          </cat>
          <val>
            <numRef>
              <f>'Annual Overview'!$C$14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Overview'!$B$3:$M$3</f>
            </numRef>
          </cat>
          <val>
            <numRef>
              <f>'Annual Overview'!$D$14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Overview'!$B$3:$M$3</f>
            </numRef>
          </cat>
          <val>
            <numRef>
              <f>'Annual Overview'!$E$14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Overview'!$B$3:$M$3</f>
            </numRef>
          </cat>
          <val>
            <numRef>
              <f>'Annual Overview'!$F$14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Overview'!$B$3:$M$3</f>
            </numRef>
          </cat>
          <val>
            <numRef>
              <f>'Annual Overview'!$G$14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Overview'!$B$3:$M$3</f>
            </numRef>
          </cat>
          <val>
            <numRef>
              <f>'Annual Overview'!$H$14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Overview'!$B$3:$M$3</f>
            </numRef>
          </cat>
          <val>
            <numRef>
              <f>'Annual Overview'!$I$14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Overview'!$B$3:$M$3</f>
            </numRef>
          </cat>
          <val>
            <numRef>
              <f>'Annual Overview'!$J$14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Overview'!$B$3:$M$3</f>
            </numRef>
          </cat>
          <val>
            <numRef>
              <f>'Annual Overview'!$K$14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Overview'!$B$3:$M$3</f>
            </numRef>
          </cat>
          <val>
            <numRef>
              <f>'Annual Overview'!$L$14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'Annual Overview'!$B$3:$M$3</f>
            </numRef>
          </cat>
          <val>
            <numRef>
              <f>'Annual Overview'!$M$14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5.xml" Id="rId1" /><Relationship Type="http://schemas.openxmlformats.org/officeDocument/2006/relationships/chart" Target="/xl/charts/chart1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576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25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67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67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67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67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67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67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67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67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67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67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67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67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79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sheet1.xml><?xml version="1.0" encoding="utf-8"?>
<worksheet xmlns="http://schemas.openxmlformats.org/spreadsheetml/2006/main">
  <sheetPr>
    <tabColor rgb="003D5C3A"/>
    <outlinePr summaryBelow="1" summaryRight="1"/>
    <pageSetUpPr/>
  </sheetPr>
  <dimension ref="A1:M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3" customWidth="1" min="4" max="4"/>
    <col width="24" customWidth="1" min="5" max="5"/>
    <col width="18" customWidth="1" min="6" max="6"/>
    <col width="14" customWidth="1" min="7" max="7"/>
    <col width="3" customWidth="1" min="8" max="8"/>
    <col width="16" customWidth="1" min="9" max="9"/>
  </cols>
  <sheetData>
    <row r="1" ht="50" customHeight="1">
      <c r="A1" s="1" t="inlineStr">
        <is>
          <t>PERSONAL FINANCE COMMAND CENTER  ·  2026</t>
        </is>
      </c>
    </row>
    <row r="2" ht="20" customHeight="1">
      <c r="A2" s="2" t="inlineStr">
        <is>
          <t>Live Summary  ·  All figures update automatically from monthly sheets</t>
        </is>
      </c>
    </row>
    <row r="3" ht="20" customHeight="1">
      <c r="A3" s="3" t="inlineStr">
        <is>
          <t>ANNUAL INCOME</t>
        </is>
      </c>
      <c r="B3" s="4" t="n"/>
      <c r="C3" s="4" t="n"/>
      <c r="D3" s="5" t="n"/>
      <c r="E3" s="6" t="inlineStr">
        <is>
          <t>LEFT TO SPEND</t>
        </is>
      </c>
      <c r="F3" s="7" t="n"/>
      <c r="G3" s="7" t="n"/>
      <c r="H3" s="5" t="n"/>
      <c r="I3" s="5" t="n"/>
      <c r="K3" s="8" t="inlineStr">
        <is>
          <t>HOUSING</t>
        </is>
      </c>
      <c r="L3" s="9">
        <f>IFERROR(Jan!D15,0)</f>
        <v/>
      </c>
    </row>
    <row r="4" ht="30" customHeight="1">
      <c r="A4" s="10">
        <f>B10</f>
        <v/>
      </c>
      <c r="B4" s="4" t="n"/>
      <c r="C4" s="4" t="n"/>
      <c r="D4" s="5" t="n"/>
      <c r="E4" s="11">
        <f>IFERROR(B11-B12,0)</f>
        <v/>
      </c>
      <c r="F4" s="7" t="n"/>
      <c r="G4" s="7" t="n"/>
      <c r="H4" s="5" t="n"/>
      <c r="I4" s="5" t="n"/>
      <c r="K4" s="8" t="inlineStr">
        <is>
          <t>TRANSPORT</t>
        </is>
      </c>
      <c r="L4" s="9">
        <f>IFERROR(Jan!D22,0)</f>
        <v/>
      </c>
    </row>
    <row r="5" ht="20" customHeight="1">
      <c r="A5" s="12" t="inlineStr">
        <is>
          <t>ANNUAL SAVINGS</t>
        </is>
      </c>
      <c r="B5" s="13" t="n"/>
      <c r="C5" s="13" t="n"/>
      <c r="D5" s="5" t="n"/>
      <c r="E5" s="14" t="inlineStr">
        <is>
          <t>SAVINGS RATE</t>
        </is>
      </c>
      <c r="F5" s="15" t="n"/>
      <c r="G5" s="15" t="n"/>
      <c r="H5" s="5" t="n"/>
      <c r="I5" s="5" t="n"/>
      <c r="K5" s="8" t="inlineStr">
        <is>
          <t>FOOD &amp; DINING</t>
        </is>
      </c>
      <c r="L5" s="9">
        <f>IFERROR(Jan!D29,0)</f>
        <v/>
      </c>
    </row>
    <row r="6" ht="30" customHeight="1">
      <c r="A6" s="16">
        <f>IFERROR(Jan!D57+Feb!D57+Mar!D57+Apr!D57+May!D57+Jun!D57+Jul!D57+Aug!D57+Sep!D57+Oct!D57+Nov!D57+Dec!D57,0)</f>
        <v/>
      </c>
      <c r="B6" s="13" t="n"/>
      <c r="C6" s="13" t="n"/>
      <c r="D6" s="5" t="n"/>
      <c r="E6" s="17">
        <f>IFERROR((B10-B12*12)/B10,0)</f>
        <v/>
      </c>
      <c r="F6" s="15" t="n"/>
      <c r="G6" s="15" t="n"/>
      <c r="H6" s="5" t="n"/>
      <c r="I6" s="5" t="n"/>
      <c r="K6" s="8" t="inlineStr">
        <is>
          <t>HEALTH &amp; WELLNESS</t>
        </is>
      </c>
      <c r="L6" s="9">
        <f>IFERROR(Jan!D36,0)</f>
        <v/>
      </c>
    </row>
    <row r="7" ht="1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K7" s="8" t="inlineStr">
        <is>
          <t>LIFESTYLE</t>
        </is>
      </c>
      <c r="L7" s="9">
        <f>IFERROR(Jan!D43,0)</f>
        <v/>
      </c>
    </row>
    <row r="8" ht="22" customHeight="1">
      <c r="A8" s="18" t="inlineStr">
        <is>
          <t>BUDGET SUMMARY</t>
        </is>
      </c>
      <c r="B8" s="13" t="n"/>
      <c r="C8" s="13" t="n"/>
      <c r="D8" s="5" t="n"/>
      <c r="E8" s="19" t="inlineStr">
        <is>
          <t>SAVINGS SNAPSHOT</t>
        </is>
      </c>
      <c r="F8" s="7" t="n"/>
      <c r="G8" s="7" t="n"/>
      <c r="H8" s="5" t="n"/>
      <c r="I8" s="5" t="n"/>
      <c r="K8" s="8" t="inlineStr">
        <is>
          <t>PERSONAL</t>
        </is>
      </c>
      <c r="L8" s="9">
        <f>IFERROR(Jan!D50,0)</f>
        <v/>
      </c>
    </row>
    <row r="9">
      <c r="K9" s="8" t="inlineStr">
        <is>
          <t>SAVINGS &amp; INVESTMENTS</t>
        </is>
      </c>
      <c r="L9" s="9">
        <f>IFERROR(Jan!D57,0)</f>
        <v/>
      </c>
    </row>
    <row r="10" ht="18" customHeight="1">
      <c r="A10" s="20" t="inlineStr">
        <is>
          <t>Annual Income</t>
        </is>
      </c>
      <c r="B10" s="21" t="n"/>
      <c r="C10" s="22" t="n">
        <v>0</v>
      </c>
      <c r="D10" s="5" t="n"/>
      <c r="E10" s="23" t="inlineStr">
        <is>
          <t>Emergency Fund Goal</t>
        </is>
      </c>
      <c r="F10" s="24" t="n"/>
      <c r="G10" s="25" t="n">
        <v>0</v>
      </c>
      <c r="H10" s="5" t="n"/>
      <c r="I10" s="5" t="n"/>
      <c r="K10" s="8" t="inlineStr">
        <is>
          <t>DEBT PAYMENTS</t>
        </is>
      </c>
      <c r="L10" s="9">
        <f>IFERROR(Jan!D64,0)</f>
        <v/>
      </c>
    </row>
    <row r="11" ht="18" customHeight="1">
      <c r="A11" s="26" t="inlineStr">
        <is>
          <t>Monthly Income</t>
        </is>
      </c>
      <c r="B11" s="27" t="n"/>
      <c r="C11" s="28">
        <f>IFERROR(B10/12,0)</f>
        <v/>
      </c>
      <c r="D11" s="5" t="n"/>
      <c r="E11" s="26" t="inlineStr">
        <is>
          <t>Emergency Fund Current</t>
        </is>
      </c>
      <c r="F11" s="27" t="n"/>
      <c r="G11" s="29" t="n">
        <v>0</v>
      </c>
      <c r="H11" s="5" t="n"/>
      <c r="I11" s="5" t="n"/>
    </row>
    <row r="12" ht="18" customHeight="1">
      <c r="A12" s="20" t="inlineStr">
        <is>
          <t>This Month Expenses</t>
        </is>
      </c>
      <c r="B12" s="21" t="n"/>
      <c r="C12" s="30">
        <f>IFERROR(Jan!D65,0)</f>
        <v/>
      </c>
      <c r="D12" s="5" t="n"/>
      <c r="E12" s="23" t="inlineStr">
        <is>
          <t>% Funded</t>
        </is>
      </c>
      <c r="F12" s="24" t="n"/>
      <c r="G12" s="31">
        <f>IFERROR(F11/F10,0)</f>
        <v/>
      </c>
      <c r="H12" s="5" t="n"/>
      <c r="I12" s="5" t="n"/>
      <c r="K12" s="32" t="inlineStr">
        <is>
          <t>Month</t>
        </is>
      </c>
      <c r="L12" s="32" t="inlineStr">
        <is>
          <t>Income</t>
        </is>
      </c>
      <c r="M12" s="32" t="inlineStr">
        <is>
          <t>Expenses</t>
        </is>
      </c>
    </row>
    <row r="13" ht="18" customHeight="1">
      <c r="A13" s="26" t="inlineStr">
        <is>
          <t>Left to Spend</t>
        </is>
      </c>
      <c r="B13" s="27" t="n"/>
      <c r="C13" s="28">
        <f>IFERROR(B11-B12,0)</f>
        <v/>
      </c>
      <c r="D13" s="5" t="n"/>
      <c r="E13" s="26" t="inlineStr">
        <is>
          <t>Monthly Target</t>
        </is>
      </c>
      <c r="F13" s="27" t="n"/>
      <c r="G13" s="29" t="n">
        <v>0</v>
      </c>
      <c r="H13" s="5" t="n"/>
      <c r="I13" s="5" t="n"/>
      <c r="K13" t="inlineStr">
        <is>
          <t>Jan</t>
        </is>
      </c>
      <c r="L13" s="33">
        <f>IFERROR(Jan!D8,0)</f>
        <v/>
      </c>
      <c r="M13" s="33">
        <f>IFERROR(Jan!D65,0)</f>
        <v/>
      </c>
    </row>
    <row r="14" ht="18" customHeight="1">
      <c r="A14" s="20" t="inlineStr">
        <is>
          <t>Annual Savings Rate</t>
        </is>
      </c>
      <c r="B14" s="21" t="n"/>
      <c r="C14" s="34">
        <f>IFERROR((B10-B12*12)/B10,0)</f>
        <v/>
      </c>
      <c r="D14" s="5" t="n"/>
      <c r="E14" s="23" t="inlineStr">
        <is>
          <t>YTD Saved</t>
        </is>
      </c>
      <c r="F14" s="24" t="n"/>
      <c r="G14" s="35">
        <f>IFERROR(Jan!D57+Feb!D57+Mar!D57+Apr!D57+May!D57+Jun!D57+Jul!D57+Aug!D57+Sep!D57+Oct!D57+Nov!D57+Dec!D57,0)</f>
        <v/>
      </c>
      <c r="H14" s="5" t="n"/>
      <c r="I14" s="5" t="n"/>
      <c r="K14" t="inlineStr">
        <is>
          <t>Feb</t>
        </is>
      </c>
      <c r="L14" s="33">
        <f>IFERROR(Feb!D8,0)</f>
        <v/>
      </c>
      <c r="M14" s="33">
        <f>IFERROR(Feb!D65,0)</f>
        <v/>
      </c>
    </row>
    <row r="15" ht="18" customHeight="1">
      <c r="A15" s="26" t="inlineStr">
        <is>
          <t>YTD Savings</t>
        </is>
      </c>
      <c r="B15" s="27" t="n"/>
      <c r="C15" s="36">
        <f>IFERROR(Jan!D57+Feb!D57+Mar!D57+Apr!D57+May!D57+Jun!D57+Jul!D57+Aug!D57+Sep!D57+Oct!D57+Nov!D57+Dec!D57,0)</f>
        <v/>
      </c>
      <c r="D15" s="5" t="n"/>
      <c r="E15" s="26" t="inlineStr">
        <is>
          <t>Months to Goal</t>
        </is>
      </c>
      <c r="F15" s="27" t="n"/>
      <c r="G15" s="37">
        <f>IFERROR((F10-F11)/F13,0)</f>
        <v/>
      </c>
      <c r="H15" s="5" t="n"/>
      <c r="I15" s="5" t="n"/>
      <c r="K15" t="inlineStr">
        <is>
          <t>Mar</t>
        </is>
      </c>
      <c r="L15" s="33">
        <f>IFERROR(Mar!D8,0)</f>
        <v/>
      </c>
      <c r="M15" s="33">
        <f>IFERROR(Mar!D65,0)</f>
        <v/>
      </c>
    </row>
    <row r="16" ht="1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K16" t="inlineStr">
        <is>
          <t>Apr</t>
        </is>
      </c>
      <c r="L16" s="33">
        <f>IFERROR(Apr!D8,0)</f>
        <v/>
      </c>
      <c r="M16" s="33">
        <f>IFERROR(Apr!D65,0)</f>
        <v/>
      </c>
    </row>
    <row r="17" ht="22" customHeight="1">
      <c r="A17" s="18" t="inlineStr">
        <is>
          <t>TOP EXPENSE CATEGORIES  ·  JANUARY</t>
        </is>
      </c>
      <c r="B17" s="13" t="n"/>
      <c r="C17" s="13" t="n"/>
      <c r="D17" s="5" t="n"/>
      <c r="E17" s="19" t="inlineStr">
        <is>
          <t>BILLS THIS MONTH</t>
        </is>
      </c>
      <c r="F17" s="7" t="n"/>
      <c r="G17" s="7" t="n"/>
      <c r="H17" s="5" t="n"/>
      <c r="I17" s="5" t="n"/>
      <c r="K17" t="inlineStr">
        <is>
          <t>May</t>
        </is>
      </c>
      <c r="L17" s="33">
        <f>IFERROR(May!D8,0)</f>
        <v/>
      </c>
      <c r="M17" s="33">
        <f>IFERROR(May!D65,0)</f>
        <v/>
      </c>
    </row>
    <row r="18" ht="18" customHeight="1">
      <c r="A18" s="38" t="inlineStr">
        <is>
          <t>CATEGORY</t>
        </is>
      </c>
      <c r="B18" s="38" t="inlineStr">
        <is>
          <t>BUDGETED</t>
        </is>
      </c>
      <c r="C18" s="38" t="inlineStr">
        <is>
          <t>ACTUAL</t>
        </is>
      </c>
      <c r="D18" s="5" t="n"/>
      <c r="E18" s="39" t="inlineStr">
        <is>
          <t>BILL NAME</t>
        </is>
      </c>
      <c r="F18" s="39" t="inlineStr">
        <is>
          <t>AMOUNT</t>
        </is>
      </c>
      <c r="G18" s="39" t="inlineStr">
        <is>
          <t>DUE</t>
        </is>
      </c>
      <c r="H18" s="5" t="n"/>
      <c r="I18" s="5" t="n"/>
      <c r="K18" t="inlineStr">
        <is>
          <t>Jun</t>
        </is>
      </c>
      <c r="L18" s="33">
        <f>IFERROR(Jun!D8,0)</f>
        <v/>
      </c>
      <c r="M18" s="33">
        <f>IFERROR(Jun!D65,0)</f>
        <v/>
      </c>
    </row>
    <row r="19" ht="18" customHeight="1">
      <c r="A19" s="20" t="inlineStr">
        <is>
          <t>HOUSING</t>
        </is>
      </c>
      <c r="B19" s="30">
        <f>IFERROR(Jan!C15,0)</f>
        <v/>
      </c>
      <c r="C19" s="30">
        <f>IFERROR(Jan!D15,0)</f>
        <v/>
      </c>
      <c r="D19" s="5" t="n"/>
      <c r="E19" s="40" t="inlineStr">
        <is>
          <t>Hyra/Mortgage</t>
        </is>
      </c>
      <c r="F19" s="25" t="n">
        <v>12500</v>
      </c>
      <c r="G19" s="41" t="inlineStr">
        <is>
          <t>1:a</t>
        </is>
      </c>
      <c r="H19" s="5" t="n"/>
      <c r="I19" s="5" t="n"/>
      <c r="K19" t="inlineStr">
        <is>
          <t>Jul</t>
        </is>
      </c>
      <c r="L19" s="33">
        <f>IFERROR(Jul!D8,0)</f>
        <v/>
      </c>
      <c r="M19" s="33">
        <f>IFERROR(Jul!D65,0)</f>
        <v/>
      </c>
    </row>
    <row r="20" ht="18" customHeight="1">
      <c r="A20" s="26" t="inlineStr">
        <is>
          <t>TRANSPORT</t>
        </is>
      </c>
      <c r="B20" s="36">
        <f>IFERROR(Jan!C22,0)</f>
        <v/>
      </c>
      <c r="C20" s="36">
        <f>IFERROR(Jan!D22,0)</f>
        <v/>
      </c>
      <c r="D20" s="5" t="n"/>
      <c r="E20" s="42" t="inlineStr">
        <is>
          <t>El</t>
        </is>
      </c>
      <c r="F20" s="29" t="n">
        <v>850</v>
      </c>
      <c r="G20" s="43" t="inlineStr">
        <is>
          <t>15:e</t>
        </is>
      </c>
      <c r="H20" s="5" t="n"/>
      <c r="I20" s="5" t="n"/>
      <c r="K20" t="inlineStr">
        <is>
          <t>Aug</t>
        </is>
      </c>
      <c r="L20" s="33">
        <f>IFERROR(Aug!D8,0)</f>
        <v/>
      </c>
      <c r="M20" s="33">
        <f>IFERROR(Aug!D65,0)</f>
        <v/>
      </c>
    </row>
    <row r="21" ht="18" customHeight="1">
      <c r="A21" s="20" t="inlineStr">
        <is>
          <t>FOOD &amp; DINING</t>
        </is>
      </c>
      <c r="B21" s="30">
        <f>IFERROR(Jan!C29,0)</f>
        <v/>
      </c>
      <c r="C21" s="30">
        <f>IFERROR(Jan!D29,0)</f>
        <v/>
      </c>
      <c r="D21" s="5" t="n"/>
      <c r="E21" s="40" t="inlineStr">
        <is>
          <t>Internet</t>
        </is>
      </c>
      <c r="F21" s="25" t="n">
        <v>499</v>
      </c>
      <c r="G21" s="41" t="inlineStr">
        <is>
          <t>22:a</t>
        </is>
      </c>
      <c r="H21" s="5" t="n"/>
      <c r="I21" s="5" t="n"/>
      <c r="K21" t="inlineStr">
        <is>
          <t>Sep</t>
        </is>
      </c>
      <c r="L21" s="33">
        <f>IFERROR(Sep!D8,0)</f>
        <v/>
      </c>
      <c r="M21" s="33">
        <f>IFERROR(Sep!D65,0)</f>
        <v/>
      </c>
    </row>
    <row r="22" ht="18" customHeight="1">
      <c r="A22" s="26" t="inlineStr">
        <is>
          <t>HEALTH &amp; WELLNESS</t>
        </is>
      </c>
      <c r="B22" s="36">
        <f>IFERROR(Jan!C36,0)</f>
        <v/>
      </c>
      <c r="C22" s="36">
        <f>IFERROR(Jan!D36,0)</f>
        <v/>
      </c>
      <c r="D22" s="5" t="n"/>
      <c r="E22" s="42" t="inlineStr">
        <is>
          <t>Streaming</t>
        </is>
      </c>
      <c r="F22" s="29" t="n">
        <v>139</v>
      </c>
      <c r="G22" s="43" t="inlineStr">
        <is>
          <t>8:e</t>
        </is>
      </c>
      <c r="H22" s="5" t="n"/>
      <c r="I22" s="5" t="n"/>
      <c r="K22" t="inlineStr">
        <is>
          <t>Oct</t>
        </is>
      </c>
      <c r="L22" s="33">
        <f>IFERROR(Oct!D8,0)</f>
        <v/>
      </c>
      <c r="M22" s="33">
        <f>IFERROR(Oct!D65,0)</f>
        <v/>
      </c>
    </row>
    <row r="23" ht="18" customHeight="1">
      <c r="A23" s="20" t="inlineStr">
        <is>
          <t>LIFESTYLE</t>
        </is>
      </c>
      <c r="B23" s="30">
        <f>IFERROR(Jan!C43,0)</f>
        <v/>
      </c>
      <c r="C23" s="30">
        <f>IFERROR(Jan!D43,0)</f>
        <v/>
      </c>
      <c r="D23" s="5" t="n"/>
      <c r="E23" s="40" t="inlineStr">
        <is>
          <t>Telefon</t>
        </is>
      </c>
      <c r="F23" s="25" t="n">
        <v>699</v>
      </c>
      <c r="G23" s="41" t="inlineStr">
        <is>
          <t>12:e</t>
        </is>
      </c>
      <c r="H23" s="5" t="n"/>
      <c r="I23" s="5" t="n"/>
      <c r="K23" t="inlineStr">
        <is>
          <t>Nov</t>
        </is>
      </c>
      <c r="L23" s="33">
        <f>IFERROR(Nov!D8,0)</f>
        <v/>
      </c>
      <c r="M23" s="33">
        <f>IFERROR(Nov!D65,0)</f>
        <v/>
      </c>
    </row>
    <row r="24" ht="18" customHeight="1">
      <c r="A24" s="26" t="inlineStr">
        <is>
          <t>PERSONAL</t>
        </is>
      </c>
      <c r="B24" s="36">
        <f>IFERROR(Jan!C50,0)</f>
        <v/>
      </c>
      <c r="C24" s="36">
        <f>IFERROR(Jan!D50,0)</f>
        <v/>
      </c>
      <c r="D24" s="5" t="n"/>
      <c r="E24" s="42" t="inlineStr">
        <is>
          <t>Försäkring</t>
        </is>
      </c>
      <c r="F24" s="29" t="n">
        <v>1200</v>
      </c>
      <c r="G24" s="43" t="inlineStr">
        <is>
          <t>1:a</t>
        </is>
      </c>
      <c r="H24" s="5" t="n"/>
      <c r="I24" s="5" t="n"/>
      <c r="K24" t="inlineStr">
        <is>
          <t>Dec</t>
        </is>
      </c>
      <c r="L24" s="33">
        <f>IFERROR(Dec!D8,0)</f>
        <v/>
      </c>
      <c r="M24" s="33">
        <f>IFERROR(Dec!D65,0)</f>
        <v/>
      </c>
    </row>
    <row r="25" ht="10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</sheetData>
  <mergeCells count="26">
    <mergeCell ref="E12:F12"/>
    <mergeCell ref="A15:B15"/>
    <mergeCell ref="A11:B11"/>
    <mergeCell ref="A3:C3"/>
    <mergeCell ref="E14:F14"/>
    <mergeCell ref="E6:G6"/>
    <mergeCell ref="A2:I2"/>
    <mergeCell ref="A5:C5"/>
    <mergeCell ref="E10:F10"/>
    <mergeCell ref="A8:C8"/>
    <mergeCell ref="A17:C17"/>
    <mergeCell ref="E13:F13"/>
    <mergeCell ref="A4:C4"/>
    <mergeCell ref="A12:B12"/>
    <mergeCell ref="E15:F15"/>
    <mergeCell ref="E11:F11"/>
    <mergeCell ref="A14:B14"/>
    <mergeCell ref="E3:G3"/>
    <mergeCell ref="E5:G5"/>
    <mergeCell ref="A6:C6"/>
    <mergeCell ref="E8:G8"/>
    <mergeCell ref="A1:I1"/>
    <mergeCell ref="A10:B10"/>
    <mergeCell ref="A13:B13"/>
    <mergeCell ref="E17:G17"/>
    <mergeCell ref="E4:G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C8A52"/>
    <outlinePr summaryBelow="1" summaryRight="1"/>
    <pageSetUpPr/>
  </sheetPr>
  <dimension ref="A1:K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4" customWidth="1" min="5" max="5"/>
    <col width="11" customWidth="1" min="6" max="6"/>
    <col width="20" customWidth="1" min="7" max="7"/>
  </cols>
  <sheetData>
    <row r="1" ht="48" customHeight="1">
      <c r="A1" s="44" t="inlineStr">
        <is>
          <t>JANUARY  ·  MONTHLY BUDGET</t>
        </is>
      </c>
    </row>
    <row r="2" ht="20" customHeight="1">
      <c r="A2" s="2" t="inlineStr">
        <is>
          <t>Track your income and expenses for January</t>
        </is>
      </c>
    </row>
    <row r="3" ht="22" customHeight="1">
      <c r="A3" s="3" t="inlineStr">
        <is>
          <t>CATEGORY</t>
        </is>
      </c>
      <c r="B3" s="3" t="inlineStr">
        <is>
          <t>SUBCATEGORY</t>
        </is>
      </c>
      <c r="C3" s="3" t="inlineStr">
        <is>
          <t>BUDGETED</t>
        </is>
      </c>
      <c r="D3" s="3" t="inlineStr">
        <is>
          <t>ACTUAL</t>
        </is>
      </c>
      <c r="E3" s="3" t="inlineStr">
        <is>
          <t>DIFFERENCE</t>
        </is>
      </c>
      <c r="F3" s="3" t="inlineStr">
        <is>
          <t>% USED</t>
        </is>
      </c>
      <c r="G3" s="3" t="inlineStr">
        <is>
          <t>NOTES</t>
        </is>
      </c>
    </row>
    <row r="4" ht="22" customHeight="1">
      <c r="A4" s="45" t="inlineStr">
        <is>
          <t>INCOME</t>
        </is>
      </c>
    </row>
    <row r="5" ht="18" customHeight="1">
      <c r="A5" s="46" t="inlineStr">
        <is>
          <t>INCOME</t>
        </is>
      </c>
      <c r="B5" s="46" t="inlineStr">
        <is>
          <t>Primary Income</t>
        </is>
      </c>
      <c r="C5" s="22" t="n">
        <v>0</v>
      </c>
      <c r="D5" s="22" t="n">
        <v>0</v>
      </c>
      <c r="E5" s="47">
        <f>C5-D5</f>
        <v/>
      </c>
      <c r="F5" s="34">
        <f>IFERROR(D5/C5,0)</f>
        <v/>
      </c>
      <c r="G5" s="46" t="inlineStr"/>
    </row>
    <row r="6" ht="18" customHeight="1">
      <c r="A6" s="42" t="inlineStr">
        <is>
          <t>INCOME</t>
        </is>
      </c>
      <c r="B6" s="42" t="inlineStr">
        <is>
          <t>Side Income</t>
        </is>
      </c>
      <c r="C6" s="29" t="n">
        <v>0</v>
      </c>
      <c r="D6" s="29" t="n">
        <v>0</v>
      </c>
      <c r="E6" s="28">
        <f>C6-D6</f>
        <v/>
      </c>
      <c r="F6" s="48">
        <f>IFERROR(D6/C6,0)</f>
        <v/>
      </c>
      <c r="G6" s="42" t="inlineStr"/>
    </row>
    <row r="7" ht="18" customHeight="1">
      <c r="A7" s="46" t="inlineStr">
        <is>
          <t>INCOME</t>
        </is>
      </c>
      <c r="B7" s="46" t="inlineStr">
        <is>
          <t>Other Income</t>
        </is>
      </c>
      <c r="C7" s="22" t="n">
        <v>0</v>
      </c>
      <c r="D7" s="22" t="n">
        <v>0</v>
      </c>
      <c r="E7" s="47">
        <f>C7-D7</f>
        <v/>
      </c>
      <c r="F7" s="34">
        <f>IFERROR(D7/C7,0)</f>
        <v/>
      </c>
      <c r="G7" s="46" t="inlineStr"/>
    </row>
    <row r="8" ht="20" customHeight="1">
      <c r="A8" s="49" t="inlineStr">
        <is>
          <t>TOTAL INCOME</t>
        </is>
      </c>
      <c r="B8" s="50" t="n"/>
      <c r="C8" s="51">
        <f>SUM(C5:C7)</f>
        <v/>
      </c>
      <c r="D8" s="51">
        <f>SUM(D5:D7)</f>
        <v/>
      </c>
      <c r="E8" s="51">
        <f>C8-D8</f>
        <v/>
      </c>
      <c r="F8" s="52">
        <f>IFERROR(D8/C8,0)</f>
        <v/>
      </c>
      <c r="G8" s="53" t="inlineStr"/>
    </row>
    <row r="9" ht="22" customHeight="1">
      <c r="A9" s="54" t="inlineStr">
        <is>
          <t>HOUSING</t>
        </is>
      </c>
    </row>
    <row r="10" ht="18" customHeight="1">
      <c r="A10" s="46" t="inlineStr">
        <is>
          <t>HOUSING</t>
        </is>
      </c>
      <c r="B10" s="46" t="inlineStr">
        <is>
          <t>Rent/Mortgage</t>
        </is>
      </c>
      <c r="C10" s="22" t="n">
        <v>0</v>
      </c>
      <c r="D10" s="22" t="n">
        <v>0</v>
      </c>
      <c r="E10" s="47">
        <f>C10-D10</f>
        <v/>
      </c>
      <c r="F10" s="34">
        <f>IFERROR(D10/C10,0)</f>
        <v/>
      </c>
      <c r="G10" s="46" t="inlineStr"/>
    </row>
    <row r="11" ht="18" customHeight="1">
      <c r="A11" s="42" t="inlineStr">
        <is>
          <t>HOUSING</t>
        </is>
      </c>
      <c r="B11" s="42" t="inlineStr">
        <is>
          <t>Utilities</t>
        </is>
      </c>
      <c r="C11" s="29" t="n">
        <v>0</v>
      </c>
      <c r="D11" s="29" t="n">
        <v>0</v>
      </c>
      <c r="E11" s="28">
        <f>C11-D11</f>
        <v/>
      </c>
      <c r="F11" s="48">
        <f>IFERROR(D11/C11,0)</f>
        <v/>
      </c>
      <c r="G11" s="42" t="inlineStr"/>
    </row>
    <row r="12" ht="18" customHeight="1">
      <c r="A12" s="46" t="inlineStr">
        <is>
          <t>HOUSING</t>
        </is>
      </c>
      <c r="B12" s="46" t="inlineStr">
        <is>
          <t>Electricity</t>
        </is>
      </c>
      <c r="C12" s="22" t="n">
        <v>0</v>
      </c>
      <c r="D12" s="22" t="n">
        <v>0</v>
      </c>
      <c r="E12" s="47">
        <f>C12-D12</f>
        <v/>
      </c>
      <c r="F12" s="34">
        <f>IFERROR(D12/C12,0)</f>
        <v/>
      </c>
      <c r="G12" s="46" t="inlineStr"/>
    </row>
    <row r="13" ht="18" customHeight="1">
      <c r="A13" s="42" t="inlineStr">
        <is>
          <t>HOUSING</t>
        </is>
      </c>
      <c r="B13" s="42" t="inlineStr">
        <is>
          <t>Internet</t>
        </is>
      </c>
      <c r="C13" s="29" t="n">
        <v>0</v>
      </c>
      <c r="D13" s="29" t="n">
        <v>0</v>
      </c>
      <c r="E13" s="28">
        <f>C13-D13</f>
        <v/>
      </c>
      <c r="F13" s="48">
        <f>IFERROR(D13/C13,0)</f>
        <v/>
      </c>
      <c r="G13" s="42" t="inlineStr"/>
    </row>
    <row r="14" ht="18" customHeight="1">
      <c r="A14" s="46" t="inlineStr">
        <is>
          <t>HOUSING</t>
        </is>
      </c>
      <c r="B14" s="46" t="inlineStr">
        <is>
          <t>Home Insurance</t>
        </is>
      </c>
      <c r="C14" s="22" t="n">
        <v>0</v>
      </c>
      <c r="D14" s="22" t="n">
        <v>0</v>
      </c>
      <c r="E14" s="47">
        <f>C14-D14</f>
        <v/>
      </c>
      <c r="F14" s="34">
        <f>IFERROR(D14/C14,0)</f>
        <v/>
      </c>
      <c r="G14" s="46" t="inlineStr"/>
    </row>
    <row r="15" ht="20" customHeight="1">
      <c r="A15" s="49" t="inlineStr">
        <is>
          <t>Subtotal — HOUSING</t>
        </is>
      </c>
      <c r="B15" s="50" t="n"/>
      <c r="C15" s="51">
        <f>SUM(C10:C14)</f>
        <v/>
      </c>
      <c r="D15" s="51">
        <f>SUM(D10:D14)</f>
        <v/>
      </c>
      <c r="E15" s="51">
        <f>C15-D15</f>
        <v/>
      </c>
      <c r="F15" s="52">
        <f>IFERROR(D15/C15,0)</f>
        <v/>
      </c>
      <c r="G15" s="53" t="inlineStr"/>
    </row>
    <row r="16" ht="22" customHeight="1">
      <c r="A16" s="54" t="inlineStr">
        <is>
          <t>TRANSPORT</t>
        </is>
      </c>
    </row>
    <row r="17" ht="18" customHeight="1">
      <c r="A17" s="46" t="inlineStr">
        <is>
          <t>TRANSPORT</t>
        </is>
      </c>
      <c r="B17" s="46" t="inlineStr">
        <is>
          <t>Car Payment</t>
        </is>
      </c>
      <c r="C17" s="22" t="n">
        <v>0</v>
      </c>
      <c r="D17" s="22" t="n">
        <v>0</v>
      </c>
      <c r="E17" s="47">
        <f>C17-D17</f>
        <v/>
      </c>
      <c r="F17" s="34">
        <f>IFERROR(D17/C17,0)</f>
        <v/>
      </c>
      <c r="G17" s="46" t="inlineStr"/>
    </row>
    <row r="18" ht="18" customHeight="1">
      <c r="A18" s="42" t="inlineStr">
        <is>
          <t>TRANSPORT</t>
        </is>
      </c>
      <c r="B18" s="42" t="inlineStr">
        <is>
          <t>Fuel</t>
        </is>
      </c>
      <c r="C18" s="29" t="n">
        <v>0</v>
      </c>
      <c r="D18" s="29" t="n">
        <v>0</v>
      </c>
      <c r="E18" s="28">
        <f>C18-D18</f>
        <v/>
      </c>
      <c r="F18" s="48">
        <f>IFERROR(D18/C18,0)</f>
        <v/>
      </c>
      <c r="G18" s="42" t="inlineStr"/>
    </row>
    <row r="19" ht="18" customHeight="1">
      <c r="A19" s="46" t="inlineStr">
        <is>
          <t>TRANSPORT</t>
        </is>
      </c>
      <c r="B19" s="46" t="inlineStr">
        <is>
          <t>Car Insurance</t>
        </is>
      </c>
      <c r="C19" s="22" t="n">
        <v>0</v>
      </c>
      <c r="D19" s="22" t="n">
        <v>0</v>
      </c>
      <c r="E19" s="47">
        <f>C19-D19</f>
        <v/>
      </c>
      <c r="F19" s="34">
        <f>IFERROR(D19/C19,0)</f>
        <v/>
      </c>
      <c r="G19" s="46" t="inlineStr"/>
    </row>
    <row r="20" ht="18" customHeight="1">
      <c r="A20" s="42" t="inlineStr">
        <is>
          <t>TRANSPORT</t>
        </is>
      </c>
      <c r="B20" s="42" t="inlineStr">
        <is>
          <t>Parking</t>
        </is>
      </c>
      <c r="C20" s="29" t="n">
        <v>0</v>
      </c>
      <c r="D20" s="29" t="n">
        <v>0</v>
      </c>
      <c r="E20" s="28">
        <f>C20-D20</f>
        <v/>
      </c>
      <c r="F20" s="48">
        <f>IFERROR(D20/C20,0)</f>
        <v/>
      </c>
      <c r="G20" s="42" t="inlineStr"/>
    </row>
    <row r="21" ht="18" customHeight="1">
      <c r="A21" s="46" t="inlineStr">
        <is>
          <t>TRANSPORT</t>
        </is>
      </c>
      <c r="B21" s="46" t="inlineStr">
        <is>
          <t>Public Transport</t>
        </is>
      </c>
      <c r="C21" s="22" t="n">
        <v>0</v>
      </c>
      <c r="D21" s="22" t="n">
        <v>0</v>
      </c>
      <c r="E21" s="47">
        <f>C21-D21</f>
        <v/>
      </c>
      <c r="F21" s="34">
        <f>IFERROR(D21/C21,0)</f>
        <v/>
      </c>
      <c r="G21" s="46" t="inlineStr"/>
    </row>
    <row r="22" ht="20" customHeight="1">
      <c r="A22" s="49" t="inlineStr">
        <is>
          <t>Subtotal — TRANSPORT</t>
        </is>
      </c>
      <c r="B22" s="50" t="n"/>
      <c r="C22" s="51">
        <f>SUM(C17:C21)</f>
        <v/>
      </c>
      <c r="D22" s="51">
        <f>SUM(D17:D21)</f>
        <v/>
      </c>
      <c r="E22" s="51">
        <f>C22-D22</f>
        <v/>
      </c>
      <c r="F22" s="52">
        <f>IFERROR(D22/C22,0)</f>
        <v/>
      </c>
      <c r="G22" s="53" t="inlineStr"/>
    </row>
    <row r="23" ht="22" customHeight="1">
      <c r="A23" s="54" t="inlineStr">
        <is>
          <t>FOOD &amp; DINING</t>
        </is>
      </c>
    </row>
    <row r="24" ht="18" customHeight="1">
      <c r="A24" s="46" t="inlineStr">
        <is>
          <t>FOOD &amp; DINING</t>
        </is>
      </c>
      <c r="B24" s="46" t="inlineStr">
        <is>
          <t>Groceries</t>
        </is>
      </c>
      <c r="C24" s="22" t="n">
        <v>0</v>
      </c>
      <c r="D24" s="22" t="n">
        <v>0</v>
      </c>
      <c r="E24" s="47">
        <f>C24-D24</f>
        <v/>
      </c>
      <c r="F24" s="34">
        <f>IFERROR(D24/C24,0)</f>
        <v/>
      </c>
      <c r="G24" s="46" t="inlineStr"/>
    </row>
    <row r="25" ht="18" customHeight="1">
      <c r="A25" s="42" t="inlineStr">
        <is>
          <t>FOOD &amp; DINING</t>
        </is>
      </c>
      <c r="B25" s="42" t="inlineStr">
        <is>
          <t>Restaurants</t>
        </is>
      </c>
      <c r="C25" s="29" t="n">
        <v>0</v>
      </c>
      <c r="D25" s="29" t="n">
        <v>0</v>
      </c>
      <c r="E25" s="28">
        <f>C25-D25</f>
        <v/>
      </c>
      <c r="F25" s="48">
        <f>IFERROR(D25/C25,0)</f>
        <v/>
      </c>
      <c r="G25" s="42" t="inlineStr"/>
    </row>
    <row r="26" ht="18" customHeight="1">
      <c r="A26" s="46" t="inlineStr">
        <is>
          <t>FOOD &amp; DINING</t>
        </is>
      </c>
      <c r="B26" s="46" t="inlineStr">
        <is>
          <t>Coffee</t>
        </is>
      </c>
      <c r="C26" s="22" t="n">
        <v>0</v>
      </c>
      <c r="D26" s="22" t="n">
        <v>0</v>
      </c>
      <c r="E26" s="47">
        <f>C26-D26</f>
        <v/>
      </c>
      <c r="F26" s="34">
        <f>IFERROR(D26/C26,0)</f>
        <v/>
      </c>
      <c r="G26" s="46" t="inlineStr"/>
    </row>
    <row r="27" ht="18" customHeight="1">
      <c r="A27" s="42" t="inlineStr">
        <is>
          <t>FOOD &amp; DINING</t>
        </is>
      </c>
      <c r="B27" s="42" t="inlineStr">
        <is>
          <t>Food Delivery</t>
        </is>
      </c>
      <c r="C27" s="29" t="n">
        <v>0</v>
      </c>
      <c r="D27" s="29" t="n">
        <v>0</v>
      </c>
      <c r="E27" s="28">
        <f>C27-D27</f>
        <v/>
      </c>
      <c r="F27" s="48">
        <f>IFERROR(D27/C27,0)</f>
        <v/>
      </c>
      <c r="G27" s="42" t="inlineStr"/>
    </row>
    <row r="28" ht="18" customHeight="1">
      <c r="A28" s="46" t="inlineStr">
        <is>
          <t>FOOD &amp; DINING</t>
        </is>
      </c>
      <c r="B28" s="46" t="inlineStr">
        <is>
          <t>Work Lunch</t>
        </is>
      </c>
      <c r="C28" s="22" t="n">
        <v>0</v>
      </c>
      <c r="D28" s="22" t="n">
        <v>0</v>
      </c>
      <c r="E28" s="47">
        <f>C28-D28</f>
        <v/>
      </c>
      <c r="F28" s="34">
        <f>IFERROR(D28/C28,0)</f>
        <v/>
      </c>
      <c r="G28" s="46" t="inlineStr"/>
    </row>
    <row r="29" ht="20" customHeight="1">
      <c r="A29" s="49" t="inlineStr">
        <is>
          <t>Subtotal — FOOD &amp; DINING</t>
        </is>
      </c>
      <c r="B29" s="50" t="n"/>
      <c r="C29" s="51">
        <f>SUM(C24:C28)</f>
        <v/>
      </c>
      <c r="D29" s="51">
        <f>SUM(D24:D28)</f>
        <v/>
      </c>
      <c r="E29" s="51">
        <f>C29-D29</f>
        <v/>
      </c>
      <c r="F29" s="52">
        <f>IFERROR(D29/C29,0)</f>
        <v/>
      </c>
      <c r="G29" s="53" t="inlineStr"/>
    </row>
    <row r="30" ht="22" customHeight="1">
      <c r="A30" s="54" t="inlineStr">
        <is>
          <t>HEALTH &amp; WELLNESS</t>
        </is>
      </c>
    </row>
    <row r="31" ht="18" customHeight="1">
      <c r="A31" s="46" t="inlineStr">
        <is>
          <t>HEALTH &amp; WELLNESS</t>
        </is>
      </c>
      <c r="B31" s="46" t="inlineStr">
        <is>
          <t>Health Insurance</t>
        </is>
      </c>
      <c r="C31" s="22" t="n">
        <v>0</v>
      </c>
      <c r="D31" s="22" t="n">
        <v>0</v>
      </c>
      <c r="E31" s="47">
        <f>C31-D31</f>
        <v/>
      </c>
      <c r="F31" s="34">
        <f>IFERROR(D31/C31,0)</f>
        <v/>
      </c>
      <c r="G31" s="46" t="inlineStr"/>
    </row>
    <row r="32" ht="18" customHeight="1">
      <c r="A32" s="42" t="inlineStr">
        <is>
          <t>HEALTH &amp; WELLNESS</t>
        </is>
      </c>
      <c r="B32" s="42" t="inlineStr">
        <is>
          <t>Gym</t>
        </is>
      </c>
      <c r="C32" s="29" t="n">
        <v>0</v>
      </c>
      <c r="D32" s="29" t="n">
        <v>0</v>
      </c>
      <c r="E32" s="28">
        <f>C32-D32</f>
        <v/>
      </c>
      <c r="F32" s="48">
        <f>IFERROR(D32/C32,0)</f>
        <v/>
      </c>
      <c r="G32" s="42" t="inlineStr"/>
    </row>
    <row r="33" ht="18" customHeight="1">
      <c r="A33" s="46" t="inlineStr">
        <is>
          <t>HEALTH &amp; WELLNESS</t>
        </is>
      </c>
      <c r="B33" s="46" t="inlineStr">
        <is>
          <t>Pharmacy</t>
        </is>
      </c>
      <c r="C33" s="22" t="n">
        <v>0</v>
      </c>
      <c r="D33" s="22" t="n">
        <v>0</v>
      </c>
      <c r="E33" s="47">
        <f>C33-D33</f>
        <v/>
      </c>
      <c r="F33" s="34">
        <f>IFERROR(D33/C33,0)</f>
        <v/>
      </c>
      <c r="G33" s="46" t="inlineStr"/>
    </row>
    <row r="34" ht="18" customHeight="1">
      <c r="A34" s="42" t="inlineStr">
        <is>
          <t>HEALTH &amp; WELLNESS</t>
        </is>
      </c>
      <c r="B34" s="42" t="inlineStr">
        <is>
          <t>Doctor</t>
        </is>
      </c>
      <c r="C34" s="29" t="n">
        <v>0</v>
      </c>
      <c r="D34" s="29" t="n">
        <v>0</v>
      </c>
      <c r="E34" s="28">
        <f>C34-D34</f>
        <v/>
      </c>
      <c r="F34" s="48">
        <f>IFERROR(D34/C34,0)</f>
        <v/>
      </c>
      <c r="G34" s="42" t="inlineStr"/>
    </row>
    <row r="35" ht="18" customHeight="1">
      <c r="A35" s="46" t="inlineStr">
        <is>
          <t>HEALTH &amp; WELLNESS</t>
        </is>
      </c>
      <c r="B35" s="46" t="inlineStr">
        <is>
          <t>Dental</t>
        </is>
      </c>
      <c r="C35" s="22" t="n">
        <v>0</v>
      </c>
      <c r="D35" s="22" t="n">
        <v>0</v>
      </c>
      <c r="E35" s="47">
        <f>C35-D35</f>
        <v/>
      </c>
      <c r="F35" s="34">
        <f>IFERROR(D35/C35,0)</f>
        <v/>
      </c>
      <c r="G35" s="46" t="inlineStr"/>
    </row>
    <row r="36" ht="20" customHeight="1">
      <c r="A36" s="49" t="inlineStr">
        <is>
          <t>Subtotal — HEALTH &amp; WELLNESS</t>
        </is>
      </c>
      <c r="B36" s="50" t="n"/>
      <c r="C36" s="51">
        <f>SUM(C31:C35)</f>
        <v/>
      </c>
      <c r="D36" s="51">
        <f>SUM(D31:D35)</f>
        <v/>
      </c>
      <c r="E36" s="51">
        <f>C36-D36</f>
        <v/>
      </c>
      <c r="F36" s="52">
        <f>IFERROR(D36/C36,0)</f>
        <v/>
      </c>
      <c r="G36" s="53" t="inlineStr"/>
    </row>
    <row r="37" ht="22" customHeight="1">
      <c r="A37" s="54" t="inlineStr">
        <is>
          <t>LIFESTYLE</t>
        </is>
      </c>
    </row>
    <row r="38" ht="18" customHeight="1">
      <c r="A38" s="46" t="inlineStr">
        <is>
          <t>LIFESTYLE</t>
        </is>
      </c>
      <c r="B38" s="46" t="inlineStr">
        <is>
          <t>Streaming Services</t>
        </is>
      </c>
      <c r="C38" s="22" t="n">
        <v>0</v>
      </c>
      <c r="D38" s="22" t="n">
        <v>0</v>
      </c>
      <c r="E38" s="47">
        <f>C38-D38</f>
        <v/>
      </c>
      <c r="F38" s="34">
        <f>IFERROR(D38/C38,0)</f>
        <v/>
      </c>
      <c r="G38" s="46" t="inlineStr"/>
    </row>
    <row r="39" ht="18" customHeight="1">
      <c r="A39" s="42" t="inlineStr">
        <is>
          <t>LIFESTYLE</t>
        </is>
      </c>
      <c r="B39" s="42" t="inlineStr">
        <is>
          <t>Entertainment</t>
        </is>
      </c>
      <c r="C39" s="29" t="n">
        <v>0</v>
      </c>
      <c r="D39" s="29" t="n">
        <v>0</v>
      </c>
      <c r="E39" s="28">
        <f>C39-D39</f>
        <v/>
      </c>
      <c r="F39" s="48">
        <f>IFERROR(D39/C39,0)</f>
        <v/>
      </c>
      <c r="G39" s="42" t="inlineStr"/>
    </row>
    <row r="40" ht="18" customHeight="1">
      <c r="A40" s="46" t="inlineStr">
        <is>
          <t>LIFESTYLE</t>
        </is>
      </c>
      <c r="B40" s="46" t="inlineStr">
        <is>
          <t>Hobbies</t>
        </is>
      </c>
      <c r="C40" s="22" t="n">
        <v>0</v>
      </c>
      <c r="D40" s="22" t="n">
        <v>0</v>
      </c>
      <c r="E40" s="47">
        <f>C40-D40</f>
        <v/>
      </c>
      <c r="F40" s="34">
        <f>IFERROR(D40/C40,0)</f>
        <v/>
      </c>
      <c r="G40" s="46" t="inlineStr"/>
    </row>
    <row r="41" ht="18" customHeight="1">
      <c r="A41" s="42" t="inlineStr">
        <is>
          <t>LIFESTYLE</t>
        </is>
      </c>
      <c r="B41" s="42" t="inlineStr">
        <is>
          <t>Personal Care</t>
        </is>
      </c>
      <c r="C41" s="29" t="n">
        <v>0</v>
      </c>
      <c r="D41" s="29" t="n">
        <v>0</v>
      </c>
      <c r="E41" s="28">
        <f>C41-D41</f>
        <v/>
      </c>
      <c r="F41" s="48">
        <f>IFERROR(D41/C41,0)</f>
        <v/>
      </c>
      <c r="G41" s="42" t="inlineStr"/>
    </row>
    <row r="42" ht="18" customHeight="1">
      <c r="A42" s="46" t="inlineStr">
        <is>
          <t>LIFESTYLE</t>
        </is>
      </c>
      <c r="B42" s="46" t="inlineStr">
        <is>
          <t>Books</t>
        </is>
      </c>
      <c r="C42" s="22" t="n">
        <v>0</v>
      </c>
      <c r="D42" s="22" t="n">
        <v>0</v>
      </c>
      <c r="E42" s="47">
        <f>C42-D42</f>
        <v/>
      </c>
      <c r="F42" s="34">
        <f>IFERROR(D42/C42,0)</f>
        <v/>
      </c>
      <c r="G42" s="46" t="inlineStr"/>
    </row>
    <row r="43" ht="20" customHeight="1">
      <c r="A43" s="49" t="inlineStr">
        <is>
          <t>Subtotal — LIFESTYLE</t>
        </is>
      </c>
      <c r="B43" s="50" t="n"/>
      <c r="C43" s="51">
        <f>SUM(C38:C42)</f>
        <v/>
      </c>
      <c r="D43" s="51">
        <f>SUM(D38:D42)</f>
        <v/>
      </c>
      <c r="E43" s="51">
        <f>C43-D43</f>
        <v/>
      </c>
      <c r="F43" s="52">
        <f>IFERROR(D43/C43,0)</f>
        <v/>
      </c>
      <c r="G43" s="53" t="inlineStr"/>
    </row>
    <row r="44" ht="22" customHeight="1">
      <c r="A44" s="54" t="inlineStr">
        <is>
          <t>PERSONAL</t>
        </is>
      </c>
    </row>
    <row r="45" ht="18" customHeight="1">
      <c r="A45" s="46" t="inlineStr">
        <is>
          <t>PERSONAL</t>
        </is>
      </c>
      <c r="B45" s="46" t="inlineStr">
        <is>
          <t>Clothing</t>
        </is>
      </c>
      <c r="C45" s="22" t="n">
        <v>0</v>
      </c>
      <c r="D45" s="22" t="n">
        <v>0</v>
      </c>
      <c r="E45" s="47">
        <f>C45-D45</f>
        <v/>
      </c>
      <c r="F45" s="34">
        <f>IFERROR(D45/C45,0)</f>
        <v/>
      </c>
      <c r="G45" s="46" t="inlineStr"/>
    </row>
    <row r="46" ht="18" customHeight="1">
      <c r="A46" s="42" t="inlineStr">
        <is>
          <t>PERSONAL</t>
        </is>
      </c>
      <c r="B46" s="42" t="inlineStr">
        <is>
          <t>Gifts</t>
        </is>
      </c>
      <c r="C46" s="29" t="n">
        <v>0</v>
      </c>
      <c r="D46" s="29" t="n">
        <v>0</v>
      </c>
      <c r="E46" s="28">
        <f>C46-D46</f>
        <v/>
      </c>
      <c r="F46" s="48">
        <f>IFERROR(D46/C46,0)</f>
        <v/>
      </c>
      <c r="G46" s="42" t="inlineStr"/>
    </row>
    <row r="47" ht="18" customHeight="1">
      <c r="A47" s="46" t="inlineStr">
        <is>
          <t>PERSONAL</t>
        </is>
      </c>
      <c r="B47" s="46" t="inlineStr">
        <is>
          <t>Education</t>
        </is>
      </c>
      <c r="C47" s="22" t="n">
        <v>0</v>
      </c>
      <c r="D47" s="22" t="n">
        <v>0</v>
      </c>
      <c r="E47" s="47">
        <f>C47-D47</f>
        <v/>
      </c>
      <c r="F47" s="34">
        <f>IFERROR(D47/C47,0)</f>
        <v/>
      </c>
      <c r="G47" s="46" t="inlineStr"/>
    </row>
    <row r="48" ht="18" customHeight="1">
      <c r="A48" s="42" t="inlineStr">
        <is>
          <t>PERSONAL</t>
        </is>
      </c>
      <c r="B48" s="42" t="inlineStr">
        <is>
          <t>Pet Care</t>
        </is>
      </c>
      <c r="C48" s="29" t="n">
        <v>0</v>
      </c>
      <c r="D48" s="29" t="n">
        <v>0</v>
      </c>
      <c r="E48" s="28">
        <f>C48-D48</f>
        <v/>
      </c>
      <c r="F48" s="48">
        <f>IFERROR(D48/C48,0)</f>
        <v/>
      </c>
      <c r="G48" s="42" t="inlineStr"/>
    </row>
    <row r="49" ht="18" customHeight="1">
      <c r="A49" s="46" t="inlineStr">
        <is>
          <t>PERSONAL</t>
        </is>
      </c>
      <c r="B49" s="46" t="inlineStr">
        <is>
          <t>Miscellaneous</t>
        </is>
      </c>
      <c r="C49" s="22" t="n">
        <v>0</v>
      </c>
      <c r="D49" s="22" t="n">
        <v>0</v>
      </c>
      <c r="E49" s="47">
        <f>C49-D49</f>
        <v/>
      </c>
      <c r="F49" s="34">
        <f>IFERROR(D49/C49,0)</f>
        <v/>
      </c>
      <c r="G49" s="46" t="inlineStr"/>
    </row>
    <row r="50" ht="20" customHeight="1">
      <c r="A50" s="49" t="inlineStr">
        <is>
          <t>Subtotal — PERSONAL</t>
        </is>
      </c>
      <c r="B50" s="50" t="n"/>
      <c r="C50" s="51">
        <f>SUM(C45:C49)</f>
        <v/>
      </c>
      <c r="D50" s="51">
        <f>SUM(D45:D49)</f>
        <v/>
      </c>
      <c r="E50" s="51">
        <f>C50-D50</f>
        <v/>
      </c>
      <c r="F50" s="52">
        <f>IFERROR(D50/C50,0)</f>
        <v/>
      </c>
      <c r="G50" s="53" t="inlineStr"/>
    </row>
    <row r="51" ht="22" customHeight="1">
      <c r="A51" s="54" t="inlineStr">
        <is>
          <t>SAVINGS &amp; INVESTMENTS</t>
        </is>
      </c>
    </row>
    <row r="52" ht="18" customHeight="1">
      <c r="A52" s="46" t="inlineStr">
        <is>
          <t>SAVINGS &amp; INVESTMENTS</t>
        </is>
      </c>
      <c r="B52" s="46" t="inlineStr">
        <is>
          <t>Emergency Fund</t>
        </is>
      </c>
      <c r="C52" s="22" t="n">
        <v>0</v>
      </c>
      <c r="D52" s="22" t="n">
        <v>0</v>
      </c>
      <c r="E52" s="47">
        <f>C52-D52</f>
        <v/>
      </c>
      <c r="F52" s="34">
        <f>IFERROR(D52/C52,0)</f>
        <v/>
      </c>
      <c r="G52" s="46" t="inlineStr"/>
    </row>
    <row r="53" ht="18" customHeight="1">
      <c r="A53" s="42" t="inlineStr">
        <is>
          <t>SAVINGS &amp; INVESTMENTS</t>
        </is>
      </c>
      <c r="B53" s="42" t="inlineStr">
        <is>
          <t>Pension/IRA</t>
        </is>
      </c>
      <c r="C53" s="29" t="n">
        <v>0</v>
      </c>
      <c r="D53" s="29" t="n">
        <v>0</v>
      </c>
      <c r="E53" s="28">
        <f>C53-D53</f>
        <v/>
      </c>
      <c r="F53" s="48">
        <f>IFERROR(D53/C53,0)</f>
        <v/>
      </c>
      <c r="G53" s="42" t="inlineStr"/>
    </row>
    <row r="54" ht="18" customHeight="1">
      <c r="A54" s="46" t="inlineStr">
        <is>
          <t>SAVINGS &amp; INVESTMENTS</t>
        </is>
      </c>
      <c r="B54" s="46" t="inlineStr">
        <is>
          <t>Stocks</t>
        </is>
      </c>
      <c r="C54" s="22" t="n">
        <v>0</v>
      </c>
      <c r="D54" s="22" t="n">
        <v>0</v>
      </c>
      <c r="E54" s="47">
        <f>C54-D54</f>
        <v/>
      </c>
      <c r="F54" s="34">
        <f>IFERROR(D54/C54,0)</f>
        <v/>
      </c>
      <c r="G54" s="46" t="inlineStr"/>
    </row>
    <row r="55" ht="18" customHeight="1">
      <c r="A55" s="42" t="inlineStr">
        <is>
          <t>SAVINGS &amp; INVESTMENTS</t>
        </is>
      </c>
      <c r="B55" s="42" t="inlineStr">
        <is>
          <t>Vacation Fund</t>
        </is>
      </c>
      <c r="C55" s="29" t="n">
        <v>0</v>
      </c>
      <c r="D55" s="29" t="n">
        <v>0</v>
      </c>
      <c r="E55" s="28">
        <f>C55-D55</f>
        <v/>
      </c>
      <c r="F55" s="48">
        <f>IFERROR(D55/C55,0)</f>
        <v/>
      </c>
      <c r="G55" s="42" t="inlineStr"/>
    </row>
    <row r="56" ht="18" customHeight="1">
      <c r="A56" s="46" t="inlineStr">
        <is>
          <t>SAVINGS &amp; INVESTMENTS</t>
        </is>
      </c>
      <c r="B56" s="46" t="inlineStr">
        <is>
          <t>Other Savings</t>
        </is>
      </c>
      <c r="C56" s="22" t="n">
        <v>0</v>
      </c>
      <c r="D56" s="22" t="n">
        <v>0</v>
      </c>
      <c r="E56" s="47">
        <f>C56-D56</f>
        <v/>
      </c>
      <c r="F56" s="34">
        <f>IFERROR(D56/C56,0)</f>
        <v/>
      </c>
      <c r="G56" s="46" t="inlineStr"/>
    </row>
    <row r="57" ht="20" customHeight="1">
      <c r="A57" s="49" t="inlineStr">
        <is>
          <t>Subtotal — SAVINGS &amp; INVESTMENTS</t>
        </is>
      </c>
      <c r="B57" s="50" t="n"/>
      <c r="C57" s="51">
        <f>SUM(C52:C56)</f>
        <v/>
      </c>
      <c r="D57" s="51">
        <f>SUM(D52:D56)</f>
        <v/>
      </c>
      <c r="E57" s="51">
        <f>C57-D57</f>
        <v/>
      </c>
      <c r="F57" s="52">
        <f>IFERROR(D57/C57,0)</f>
        <v/>
      </c>
      <c r="G57" s="53" t="inlineStr"/>
    </row>
    <row r="58" ht="22" customHeight="1">
      <c r="A58" s="54" t="inlineStr">
        <is>
          <t>DEBT PAYMENTS</t>
        </is>
      </c>
    </row>
    <row r="59" ht="18" customHeight="1">
      <c r="A59" s="46" t="inlineStr">
        <is>
          <t>DEBT PAYMENTS</t>
        </is>
      </c>
      <c r="B59" s="46" t="inlineStr">
        <is>
          <t>Credit Card 1</t>
        </is>
      </c>
      <c r="C59" s="22" t="n">
        <v>0</v>
      </c>
      <c r="D59" s="22" t="n">
        <v>0</v>
      </c>
      <c r="E59" s="47">
        <f>C59-D59</f>
        <v/>
      </c>
      <c r="F59" s="34">
        <f>IFERROR(D59/C59,0)</f>
        <v/>
      </c>
      <c r="G59" s="46" t="inlineStr"/>
    </row>
    <row r="60" ht="18" customHeight="1">
      <c r="A60" s="42" t="inlineStr">
        <is>
          <t>DEBT PAYMENTS</t>
        </is>
      </c>
      <c r="B60" s="42" t="inlineStr">
        <is>
          <t>Credit Card 2</t>
        </is>
      </c>
      <c r="C60" s="29" t="n">
        <v>0</v>
      </c>
      <c r="D60" s="29" t="n">
        <v>0</v>
      </c>
      <c r="E60" s="28">
        <f>C60-D60</f>
        <v/>
      </c>
      <c r="F60" s="48">
        <f>IFERROR(D60/C60,0)</f>
        <v/>
      </c>
      <c r="G60" s="42" t="inlineStr"/>
    </row>
    <row r="61" ht="18" customHeight="1">
      <c r="A61" s="46" t="inlineStr">
        <is>
          <t>DEBT PAYMENTS</t>
        </is>
      </c>
      <c r="B61" s="46" t="inlineStr">
        <is>
          <t>Student Loan</t>
        </is>
      </c>
      <c r="C61" s="22" t="n">
        <v>0</v>
      </c>
      <c r="D61" s="22" t="n">
        <v>0</v>
      </c>
      <c r="E61" s="47">
        <f>C61-D61</f>
        <v/>
      </c>
      <c r="F61" s="34">
        <f>IFERROR(D61/C61,0)</f>
        <v/>
      </c>
      <c r="G61" s="46" t="inlineStr"/>
    </row>
    <row r="62" ht="18" customHeight="1">
      <c r="A62" s="42" t="inlineStr">
        <is>
          <t>DEBT PAYMENTS</t>
        </is>
      </c>
      <c r="B62" s="42" t="inlineStr">
        <is>
          <t>Car Loan</t>
        </is>
      </c>
      <c r="C62" s="29" t="n">
        <v>0</v>
      </c>
      <c r="D62" s="29" t="n">
        <v>0</v>
      </c>
      <c r="E62" s="28">
        <f>C62-D62</f>
        <v/>
      </c>
      <c r="F62" s="48">
        <f>IFERROR(D62/C62,0)</f>
        <v/>
      </c>
      <c r="G62" s="42" t="inlineStr"/>
    </row>
    <row r="63" ht="18" customHeight="1">
      <c r="A63" s="46" t="inlineStr">
        <is>
          <t>DEBT PAYMENTS</t>
        </is>
      </c>
      <c r="B63" s="46" t="inlineStr">
        <is>
          <t>Other</t>
        </is>
      </c>
      <c r="C63" s="22" t="n">
        <v>0</v>
      </c>
      <c r="D63" s="22" t="n">
        <v>0</v>
      </c>
      <c r="E63" s="47">
        <f>C63-D63</f>
        <v/>
      </c>
      <c r="F63" s="34">
        <f>IFERROR(D63/C63,0)</f>
        <v/>
      </c>
      <c r="G63" s="46" t="inlineStr"/>
    </row>
    <row r="64" ht="20" customHeight="1">
      <c r="A64" s="49" t="inlineStr">
        <is>
          <t>Subtotal — DEBT PAYMENTS</t>
        </is>
      </c>
      <c r="B64" s="50" t="n"/>
      <c r="C64" s="51">
        <f>SUM(C59:C63)</f>
        <v/>
      </c>
      <c r="D64" s="51">
        <f>SUM(D59:D63)</f>
        <v/>
      </c>
      <c r="E64" s="51">
        <f>C64-D64</f>
        <v/>
      </c>
      <c r="F64" s="52">
        <f>IFERROR(D64/C64,0)</f>
        <v/>
      </c>
      <c r="G64" s="53" t="inlineStr"/>
    </row>
    <row r="65" ht="24" customHeight="1">
      <c r="A65" s="55" t="inlineStr">
        <is>
          <t>GRAND TOTAL EXPENSES</t>
        </is>
      </c>
      <c r="B65" s="7" t="n"/>
      <c r="C65" s="56">
        <f>C15+C22+C29+C36+C43+C50+C57+C64</f>
        <v/>
      </c>
      <c r="D65" s="56">
        <f>D15+D22+D29+D36+D43+D50+D57+D64</f>
        <v/>
      </c>
      <c r="E65" s="56">
        <f>C65-D65</f>
        <v/>
      </c>
      <c r="F65" s="57" t="inlineStr"/>
      <c r="G65" s="57" t="inlineStr"/>
    </row>
    <row r="66" ht="26" customHeight="1">
      <c r="A66" s="58" t="inlineStr">
        <is>
          <t>NET CASH FLOW</t>
        </is>
      </c>
      <c r="B66" s="4" t="n"/>
      <c r="C66" s="59">
        <f>C8-C65</f>
        <v/>
      </c>
      <c r="D66" s="59">
        <f>D8-D65</f>
        <v/>
      </c>
      <c r="E66" s="59">
        <f>C66-D66</f>
        <v/>
      </c>
      <c r="F66" s="60" t="inlineStr"/>
      <c r="G66" s="60" t="inlineStr"/>
    </row>
    <row r="68" ht="18" customHeight="1">
      <c r="I68" s="12" t="inlineStr">
        <is>
          <t>Category</t>
        </is>
      </c>
      <c r="J68" s="12" t="inlineStr">
        <is>
          <t>Budgeted</t>
        </is>
      </c>
      <c r="K68" s="12" t="inlineStr">
        <is>
          <t>Actual</t>
        </is>
      </c>
    </row>
    <row r="69" ht="18" customHeight="1">
      <c r="I69" s="46" t="inlineStr">
        <is>
          <t>HOUSING</t>
        </is>
      </c>
      <c r="J69" s="47">
        <f>C15</f>
        <v/>
      </c>
      <c r="K69" s="47">
        <f>D15</f>
        <v/>
      </c>
    </row>
    <row r="70" ht="18" customHeight="1">
      <c r="I70" s="42" t="inlineStr">
        <is>
          <t>TRANSPORT</t>
        </is>
      </c>
      <c r="J70" s="28">
        <f>C22</f>
        <v/>
      </c>
      <c r="K70" s="28">
        <f>D22</f>
        <v/>
      </c>
    </row>
    <row r="71" ht="18" customHeight="1">
      <c r="I71" s="46" t="inlineStr">
        <is>
          <t>FOOD &amp; DINING</t>
        </is>
      </c>
      <c r="J71" s="47">
        <f>C29</f>
        <v/>
      </c>
      <c r="K71" s="47">
        <f>D29</f>
        <v/>
      </c>
    </row>
    <row r="72" ht="18" customHeight="1">
      <c r="I72" s="42" t="inlineStr">
        <is>
          <t>HEALTH &amp; WELLNESS</t>
        </is>
      </c>
      <c r="J72" s="28">
        <f>C36</f>
        <v/>
      </c>
      <c r="K72" s="28">
        <f>D36</f>
        <v/>
      </c>
    </row>
    <row r="73" ht="18" customHeight="1">
      <c r="I73" s="46" t="inlineStr">
        <is>
          <t>LIFESTYLE</t>
        </is>
      </c>
      <c r="J73" s="47">
        <f>C43</f>
        <v/>
      </c>
      <c r="K73" s="47">
        <f>D43</f>
        <v/>
      </c>
    </row>
    <row r="74" ht="18" customHeight="1">
      <c r="I74" s="42" t="inlineStr">
        <is>
          <t>PERSONAL</t>
        </is>
      </c>
      <c r="J74" s="28">
        <f>C50</f>
        <v/>
      </c>
      <c r="K74" s="28">
        <f>D50</f>
        <v/>
      </c>
    </row>
    <row r="75" ht="18" customHeight="1">
      <c r="I75" s="46" t="inlineStr">
        <is>
          <t>SAVINGS &amp; INVESTMENTS</t>
        </is>
      </c>
      <c r="J75" s="47">
        <f>C57</f>
        <v/>
      </c>
      <c r="K75" s="47">
        <f>D57</f>
        <v/>
      </c>
    </row>
    <row r="76" ht="18" customHeight="1">
      <c r="I76" s="42" t="inlineStr">
        <is>
          <t>DEBT PAYMENTS</t>
        </is>
      </c>
      <c r="J76" s="28">
        <f>C64</f>
        <v/>
      </c>
      <c r="K76" s="28">
        <f>D64</f>
        <v/>
      </c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5C8A52"/>
    <outlinePr summaryBelow="1" summaryRight="1"/>
    <pageSetUpPr/>
  </sheetPr>
  <dimension ref="A1:K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4" customWidth="1" min="5" max="5"/>
    <col width="11" customWidth="1" min="6" max="6"/>
    <col width="20" customWidth="1" min="7" max="7"/>
  </cols>
  <sheetData>
    <row r="1" ht="48" customHeight="1">
      <c r="A1" s="44" t="inlineStr">
        <is>
          <t>FEBRUARY  ·  MONTHLY BUDGET</t>
        </is>
      </c>
    </row>
    <row r="2" ht="20" customHeight="1">
      <c r="A2" s="2" t="inlineStr">
        <is>
          <t>Track your income and expenses for February</t>
        </is>
      </c>
    </row>
    <row r="3" ht="22" customHeight="1">
      <c r="A3" s="3" t="inlineStr">
        <is>
          <t>CATEGORY</t>
        </is>
      </c>
      <c r="B3" s="3" t="inlineStr">
        <is>
          <t>SUBCATEGORY</t>
        </is>
      </c>
      <c r="C3" s="3" t="inlineStr">
        <is>
          <t>BUDGETED</t>
        </is>
      </c>
      <c r="D3" s="3" t="inlineStr">
        <is>
          <t>ACTUAL</t>
        </is>
      </c>
      <c r="E3" s="3" t="inlineStr">
        <is>
          <t>DIFFERENCE</t>
        </is>
      </c>
      <c r="F3" s="3" t="inlineStr">
        <is>
          <t>% USED</t>
        </is>
      </c>
      <c r="G3" s="3" t="inlineStr">
        <is>
          <t>NOTES</t>
        </is>
      </c>
    </row>
    <row r="4" ht="22" customHeight="1">
      <c r="A4" s="45" t="inlineStr">
        <is>
          <t>INCOME</t>
        </is>
      </c>
    </row>
    <row r="5" ht="18" customHeight="1">
      <c r="A5" s="46" t="inlineStr">
        <is>
          <t>INCOME</t>
        </is>
      </c>
      <c r="B5" s="46" t="inlineStr">
        <is>
          <t>Primary Income</t>
        </is>
      </c>
      <c r="C5" s="22" t="n">
        <v>0</v>
      </c>
      <c r="D5" s="22" t="n">
        <v>0</v>
      </c>
      <c r="E5" s="47">
        <f>C5-D5</f>
        <v/>
      </c>
      <c r="F5" s="34">
        <f>IFERROR(D5/C5,0)</f>
        <v/>
      </c>
      <c r="G5" s="46" t="inlineStr"/>
    </row>
    <row r="6" ht="18" customHeight="1">
      <c r="A6" s="42" t="inlineStr">
        <is>
          <t>INCOME</t>
        </is>
      </c>
      <c r="B6" s="42" t="inlineStr">
        <is>
          <t>Side Income</t>
        </is>
      </c>
      <c r="C6" s="29" t="n">
        <v>0</v>
      </c>
      <c r="D6" s="29" t="n">
        <v>0</v>
      </c>
      <c r="E6" s="28">
        <f>C6-D6</f>
        <v/>
      </c>
      <c r="F6" s="48">
        <f>IFERROR(D6/C6,0)</f>
        <v/>
      </c>
      <c r="G6" s="42" t="inlineStr"/>
    </row>
    <row r="7" ht="18" customHeight="1">
      <c r="A7" s="46" t="inlineStr">
        <is>
          <t>INCOME</t>
        </is>
      </c>
      <c r="B7" s="46" t="inlineStr">
        <is>
          <t>Other Income</t>
        </is>
      </c>
      <c r="C7" s="22" t="n">
        <v>0</v>
      </c>
      <c r="D7" s="22" t="n">
        <v>0</v>
      </c>
      <c r="E7" s="47">
        <f>C7-D7</f>
        <v/>
      </c>
      <c r="F7" s="34">
        <f>IFERROR(D7/C7,0)</f>
        <v/>
      </c>
      <c r="G7" s="46" t="inlineStr"/>
    </row>
    <row r="8" ht="20" customHeight="1">
      <c r="A8" s="49" t="inlineStr">
        <is>
          <t>TOTAL INCOME</t>
        </is>
      </c>
      <c r="B8" s="50" t="n"/>
      <c r="C8" s="51">
        <f>SUM(C5:C7)</f>
        <v/>
      </c>
      <c r="D8" s="51">
        <f>SUM(D5:D7)</f>
        <v/>
      </c>
      <c r="E8" s="51">
        <f>C8-D8</f>
        <v/>
      </c>
      <c r="F8" s="52">
        <f>IFERROR(D8/C8,0)</f>
        <v/>
      </c>
      <c r="G8" s="53" t="inlineStr"/>
    </row>
    <row r="9" ht="22" customHeight="1">
      <c r="A9" s="54" t="inlineStr">
        <is>
          <t>HOUSING</t>
        </is>
      </c>
    </row>
    <row r="10" ht="18" customHeight="1">
      <c r="A10" s="46" t="inlineStr">
        <is>
          <t>HOUSING</t>
        </is>
      </c>
      <c r="B10" s="46" t="inlineStr">
        <is>
          <t>Rent/Mortgage</t>
        </is>
      </c>
      <c r="C10" s="22" t="n">
        <v>0</v>
      </c>
      <c r="D10" s="22" t="n">
        <v>0</v>
      </c>
      <c r="E10" s="47">
        <f>C10-D10</f>
        <v/>
      </c>
      <c r="F10" s="34">
        <f>IFERROR(D10/C10,0)</f>
        <v/>
      </c>
      <c r="G10" s="46" t="inlineStr"/>
    </row>
    <row r="11" ht="18" customHeight="1">
      <c r="A11" s="42" t="inlineStr">
        <is>
          <t>HOUSING</t>
        </is>
      </c>
      <c r="B11" s="42" t="inlineStr">
        <is>
          <t>Utilities</t>
        </is>
      </c>
      <c r="C11" s="29" t="n">
        <v>0</v>
      </c>
      <c r="D11" s="29" t="n">
        <v>0</v>
      </c>
      <c r="E11" s="28">
        <f>C11-D11</f>
        <v/>
      </c>
      <c r="F11" s="48">
        <f>IFERROR(D11/C11,0)</f>
        <v/>
      </c>
      <c r="G11" s="42" t="inlineStr"/>
    </row>
    <row r="12" ht="18" customHeight="1">
      <c r="A12" s="46" t="inlineStr">
        <is>
          <t>HOUSING</t>
        </is>
      </c>
      <c r="B12" s="46" t="inlineStr">
        <is>
          <t>Electricity</t>
        </is>
      </c>
      <c r="C12" s="22" t="n">
        <v>0</v>
      </c>
      <c r="D12" s="22" t="n">
        <v>0</v>
      </c>
      <c r="E12" s="47">
        <f>C12-D12</f>
        <v/>
      </c>
      <c r="F12" s="34">
        <f>IFERROR(D12/C12,0)</f>
        <v/>
      </c>
      <c r="G12" s="46" t="inlineStr"/>
    </row>
    <row r="13" ht="18" customHeight="1">
      <c r="A13" s="42" t="inlineStr">
        <is>
          <t>HOUSING</t>
        </is>
      </c>
      <c r="B13" s="42" t="inlineStr">
        <is>
          <t>Internet</t>
        </is>
      </c>
      <c r="C13" s="29" t="n">
        <v>0</v>
      </c>
      <c r="D13" s="29" t="n">
        <v>0</v>
      </c>
      <c r="E13" s="28">
        <f>C13-D13</f>
        <v/>
      </c>
      <c r="F13" s="48">
        <f>IFERROR(D13/C13,0)</f>
        <v/>
      </c>
      <c r="G13" s="42" t="inlineStr"/>
    </row>
    <row r="14" ht="18" customHeight="1">
      <c r="A14" s="46" t="inlineStr">
        <is>
          <t>HOUSING</t>
        </is>
      </c>
      <c r="B14" s="46" t="inlineStr">
        <is>
          <t>Home Insurance</t>
        </is>
      </c>
      <c r="C14" s="22" t="n">
        <v>0</v>
      </c>
      <c r="D14" s="22" t="n">
        <v>0</v>
      </c>
      <c r="E14" s="47">
        <f>C14-D14</f>
        <v/>
      </c>
      <c r="F14" s="34">
        <f>IFERROR(D14/C14,0)</f>
        <v/>
      </c>
      <c r="G14" s="46" t="inlineStr"/>
    </row>
    <row r="15" ht="20" customHeight="1">
      <c r="A15" s="49" t="inlineStr">
        <is>
          <t>Subtotal — HOUSING</t>
        </is>
      </c>
      <c r="B15" s="50" t="n"/>
      <c r="C15" s="51">
        <f>SUM(C10:C14)</f>
        <v/>
      </c>
      <c r="D15" s="51">
        <f>SUM(D10:D14)</f>
        <v/>
      </c>
      <c r="E15" s="51">
        <f>C15-D15</f>
        <v/>
      </c>
      <c r="F15" s="52">
        <f>IFERROR(D15/C15,0)</f>
        <v/>
      </c>
      <c r="G15" s="53" t="inlineStr"/>
    </row>
    <row r="16" ht="22" customHeight="1">
      <c r="A16" s="54" t="inlineStr">
        <is>
          <t>TRANSPORT</t>
        </is>
      </c>
    </row>
    <row r="17" ht="18" customHeight="1">
      <c r="A17" s="46" t="inlineStr">
        <is>
          <t>TRANSPORT</t>
        </is>
      </c>
      <c r="B17" s="46" t="inlineStr">
        <is>
          <t>Car Payment</t>
        </is>
      </c>
      <c r="C17" s="22" t="n">
        <v>0</v>
      </c>
      <c r="D17" s="22" t="n">
        <v>0</v>
      </c>
      <c r="E17" s="47">
        <f>C17-D17</f>
        <v/>
      </c>
      <c r="F17" s="34">
        <f>IFERROR(D17/C17,0)</f>
        <v/>
      </c>
      <c r="G17" s="46" t="inlineStr"/>
    </row>
    <row r="18" ht="18" customHeight="1">
      <c r="A18" s="42" t="inlineStr">
        <is>
          <t>TRANSPORT</t>
        </is>
      </c>
      <c r="B18" s="42" t="inlineStr">
        <is>
          <t>Fuel</t>
        </is>
      </c>
      <c r="C18" s="29" t="n">
        <v>0</v>
      </c>
      <c r="D18" s="29" t="n">
        <v>0</v>
      </c>
      <c r="E18" s="28">
        <f>C18-D18</f>
        <v/>
      </c>
      <c r="F18" s="48">
        <f>IFERROR(D18/C18,0)</f>
        <v/>
      </c>
      <c r="G18" s="42" t="inlineStr"/>
    </row>
    <row r="19" ht="18" customHeight="1">
      <c r="A19" s="46" t="inlineStr">
        <is>
          <t>TRANSPORT</t>
        </is>
      </c>
      <c r="B19" s="46" t="inlineStr">
        <is>
          <t>Car Insurance</t>
        </is>
      </c>
      <c r="C19" s="22" t="n">
        <v>0</v>
      </c>
      <c r="D19" s="22" t="n">
        <v>0</v>
      </c>
      <c r="E19" s="47">
        <f>C19-D19</f>
        <v/>
      </c>
      <c r="F19" s="34">
        <f>IFERROR(D19/C19,0)</f>
        <v/>
      </c>
      <c r="G19" s="46" t="inlineStr"/>
    </row>
    <row r="20" ht="18" customHeight="1">
      <c r="A20" s="42" t="inlineStr">
        <is>
          <t>TRANSPORT</t>
        </is>
      </c>
      <c r="B20" s="42" t="inlineStr">
        <is>
          <t>Parking</t>
        </is>
      </c>
      <c r="C20" s="29" t="n">
        <v>0</v>
      </c>
      <c r="D20" s="29" t="n">
        <v>0</v>
      </c>
      <c r="E20" s="28">
        <f>C20-D20</f>
        <v/>
      </c>
      <c r="F20" s="48">
        <f>IFERROR(D20/C20,0)</f>
        <v/>
      </c>
      <c r="G20" s="42" t="inlineStr"/>
    </row>
    <row r="21" ht="18" customHeight="1">
      <c r="A21" s="46" t="inlineStr">
        <is>
          <t>TRANSPORT</t>
        </is>
      </c>
      <c r="B21" s="46" t="inlineStr">
        <is>
          <t>Public Transport</t>
        </is>
      </c>
      <c r="C21" s="22" t="n">
        <v>0</v>
      </c>
      <c r="D21" s="22" t="n">
        <v>0</v>
      </c>
      <c r="E21" s="47">
        <f>C21-D21</f>
        <v/>
      </c>
      <c r="F21" s="34">
        <f>IFERROR(D21/C21,0)</f>
        <v/>
      </c>
      <c r="G21" s="46" t="inlineStr"/>
    </row>
    <row r="22" ht="20" customHeight="1">
      <c r="A22" s="49" t="inlineStr">
        <is>
          <t>Subtotal — TRANSPORT</t>
        </is>
      </c>
      <c r="B22" s="50" t="n"/>
      <c r="C22" s="51">
        <f>SUM(C17:C21)</f>
        <v/>
      </c>
      <c r="D22" s="51">
        <f>SUM(D17:D21)</f>
        <v/>
      </c>
      <c r="E22" s="51">
        <f>C22-D22</f>
        <v/>
      </c>
      <c r="F22" s="52">
        <f>IFERROR(D22/C22,0)</f>
        <v/>
      </c>
      <c r="G22" s="53" t="inlineStr"/>
    </row>
    <row r="23" ht="22" customHeight="1">
      <c r="A23" s="54" t="inlineStr">
        <is>
          <t>FOOD &amp; DINING</t>
        </is>
      </c>
    </row>
    <row r="24" ht="18" customHeight="1">
      <c r="A24" s="46" t="inlineStr">
        <is>
          <t>FOOD &amp; DINING</t>
        </is>
      </c>
      <c r="B24" s="46" t="inlineStr">
        <is>
          <t>Groceries</t>
        </is>
      </c>
      <c r="C24" s="22" t="n">
        <v>0</v>
      </c>
      <c r="D24" s="22" t="n">
        <v>0</v>
      </c>
      <c r="E24" s="47">
        <f>C24-D24</f>
        <v/>
      </c>
      <c r="F24" s="34">
        <f>IFERROR(D24/C24,0)</f>
        <v/>
      </c>
      <c r="G24" s="46" t="inlineStr"/>
    </row>
    <row r="25" ht="18" customHeight="1">
      <c r="A25" s="42" t="inlineStr">
        <is>
          <t>FOOD &amp; DINING</t>
        </is>
      </c>
      <c r="B25" s="42" t="inlineStr">
        <is>
          <t>Restaurants</t>
        </is>
      </c>
      <c r="C25" s="29" t="n">
        <v>0</v>
      </c>
      <c r="D25" s="29" t="n">
        <v>0</v>
      </c>
      <c r="E25" s="28">
        <f>C25-D25</f>
        <v/>
      </c>
      <c r="F25" s="48">
        <f>IFERROR(D25/C25,0)</f>
        <v/>
      </c>
      <c r="G25" s="42" t="inlineStr"/>
    </row>
    <row r="26" ht="18" customHeight="1">
      <c r="A26" s="46" t="inlineStr">
        <is>
          <t>FOOD &amp; DINING</t>
        </is>
      </c>
      <c r="B26" s="46" t="inlineStr">
        <is>
          <t>Coffee</t>
        </is>
      </c>
      <c r="C26" s="22" t="n">
        <v>0</v>
      </c>
      <c r="D26" s="22" t="n">
        <v>0</v>
      </c>
      <c r="E26" s="47">
        <f>C26-D26</f>
        <v/>
      </c>
      <c r="F26" s="34">
        <f>IFERROR(D26/C26,0)</f>
        <v/>
      </c>
      <c r="G26" s="46" t="inlineStr"/>
    </row>
    <row r="27" ht="18" customHeight="1">
      <c r="A27" s="42" t="inlineStr">
        <is>
          <t>FOOD &amp; DINING</t>
        </is>
      </c>
      <c r="B27" s="42" t="inlineStr">
        <is>
          <t>Food Delivery</t>
        </is>
      </c>
      <c r="C27" s="29" t="n">
        <v>0</v>
      </c>
      <c r="D27" s="29" t="n">
        <v>0</v>
      </c>
      <c r="E27" s="28">
        <f>C27-D27</f>
        <v/>
      </c>
      <c r="F27" s="48">
        <f>IFERROR(D27/C27,0)</f>
        <v/>
      </c>
      <c r="G27" s="42" t="inlineStr"/>
    </row>
    <row r="28" ht="18" customHeight="1">
      <c r="A28" s="46" t="inlineStr">
        <is>
          <t>FOOD &amp; DINING</t>
        </is>
      </c>
      <c r="B28" s="46" t="inlineStr">
        <is>
          <t>Work Lunch</t>
        </is>
      </c>
      <c r="C28" s="22" t="n">
        <v>0</v>
      </c>
      <c r="D28" s="22" t="n">
        <v>0</v>
      </c>
      <c r="E28" s="47">
        <f>C28-D28</f>
        <v/>
      </c>
      <c r="F28" s="34">
        <f>IFERROR(D28/C28,0)</f>
        <v/>
      </c>
      <c r="G28" s="46" t="inlineStr"/>
    </row>
    <row r="29" ht="20" customHeight="1">
      <c r="A29" s="49" t="inlineStr">
        <is>
          <t>Subtotal — FOOD &amp; DINING</t>
        </is>
      </c>
      <c r="B29" s="50" t="n"/>
      <c r="C29" s="51">
        <f>SUM(C24:C28)</f>
        <v/>
      </c>
      <c r="D29" s="51">
        <f>SUM(D24:D28)</f>
        <v/>
      </c>
      <c r="E29" s="51">
        <f>C29-D29</f>
        <v/>
      </c>
      <c r="F29" s="52">
        <f>IFERROR(D29/C29,0)</f>
        <v/>
      </c>
      <c r="G29" s="53" t="inlineStr"/>
    </row>
    <row r="30" ht="22" customHeight="1">
      <c r="A30" s="54" t="inlineStr">
        <is>
          <t>HEALTH &amp; WELLNESS</t>
        </is>
      </c>
    </row>
    <row r="31" ht="18" customHeight="1">
      <c r="A31" s="46" t="inlineStr">
        <is>
          <t>HEALTH &amp; WELLNESS</t>
        </is>
      </c>
      <c r="B31" s="46" t="inlineStr">
        <is>
          <t>Health Insurance</t>
        </is>
      </c>
      <c r="C31" s="22" t="n">
        <v>0</v>
      </c>
      <c r="D31" s="22" t="n">
        <v>0</v>
      </c>
      <c r="E31" s="47">
        <f>C31-D31</f>
        <v/>
      </c>
      <c r="F31" s="34">
        <f>IFERROR(D31/C31,0)</f>
        <v/>
      </c>
      <c r="G31" s="46" t="inlineStr"/>
    </row>
    <row r="32" ht="18" customHeight="1">
      <c r="A32" s="42" t="inlineStr">
        <is>
          <t>HEALTH &amp; WELLNESS</t>
        </is>
      </c>
      <c r="B32" s="42" t="inlineStr">
        <is>
          <t>Gym</t>
        </is>
      </c>
      <c r="C32" s="29" t="n">
        <v>0</v>
      </c>
      <c r="D32" s="29" t="n">
        <v>0</v>
      </c>
      <c r="E32" s="28">
        <f>C32-D32</f>
        <v/>
      </c>
      <c r="F32" s="48">
        <f>IFERROR(D32/C32,0)</f>
        <v/>
      </c>
      <c r="G32" s="42" t="inlineStr"/>
    </row>
    <row r="33" ht="18" customHeight="1">
      <c r="A33" s="46" t="inlineStr">
        <is>
          <t>HEALTH &amp; WELLNESS</t>
        </is>
      </c>
      <c r="B33" s="46" t="inlineStr">
        <is>
          <t>Pharmacy</t>
        </is>
      </c>
      <c r="C33" s="22" t="n">
        <v>0</v>
      </c>
      <c r="D33" s="22" t="n">
        <v>0</v>
      </c>
      <c r="E33" s="47">
        <f>C33-D33</f>
        <v/>
      </c>
      <c r="F33" s="34">
        <f>IFERROR(D33/C33,0)</f>
        <v/>
      </c>
      <c r="G33" s="46" t="inlineStr"/>
    </row>
    <row r="34" ht="18" customHeight="1">
      <c r="A34" s="42" t="inlineStr">
        <is>
          <t>HEALTH &amp; WELLNESS</t>
        </is>
      </c>
      <c r="B34" s="42" t="inlineStr">
        <is>
          <t>Doctor</t>
        </is>
      </c>
      <c r="C34" s="29" t="n">
        <v>0</v>
      </c>
      <c r="D34" s="29" t="n">
        <v>0</v>
      </c>
      <c r="E34" s="28">
        <f>C34-D34</f>
        <v/>
      </c>
      <c r="F34" s="48">
        <f>IFERROR(D34/C34,0)</f>
        <v/>
      </c>
      <c r="G34" s="42" t="inlineStr"/>
    </row>
    <row r="35" ht="18" customHeight="1">
      <c r="A35" s="46" t="inlineStr">
        <is>
          <t>HEALTH &amp; WELLNESS</t>
        </is>
      </c>
      <c r="B35" s="46" t="inlineStr">
        <is>
          <t>Dental</t>
        </is>
      </c>
      <c r="C35" s="22" t="n">
        <v>0</v>
      </c>
      <c r="D35" s="22" t="n">
        <v>0</v>
      </c>
      <c r="E35" s="47">
        <f>C35-D35</f>
        <v/>
      </c>
      <c r="F35" s="34">
        <f>IFERROR(D35/C35,0)</f>
        <v/>
      </c>
      <c r="G35" s="46" t="inlineStr"/>
    </row>
    <row r="36" ht="20" customHeight="1">
      <c r="A36" s="49" t="inlineStr">
        <is>
          <t>Subtotal — HEALTH &amp; WELLNESS</t>
        </is>
      </c>
      <c r="B36" s="50" t="n"/>
      <c r="C36" s="51">
        <f>SUM(C31:C35)</f>
        <v/>
      </c>
      <c r="D36" s="51">
        <f>SUM(D31:D35)</f>
        <v/>
      </c>
      <c r="E36" s="51">
        <f>C36-D36</f>
        <v/>
      </c>
      <c r="F36" s="52">
        <f>IFERROR(D36/C36,0)</f>
        <v/>
      </c>
      <c r="G36" s="53" t="inlineStr"/>
    </row>
    <row r="37" ht="22" customHeight="1">
      <c r="A37" s="54" t="inlineStr">
        <is>
          <t>LIFESTYLE</t>
        </is>
      </c>
    </row>
    <row r="38" ht="18" customHeight="1">
      <c r="A38" s="46" t="inlineStr">
        <is>
          <t>LIFESTYLE</t>
        </is>
      </c>
      <c r="B38" s="46" t="inlineStr">
        <is>
          <t>Streaming Services</t>
        </is>
      </c>
      <c r="C38" s="22" t="n">
        <v>0</v>
      </c>
      <c r="D38" s="22" t="n">
        <v>0</v>
      </c>
      <c r="E38" s="47">
        <f>C38-D38</f>
        <v/>
      </c>
      <c r="F38" s="34">
        <f>IFERROR(D38/C38,0)</f>
        <v/>
      </c>
      <c r="G38" s="46" t="inlineStr"/>
    </row>
    <row r="39" ht="18" customHeight="1">
      <c r="A39" s="42" t="inlineStr">
        <is>
          <t>LIFESTYLE</t>
        </is>
      </c>
      <c r="B39" s="42" t="inlineStr">
        <is>
          <t>Entertainment</t>
        </is>
      </c>
      <c r="C39" s="29" t="n">
        <v>0</v>
      </c>
      <c r="D39" s="29" t="n">
        <v>0</v>
      </c>
      <c r="E39" s="28">
        <f>C39-D39</f>
        <v/>
      </c>
      <c r="F39" s="48">
        <f>IFERROR(D39/C39,0)</f>
        <v/>
      </c>
      <c r="G39" s="42" t="inlineStr"/>
    </row>
    <row r="40" ht="18" customHeight="1">
      <c r="A40" s="46" t="inlineStr">
        <is>
          <t>LIFESTYLE</t>
        </is>
      </c>
      <c r="B40" s="46" t="inlineStr">
        <is>
          <t>Hobbies</t>
        </is>
      </c>
      <c r="C40" s="22" t="n">
        <v>0</v>
      </c>
      <c r="D40" s="22" t="n">
        <v>0</v>
      </c>
      <c r="E40" s="47">
        <f>C40-D40</f>
        <v/>
      </c>
      <c r="F40" s="34">
        <f>IFERROR(D40/C40,0)</f>
        <v/>
      </c>
      <c r="G40" s="46" t="inlineStr"/>
    </row>
    <row r="41" ht="18" customHeight="1">
      <c r="A41" s="42" t="inlineStr">
        <is>
          <t>LIFESTYLE</t>
        </is>
      </c>
      <c r="B41" s="42" t="inlineStr">
        <is>
          <t>Personal Care</t>
        </is>
      </c>
      <c r="C41" s="29" t="n">
        <v>0</v>
      </c>
      <c r="D41" s="29" t="n">
        <v>0</v>
      </c>
      <c r="E41" s="28">
        <f>C41-D41</f>
        <v/>
      </c>
      <c r="F41" s="48">
        <f>IFERROR(D41/C41,0)</f>
        <v/>
      </c>
      <c r="G41" s="42" t="inlineStr"/>
    </row>
    <row r="42" ht="18" customHeight="1">
      <c r="A42" s="46" t="inlineStr">
        <is>
          <t>LIFESTYLE</t>
        </is>
      </c>
      <c r="B42" s="46" t="inlineStr">
        <is>
          <t>Books</t>
        </is>
      </c>
      <c r="C42" s="22" t="n">
        <v>0</v>
      </c>
      <c r="D42" s="22" t="n">
        <v>0</v>
      </c>
      <c r="E42" s="47">
        <f>C42-D42</f>
        <v/>
      </c>
      <c r="F42" s="34">
        <f>IFERROR(D42/C42,0)</f>
        <v/>
      </c>
      <c r="G42" s="46" t="inlineStr"/>
    </row>
    <row r="43" ht="20" customHeight="1">
      <c r="A43" s="49" t="inlineStr">
        <is>
          <t>Subtotal — LIFESTYLE</t>
        </is>
      </c>
      <c r="B43" s="50" t="n"/>
      <c r="C43" s="51">
        <f>SUM(C38:C42)</f>
        <v/>
      </c>
      <c r="D43" s="51">
        <f>SUM(D38:D42)</f>
        <v/>
      </c>
      <c r="E43" s="51">
        <f>C43-D43</f>
        <v/>
      </c>
      <c r="F43" s="52">
        <f>IFERROR(D43/C43,0)</f>
        <v/>
      </c>
      <c r="G43" s="53" t="inlineStr"/>
    </row>
    <row r="44" ht="22" customHeight="1">
      <c r="A44" s="54" t="inlineStr">
        <is>
          <t>PERSONAL</t>
        </is>
      </c>
    </row>
    <row r="45" ht="18" customHeight="1">
      <c r="A45" s="46" t="inlineStr">
        <is>
          <t>PERSONAL</t>
        </is>
      </c>
      <c r="B45" s="46" t="inlineStr">
        <is>
          <t>Clothing</t>
        </is>
      </c>
      <c r="C45" s="22" t="n">
        <v>0</v>
      </c>
      <c r="D45" s="22" t="n">
        <v>0</v>
      </c>
      <c r="E45" s="47">
        <f>C45-D45</f>
        <v/>
      </c>
      <c r="F45" s="34">
        <f>IFERROR(D45/C45,0)</f>
        <v/>
      </c>
      <c r="G45" s="46" t="inlineStr"/>
    </row>
    <row r="46" ht="18" customHeight="1">
      <c r="A46" s="42" t="inlineStr">
        <is>
          <t>PERSONAL</t>
        </is>
      </c>
      <c r="B46" s="42" t="inlineStr">
        <is>
          <t>Gifts</t>
        </is>
      </c>
      <c r="C46" s="29" t="n">
        <v>0</v>
      </c>
      <c r="D46" s="29" t="n">
        <v>0</v>
      </c>
      <c r="E46" s="28">
        <f>C46-D46</f>
        <v/>
      </c>
      <c r="F46" s="48">
        <f>IFERROR(D46/C46,0)</f>
        <v/>
      </c>
      <c r="G46" s="42" t="inlineStr"/>
    </row>
    <row r="47" ht="18" customHeight="1">
      <c r="A47" s="46" t="inlineStr">
        <is>
          <t>PERSONAL</t>
        </is>
      </c>
      <c r="B47" s="46" t="inlineStr">
        <is>
          <t>Education</t>
        </is>
      </c>
      <c r="C47" s="22" t="n">
        <v>0</v>
      </c>
      <c r="D47" s="22" t="n">
        <v>0</v>
      </c>
      <c r="E47" s="47">
        <f>C47-D47</f>
        <v/>
      </c>
      <c r="F47" s="34">
        <f>IFERROR(D47/C47,0)</f>
        <v/>
      </c>
      <c r="G47" s="46" t="inlineStr"/>
    </row>
    <row r="48" ht="18" customHeight="1">
      <c r="A48" s="42" t="inlineStr">
        <is>
          <t>PERSONAL</t>
        </is>
      </c>
      <c r="B48" s="42" t="inlineStr">
        <is>
          <t>Pet Care</t>
        </is>
      </c>
      <c r="C48" s="29" t="n">
        <v>0</v>
      </c>
      <c r="D48" s="29" t="n">
        <v>0</v>
      </c>
      <c r="E48" s="28">
        <f>C48-D48</f>
        <v/>
      </c>
      <c r="F48" s="48">
        <f>IFERROR(D48/C48,0)</f>
        <v/>
      </c>
      <c r="G48" s="42" t="inlineStr"/>
    </row>
    <row r="49" ht="18" customHeight="1">
      <c r="A49" s="46" t="inlineStr">
        <is>
          <t>PERSONAL</t>
        </is>
      </c>
      <c r="B49" s="46" t="inlineStr">
        <is>
          <t>Miscellaneous</t>
        </is>
      </c>
      <c r="C49" s="22" t="n">
        <v>0</v>
      </c>
      <c r="D49" s="22" t="n">
        <v>0</v>
      </c>
      <c r="E49" s="47">
        <f>C49-D49</f>
        <v/>
      </c>
      <c r="F49" s="34">
        <f>IFERROR(D49/C49,0)</f>
        <v/>
      </c>
      <c r="G49" s="46" t="inlineStr"/>
    </row>
    <row r="50" ht="20" customHeight="1">
      <c r="A50" s="49" t="inlineStr">
        <is>
          <t>Subtotal — PERSONAL</t>
        </is>
      </c>
      <c r="B50" s="50" t="n"/>
      <c r="C50" s="51">
        <f>SUM(C45:C49)</f>
        <v/>
      </c>
      <c r="D50" s="51">
        <f>SUM(D45:D49)</f>
        <v/>
      </c>
      <c r="E50" s="51">
        <f>C50-D50</f>
        <v/>
      </c>
      <c r="F50" s="52">
        <f>IFERROR(D50/C50,0)</f>
        <v/>
      </c>
      <c r="G50" s="53" t="inlineStr"/>
    </row>
    <row r="51" ht="22" customHeight="1">
      <c r="A51" s="54" t="inlineStr">
        <is>
          <t>SAVINGS &amp; INVESTMENTS</t>
        </is>
      </c>
    </row>
    <row r="52" ht="18" customHeight="1">
      <c r="A52" s="46" t="inlineStr">
        <is>
          <t>SAVINGS &amp; INVESTMENTS</t>
        </is>
      </c>
      <c r="B52" s="46" t="inlineStr">
        <is>
          <t>Emergency Fund</t>
        </is>
      </c>
      <c r="C52" s="22" t="n">
        <v>0</v>
      </c>
      <c r="D52" s="22" t="n">
        <v>0</v>
      </c>
      <c r="E52" s="47">
        <f>C52-D52</f>
        <v/>
      </c>
      <c r="F52" s="34">
        <f>IFERROR(D52/C52,0)</f>
        <v/>
      </c>
      <c r="G52" s="46" t="inlineStr"/>
    </row>
    <row r="53" ht="18" customHeight="1">
      <c r="A53" s="42" t="inlineStr">
        <is>
          <t>SAVINGS &amp; INVESTMENTS</t>
        </is>
      </c>
      <c r="B53" s="42" t="inlineStr">
        <is>
          <t>Pension/IRA</t>
        </is>
      </c>
      <c r="C53" s="29" t="n">
        <v>0</v>
      </c>
      <c r="D53" s="29" t="n">
        <v>0</v>
      </c>
      <c r="E53" s="28">
        <f>C53-D53</f>
        <v/>
      </c>
      <c r="F53" s="48">
        <f>IFERROR(D53/C53,0)</f>
        <v/>
      </c>
      <c r="G53" s="42" t="inlineStr"/>
    </row>
    <row r="54" ht="18" customHeight="1">
      <c r="A54" s="46" t="inlineStr">
        <is>
          <t>SAVINGS &amp; INVESTMENTS</t>
        </is>
      </c>
      <c r="B54" s="46" t="inlineStr">
        <is>
          <t>Stocks</t>
        </is>
      </c>
      <c r="C54" s="22" t="n">
        <v>0</v>
      </c>
      <c r="D54" s="22" t="n">
        <v>0</v>
      </c>
      <c r="E54" s="47">
        <f>C54-D54</f>
        <v/>
      </c>
      <c r="F54" s="34">
        <f>IFERROR(D54/C54,0)</f>
        <v/>
      </c>
      <c r="G54" s="46" t="inlineStr"/>
    </row>
    <row r="55" ht="18" customHeight="1">
      <c r="A55" s="42" t="inlineStr">
        <is>
          <t>SAVINGS &amp; INVESTMENTS</t>
        </is>
      </c>
      <c r="B55" s="42" t="inlineStr">
        <is>
          <t>Vacation Fund</t>
        </is>
      </c>
      <c r="C55" s="29" t="n">
        <v>0</v>
      </c>
      <c r="D55" s="29" t="n">
        <v>0</v>
      </c>
      <c r="E55" s="28">
        <f>C55-D55</f>
        <v/>
      </c>
      <c r="F55" s="48">
        <f>IFERROR(D55/C55,0)</f>
        <v/>
      </c>
      <c r="G55" s="42" t="inlineStr"/>
    </row>
    <row r="56" ht="18" customHeight="1">
      <c r="A56" s="46" t="inlineStr">
        <is>
          <t>SAVINGS &amp; INVESTMENTS</t>
        </is>
      </c>
      <c r="B56" s="46" t="inlineStr">
        <is>
          <t>Other Savings</t>
        </is>
      </c>
      <c r="C56" s="22" t="n">
        <v>0</v>
      </c>
      <c r="D56" s="22" t="n">
        <v>0</v>
      </c>
      <c r="E56" s="47">
        <f>C56-D56</f>
        <v/>
      </c>
      <c r="F56" s="34">
        <f>IFERROR(D56/C56,0)</f>
        <v/>
      </c>
      <c r="G56" s="46" t="inlineStr"/>
    </row>
    <row r="57" ht="20" customHeight="1">
      <c r="A57" s="49" t="inlineStr">
        <is>
          <t>Subtotal — SAVINGS &amp; INVESTMENTS</t>
        </is>
      </c>
      <c r="B57" s="50" t="n"/>
      <c r="C57" s="51">
        <f>SUM(C52:C56)</f>
        <v/>
      </c>
      <c r="D57" s="51">
        <f>SUM(D52:D56)</f>
        <v/>
      </c>
      <c r="E57" s="51">
        <f>C57-D57</f>
        <v/>
      </c>
      <c r="F57" s="52">
        <f>IFERROR(D57/C57,0)</f>
        <v/>
      </c>
      <c r="G57" s="53" t="inlineStr"/>
    </row>
    <row r="58" ht="22" customHeight="1">
      <c r="A58" s="54" t="inlineStr">
        <is>
          <t>DEBT PAYMENTS</t>
        </is>
      </c>
    </row>
    <row r="59" ht="18" customHeight="1">
      <c r="A59" s="46" t="inlineStr">
        <is>
          <t>DEBT PAYMENTS</t>
        </is>
      </c>
      <c r="B59" s="46" t="inlineStr">
        <is>
          <t>Credit Card 1</t>
        </is>
      </c>
      <c r="C59" s="22" t="n">
        <v>0</v>
      </c>
      <c r="D59" s="22" t="n">
        <v>0</v>
      </c>
      <c r="E59" s="47">
        <f>C59-D59</f>
        <v/>
      </c>
      <c r="F59" s="34">
        <f>IFERROR(D59/C59,0)</f>
        <v/>
      </c>
      <c r="G59" s="46" t="inlineStr"/>
    </row>
    <row r="60" ht="18" customHeight="1">
      <c r="A60" s="42" t="inlineStr">
        <is>
          <t>DEBT PAYMENTS</t>
        </is>
      </c>
      <c r="B60" s="42" t="inlineStr">
        <is>
          <t>Credit Card 2</t>
        </is>
      </c>
      <c r="C60" s="29" t="n">
        <v>0</v>
      </c>
      <c r="D60" s="29" t="n">
        <v>0</v>
      </c>
      <c r="E60" s="28">
        <f>C60-D60</f>
        <v/>
      </c>
      <c r="F60" s="48">
        <f>IFERROR(D60/C60,0)</f>
        <v/>
      </c>
      <c r="G60" s="42" t="inlineStr"/>
    </row>
    <row r="61" ht="18" customHeight="1">
      <c r="A61" s="46" t="inlineStr">
        <is>
          <t>DEBT PAYMENTS</t>
        </is>
      </c>
      <c r="B61" s="46" t="inlineStr">
        <is>
          <t>Student Loan</t>
        </is>
      </c>
      <c r="C61" s="22" t="n">
        <v>0</v>
      </c>
      <c r="D61" s="22" t="n">
        <v>0</v>
      </c>
      <c r="E61" s="47">
        <f>C61-D61</f>
        <v/>
      </c>
      <c r="F61" s="34">
        <f>IFERROR(D61/C61,0)</f>
        <v/>
      </c>
      <c r="G61" s="46" t="inlineStr"/>
    </row>
    <row r="62" ht="18" customHeight="1">
      <c r="A62" s="42" t="inlineStr">
        <is>
          <t>DEBT PAYMENTS</t>
        </is>
      </c>
      <c r="B62" s="42" t="inlineStr">
        <is>
          <t>Car Loan</t>
        </is>
      </c>
      <c r="C62" s="29" t="n">
        <v>0</v>
      </c>
      <c r="D62" s="29" t="n">
        <v>0</v>
      </c>
      <c r="E62" s="28">
        <f>C62-D62</f>
        <v/>
      </c>
      <c r="F62" s="48">
        <f>IFERROR(D62/C62,0)</f>
        <v/>
      </c>
      <c r="G62" s="42" t="inlineStr"/>
    </row>
    <row r="63" ht="18" customHeight="1">
      <c r="A63" s="46" t="inlineStr">
        <is>
          <t>DEBT PAYMENTS</t>
        </is>
      </c>
      <c r="B63" s="46" t="inlineStr">
        <is>
          <t>Other</t>
        </is>
      </c>
      <c r="C63" s="22" t="n">
        <v>0</v>
      </c>
      <c r="D63" s="22" t="n">
        <v>0</v>
      </c>
      <c r="E63" s="47">
        <f>C63-D63</f>
        <v/>
      </c>
      <c r="F63" s="34">
        <f>IFERROR(D63/C63,0)</f>
        <v/>
      </c>
      <c r="G63" s="46" t="inlineStr"/>
    </row>
    <row r="64" ht="20" customHeight="1">
      <c r="A64" s="49" t="inlineStr">
        <is>
          <t>Subtotal — DEBT PAYMENTS</t>
        </is>
      </c>
      <c r="B64" s="50" t="n"/>
      <c r="C64" s="51">
        <f>SUM(C59:C63)</f>
        <v/>
      </c>
      <c r="D64" s="51">
        <f>SUM(D59:D63)</f>
        <v/>
      </c>
      <c r="E64" s="51">
        <f>C64-D64</f>
        <v/>
      </c>
      <c r="F64" s="52">
        <f>IFERROR(D64/C64,0)</f>
        <v/>
      </c>
      <c r="G64" s="53" t="inlineStr"/>
    </row>
    <row r="65" ht="24" customHeight="1">
      <c r="A65" s="55" t="inlineStr">
        <is>
          <t>GRAND TOTAL EXPENSES</t>
        </is>
      </c>
      <c r="B65" s="7" t="n"/>
      <c r="C65" s="56">
        <f>C15+C22+C29+C36+C43+C50+C57+C64</f>
        <v/>
      </c>
      <c r="D65" s="56">
        <f>D15+D22+D29+D36+D43+D50+D57+D64</f>
        <v/>
      </c>
      <c r="E65" s="56">
        <f>C65-D65</f>
        <v/>
      </c>
      <c r="F65" s="57" t="inlineStr"/>
      <c r="G65" s="57" t="inlineStr"/>
    </row>
    <row r="66" ht="26" customHeight="1">
      <c r="A66" s="58" t="inlineStr">
        <is>
          <t>NET CASH FLOW</t>
        </is>
      </c>
      <c r="B66" s="4" t="n"/>
      <c r="C66" s="59">
        <f>C8-C65</f>
        <v/>
      </c>
      <c r="D66" s="59">
        <f>D8-D65</f>
        <v/>
      </c>
      <c r="E66" s="59">
        <f>C66-D66</f>
        <v/>
      </c>
      <c r="F66" s="60" t="inlineStr"/>
      <c r="G66" s="60" t="inlineStr"/>
    </row>
    <row r="68" ht="18" customHeight="1">
      <c r="I68" s="12" t="inlineStr">
        <is>
          <t>Category</t>
        </is>
      </c>
      <c r="J68" s="12" t="inlineStr">
        <is>
          <t>Budgeted</t>
        </is>
      </c>
      <c r="K68" s="12" t="inlineStr">
        <is>
          <t>Actual</t>
        </is>
      </c>
    </row>
    <row r="69" ht="18" customHeight="1">
      <c r="I69" s="46" t="inlineStr">
        <is>
          <t>HOUSING</t>
        </is>
      </c>
      <c r="J69" s="47">
        <f>C15</f>
        <v/>
      </c>
      <c r="K69" s="47">
        <f>D15</f>
        <v/>
      </c>
    </row>
    <row r="70" ht="18" customHeight="1">
      <c r="I70" s="42" t="inlineStr">
        <is>
          <t>TRANSPORT</t>
        </is>
      </c>
      <c r="J70" s="28">
        <f>C22</f>
        <v/>
      </c>
      <c r="K70" s="28">
        <f>D22</f>
        <v/>
      </c>
    </row>
    <row r="71" ht="18" customHeight="1">
      <c r="I71" s="46" t="inlineStr">
        <is>
          <t>FOOD &amp; DINING</t>
        </is>
      </c>
      <c r="J71" s="47">
        <f>C29</f>
        <v/>
      </c>
      <c r="K71" s="47">
        <f>D29</f>
        <v/>
      </c>
    </row>
    <row r="72" ht="18" customHeight="1">
      <c r="I72" s="42" t="inlineStr">
        <is>
          <t>HEALTH &amp; WELLNESS</t>
        </is>
      </c>
      <c r="J72" s="28">
        <f>C36</f>
        <v/>
      </c>
      <c r="K72" s="28">
        <f>D36</f>
        <v/>
      </c>
    </row>
    <row r="73" ht="18" customHeight="1">
      <c r="I73" s="46" t="inlineStr">
        <is>
          <t>LIFESTYLE</t>
        </is>
      </c>
      <c r="J73" s="47">
        <f>C43</f>
        <v/>
      </c>
      <c r="K73" s="47">
        <f>D43</f>
        <v/>
      </c>
    </row>
    <row r="74" ht="18" customHeight="1">
      <c r="I74" s="42" t="inlineStr">
        <is>
          <t>PERSONAL</t>
        </is>
      </c>
      <c r="J74" s="28">
        <f>C50</f>
        <v/>
      </c>
      <c r="K74" s="28">
        <f>D50</f>
        <v/>
      </c>
    </row>
    <row r="75" ht="18" customHeight="1">
      <c r="I75" s="46" t="inlineStr">
        <is>
          <t>SAVINGS &amp; INVESTMENTS</t>
        </is>
      </c>
      <c r="J75" s="47">
        <f>C57</f>
        <v/>
      </c>
      <c r="K75" s="47">
        <f>D57</f>
        <v/>
      </c>
    </row>
    <row r="76" ht="18" customHeight="1">
      <c r="I76" s="42" t="inlineStr">
        <is>
          <t>DEBT PAYMENTS</t>
        </is>
      </c>
      <c r="J76" s="28">
        <f>C64</f>
        <v/>
      </c>
      <c r="K76" s="28">
        <f>D64</f>
        <v/>
      </c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5C8A52"/>
    <outlinePr summaryBelow="1" summaryRight="1"/>
    <pageSetUpPr/>
  </sheetPr>
  <dimension ref="A1:K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4" customWidth="1" min="5" max="5"/>
    <col width="11" customWidth="1" min="6" max="6"/>
    <col width="20" customWidth="1" min="7" max="7"/>
  </cols>
  <sheetData>
    <row r="1" ht="48" customHeight="1">
      <c r="A1" s="44" t="inlineStr">
        <is>
          <t>MARCH  ·  MONTHLY BUDGET</t>
        </is>
      </c>
    </row>
    <row r="2" ht="20" customHeight="1">
      <c r="A2" s="2" t="inlineStr">
        <is>
          <t>Track your income and expenses for March</t>
        </is>
      </c>
    </row>
    <row r="3" ht="22" customHeight="1">
      <c r="A3" s="3" t="inlineStr">
        <is>
          <t>CATEGORY</t>
        </is>
      </c>
      <c r="B3" s="3" t="inlineStr">
        <is>
          <t>SUBCATEGORY</t>
        </is>
      </c>
      <c r="C3" s="3" t="inlineStr">
        <is>
          <t>BUDGETED</t>
        </is>
      </c>
      <c r="D3" s="3" t="inlineStr">
        <is>
          <t>ACTUAL</t>
        </is>
      </c>
      <c r="E3" s="3" t="inlineStr">
        <is>
          <t>DIFFERENCE</t>
        </is>
      </c>
      <c r="F3" s="3" t="inlineStr">
        <is>
          <t>% USED</t>
        </is>
      </c>
      <c r="G3" s="3" t="inlineStr">
        <is>
          <t>NOTES</t>
        </is>
      </c>
    </row>
    <row r="4" ht="22" customHeight="1">
      <c r="A4" s="45" t="inlineStr">
        <is>
          <t>INCOME</t>
        </is>
      </c>
    </row>
    <row r="5" ht="18" customHeight="1">
      <c r="A5" s="46" t="inlineStr">
        <is>
          <t>INCOME</t>
        </is>
      </c>
      <c r="B5" s="46" t="inlineStr">
        <is>
          <t>Primary Income</t>
        </is>
      </c>
      <c r="C5" s="22" t="n">
        <v>0</v>
      </c>
      <c r="D5" s="22" t="n">
        <v>0</v>
      </c>
      <c r="E5" s="47">
        <f>C5-D5</f>
        <v/>
      </c>
      <c r="F5" s="34">
        <f>IFERROR(D5/C5,0)</f>
        <v/>
      </c>
      <c r="G5" s="46" t="inlineStr"/>
    </row>
    <row r="6" ht="18" customHeight="1">
      <c r="A6" s="42" t="inlineStr">
        <is>
          <t>INCOME</t>
        </is>
      </c>
      <c r="B6" s="42" t="inlineStr">
        <is>
          <t>Side Income</t>
        </is>
      </c>
      <c r="C6" s="29" t="n">
        <v>0</v>
      </c>
      <c r="D6" s="29" t="n">
        <v>0</v>
      </c>
      <c r="E6" s="28">
        <f>C6-D6</f>
        <v/>
      </c>
      <c r="F6" s="48">
        <f>IFERROR(D6/C6,0)</f>
        <v/>
      </c>
      <c r="G6" s="42" t="inlineStr"/>
    </row>
    <row r="7" ht="18" customHeight="1">
      <c r="A7" s="46" t="inlineStr">
        <is>
          <t>INCOME</t>
        </is>
      </c>
      <c r="B7" s="46" t="inlineStr">
        <is>
          <t>Other Income</t>
        </is>
      </c>
      <c r="C7" s="22" t="n">
        <v>0</v>
      </c>
      <c r="D7" s="22" t="n">
        <v>0</v>
      </c>
      <c r="E7" s="47">
        <f>C7-D7</f>
        <v/>
      </c>
      <c r="F7" s="34">
        <f>IFERROR(D7/C7,0)</f>
        <v/>
      </c>
      <c r="G7" s="46" t="inlineStr"/>
    </row>
    <row r="8" ht="20" customHeight="1">
      <c r="A8" s="49" t="inlineStr">
        <is>
          <t>TOTAL INCOME</t>
        </is>
      </c>
      <c r="B8" s="50" t="n"/>
      <c r="C8" s="51">
        <f>SUM(C5:C7)</f>
        <v/>
      </c>
      <c r="D8" s="51">
        <f>SUM(D5:D7)</f>
        <v/>
      </c>
      <c r="E8" s="51">
        <f>C8-D8</f>
        <v/>
      </c>
      <c r="F8" s="52">
        <f>IFERROR(D8/C8,0)</f>
        <v/>
      </c>
      <c r="G8" s="53" t="inlineStr"/>
    </row>
    <row r="9" ht="22" customHeight="1">
      <c r="A9" s="54" t="inlineStr">
        <is>
          <t>HOUSING</t>
        </is>
      </c>
    </row>
    <row r="10" ht="18" customHeight="1">
      <c r="A10" s="46" t="inlineStr">
        <is>
          <t>HOUSING</t>
        </is>
      </c>
      <c r="B10" s="46" t="inlineStr">
        <is>
          <t>Rent/Mortgage</t>
        </is>
      </c>
      <c r="C10" s="22" t="n">
        <v>0</v>
      </c>
      <c r="D10" s="22" t="n">
        <v>0</v>
      </c>
      <c r="E10" s="47">
        <f>C10-D10</f>
        <v/>
      </c>
      <c r="F10" s="34">
        <f>IFERROR(D10/C10,0)</f>
        <v/>
      </c>
      <c r="G10" s="46" t="inlineStr"/>
    </row>
    <row r="11" ht="18" customHeight="1">
      <c r="A11" s="42" t="inlineStr">
        <is>
          <t>HOUSING</t>
        </is>
      </c>
      <c r="B11" s="42" t="inlineStr">
        <is>
          <t>Utilities</t>
        </is>
      </c>
      <c r="C11" s="29" t="n">
        <v>0</v>
      </c>
      <c r="D11" s="29" t="n">
        <v>0</v>
      </c>
      <c r="E11" s="28">
        <f>C11-D11</f>
        <v/>
      </c>
      <c r="F11" s="48">
        <f>IFERROR(D11/C11,0)</f>
        <v/>
      </c>
      <c r="G11" s="42" t="inlineStr"/>
    </row>
    <row r="12" ht="18" customHeight="1">
      <c r="A12" s="46" t="inlineStr">
        <is>
          <t>HOUSING</t>
        </is>
      </c>
      <c r="B12" s="46" t="inlineStr">
        <is>
          <t>Electricity</t>
        </is>
      </c>
      <c r="C12" s="22" t="n">
        <v>0</v>
      </c>
      <c r="D12" s="22" t="n">
        <v>0</v>
      </c>
      <c r="E12" s="47">
        <f>C12-D12</f>
        <v/>
      </c>
      <c r="F12" s="34">
        <f>IFERROR(D12/C12,0)</f>
        <v/>
      </c>
      <c r="G12" s="46" t="inlineStr"/>
    </row>
    <row r="13" ht="18" customHeight="1">
      <c r="A13" s="42" t="inlineStr">
        <is>
          <t>HOUSING</t>
        </is>
      </c>
      <c r="B13" s="42" t="inlineStr">
        <is>
          <t>Internet</t>
        </is>
      </c>
      <c r="C13" s="29" t="n">
        <v>0</v>
      </c>
      <c r="D13" s="29" t="n">
        <v>0</v>
      </c>
      <c r="E13" s="28">
        <f>C13-D13</f>
        <v/>
      </c>
      <c r="F13" s="48">
        <f>IFERROR(D13/C13,0)</f>
        <v/>
      </c>
      <c r="G13" s="42" t="inlineStr"/>
    </row>
    <row r="14" ht="18" customHeight="1">
      <c r="A14" s="46" t="inlineStr">
        <is>
          <t>HOUSING</t>
        </is>
      </c>
      <c r="B14" s="46" t="inlineStr">
        <is>
          <t>Home Insurance</t>
        </is>
      </c>
      <c r="C14" s="22" t="n">
        <v>0</v>
      </c>
      <c r="D14" s="22" t="n">
        <v>0</v>
      </c>
      <c r="E14" s="47">
        <f>C14-D14</f>
        <v/>
      </c>
      <c r="F14" s="34">
        <f>IFERROR(D14/C14,0)</f>
        <v/>
      </c>
      <c r="G14" s="46" t="inlineStr"/>
    </row>
    <row r="15" ht="20" customHeight="1">
      <c r="A15" s="49" t="inlineStr">
        <is>
          <t>Subtotal — HOUSING</t>
        </is>
      </c>
      <c r="B15" s="50" t="n"/>
      <c r="C15" s="51">
        <f>SUM(C10:C14)</f>
        <v/>
      </c>
      <c r="D15" s="51">
        <f>SUM(D10:D14)</f>
        <v/>
      </c>
      <c r="E15" s="51">
        <f>C15-D15</f>
        <v/>
      </c>
      <c r="F15" s="52">
        <f>IFERROR(D15/C15,0)</f>
        <v/>
      </c>
      <c r="G15" s="53" t="inlineStr"/>
    </row>
    <row r="16" ht="22" customHeight="1">
      <c r="A16" s="54" t="inlineStr">
        <is>
          <t>TRANSPORT</t>
        </is>
      </c>
    </row>
    <row r="17" ht="18" customHeight="1">
      <c r="A17" s="46" t="inlineStr">
        <is>
          <t>TRANSPORT</t>
        </is>
      </c>
      <c r="B17" s="46" t="inlineStr">
        <is>
          <t>Car Payment</t>
        </is>
      </c>
      <c r="C17" s="22" t="n">
        <v>0</v>
      </c>
      <c r="D17" s="22" t="n">
        <v>0</v>
      </c>
      <c r="E17" s="47">
        <f>C17-D17</f>
        <v/>
      </c>
      <c r="F17" s="34">
        <f>IFERROR(D17/C17,0)</f>
        <v/>
      </c>
      <c r="G17" s="46" t="inlineStr"/>
    </row>
    <row r="18" ht="18" customHeight="1">
      <c r="A18" s="42" t="inlineStr">
        <is>
          <t>TRANSPORT</t>
        </is>
      </c>
      <c r="B18" s="42" t="inlineStr">
        <is>
          <t>Fuel</t>
        </is>
      </c>
      <c r="C18" s="29" t="n">
        <v>0</v>
      </c>
      <c r="D18" s="29" t="n">
        <v>0</v>
      </c>
      <c r="E18" s="28">
        <f>C18-D18</f>
        <v/>
      </c>
      <c r="F18" s="48">
        <f>IFERROR(D18/C18,0)</f>
        <v/>
      </c>
      <c r="G18" s="42" t="inlineStr"/>
    </row>
    <row r="19" ht="18" customHeight="1">
      <c r="A19" s="46" t="inlineStr">
        <is>
          <t>TRANSPORT</t>
        </is>
      </c>
      <c r="B19" s="46" t="inlineStr">
        <is>
          <t>Car Insurance</t>
        </is>
      </c>
      <c r="C19" s="22" t="n">
        <v>0</v>
      </c>
      <c r="D19" s="22" t="n">
        <v>0</v>
      </c>
      <c r="E19" s="47">
        <f>C19-D19</f>
        <v/>
      </c>
      <c r="F19" s="34">
        <f>IFERROR(D19/C19,0)</f>
        <v/>
      </c>
      <c r="G19" s="46" t="inlineStr"/>
    </row>
    <row r="20" ht="18" customHeight="1">
      <c r="A20" s="42" t="inlineStr">
        <is>
          <t>TRANSPORT</t>
        </is>
      </c>
      <c r="B20" s="42" t="inlineStr">
        <is>
          <t>Parking</t>
        </is>
      </c>
      <c r="C20" s="29" t="n">
        <v>0</v>
      </c>
      <c r="D20" s="29" t="n">
        <v>0</v>
      </c>
      <c r="E20" s="28">
        <f>C20-D20</f>
        <v/>
      </c>
      <c r="F20" s="48">
        <f>IFERROR(D20/C20,0)</f>
        <v/>
      </c>
      <c r="G20" s="42" t="inlineStr"/>
    </row>
    <row r="21" ht="18" customHeight="1">
      <c r="A21" s="46" t="inlineStr">
        <is>
          <t>TRANSPORT</t>
        </is>
      </c>
      <c r="B21" s="46" t="inlineStr">
        <is>
          <t>Public Transport</t>
        </is>
      </c>
      <c r="C21" s="22" t="n">
        <v>0</v>
      </c>
      <c r="D21" s="22" t="n">
        <v>0</v>
      </c>
      <c r="E21" s="47">
        <f>C21-D21</f>
        <v/>
      </c>
      <c r="F21" s="34">
        <f>IFERROR(D21/C21,0)</f>
        <v/>
      </c>
      <c r="G21" s="46" t="inlineStr"/>
    </row>
    <row r="22" ht="20" customHeight="1">
      <c r="A22" s="49" t="inlineStr">
        <is>
          <t>Subtotal — TRANSPORT</t>
        </is>
      </c>
      <c r="B22" s="50" t="n"/>
      <c r="C22" s="51">
        <f>SUM(C17:C21)</f>
        <v/>
      </c>
      <c r="D22" s="51">
        <f>SUM(D17:D21)</f>
        <v/>
      </c>
      <c r="E22" s="51">
        <f>C22-D22</f>
        <v/>
      </c>
      <c r="F22" s="52">
        <f>IFERROR(D22/C22,0)</f>
        <v/>
      </c>
      <c r="G22" s="53" t="inlineStr"/>
    </row>
    <row r="23" ht="22" customHeight="1">
      <c r="A23" s="54" t="inlineStr">
        <is>
          <t>FOOD &amp; DINING</t>
        </is>
      </c>
    </row>
    <row r="24" ht="18" customHeight="1">
      <c r="A24" s="46" t="inlineStr">
        <is>
          <t>FOOD &amp; DINING</t>
        </is>
      </c>
      <c r="B24" s="46" t="inlineStr">
        <is>
          <t>Groceries</t>
        </is>
      </c>
      <c r="C24" s="22" t="n">
        <v>0</v>
      </c>
      <c r="D24" s="22" t="n">
        <v>0</v>
      </c>
      <c r="E24" s="47">
        <f>C24-D24</f>
        <v/>
      </c>
      <c r="F24" s="34">
        <f>IFERROR(D24/C24,0)</f>
        <v/>
      </c>
      <c r="G24" s="46" t="inlineStr"/>
    </row>
    <row r="25" ht="18" customHeight="1">
      <c r="A25" s="42" t="inlineStr">
        <is>
          <t>FOOD &amp; DINING</t>
        </is>
      </c>
      <c r="B25" s="42" t="inlineStr">
        <is>
          <t>Restaurants</t>
        </is>
      </c>
      <c r="C25" s="29" t="n">
        <v>0</v>
      </c>
      <c r="D25" s="29" t="n">
        <v>0</v>
      </c>
      <c r="E25" s="28">
        <f>C25-D25</f>
        <v/>
      </c>
      <c r="F25" s="48">
        <f>IFERROR(D25/C25,0)</f>
        <v/>
      </c>
      <c r="G25" s="42" t="inlineStr"/>
    </row>
    <row r="26" ht="18" customHeight="1">
      <c r="A26" s="46" t="inlineStr">
        <is>
          <t>FOOD &amp; DINING</t>
        </is>
      </c>
      <c r="B26" s="46" t="inlineStr">
        <is>
          <t>Coffee</t>
        </is>
      </c>
      <c r="C26" s="22" t="n">
        <v>0</v>
      </c>
      <c r="D26" s="22" t="n">
        <v>0</v>
      </c>
      <c r="E26" s="47">
        <f>C26-D26</f>
        <v/>
      </c>
      <c r="F26" s="34">
        <f>IFERROR(D26/C26,0)</f>
        <v/>
      </c>
      <c r="G26" s="46" t="inlineStr"/>
    </row>
    <row r="27" ht="18" customHeight="1">
      <c r="A27" s="42" t="inlineStr">
        <is>
          <t>FOOD &amp; DINING</t>
        </is>
      </c>
      <c r="B27" s="42" t="inlineStr">
        <is>
          <t>Food Delivery</t>
        </is>
      </c>
      <c r="C27" s="29" t="n">
        <v>0</v>
      </c>
      <c r="D27" s="29" t="n">
        <v>0</v>
      </c>
      <c r="E27" s="28">
        <f>C27-D27</f>
        <v/>
      </c>
      <c r="F27" s="48">
        <f>IFERROR(D27/C27,0)</f>
        <v/>
      </c>
      <c r="G27" s="42" t="inlineStr"/>
    </row>
    <row r="28" ht="18" customHeight="1">
      <c r="A28" s="46" t="inlineStr">
        <is>
          <t>FOOD &amp; DINING</t>
        </is>
      </c>
      <c r="B28" s="46" t="inlineStr">
        <is>
          <t>Work Lunch</t>
        </is>
      </c>
      <c r="C28" s="22" t="n">
        <v>0</v>
      </c>
      <c r="D28" s="22" t="n">
        <v>0</v>
      </c>
      <c r="E28" s="47">
        <f>C28-D28</f>
        <v/>
      </c>
      <c r="F28" s="34">
        <f>IFERROR(D28/C28,0)</f>
        <v/>
      </c>
      <c r="G28" s="46" t="inlineStr"/>
    </row>
    <row r="29" ht="20" customHeight="1">
      <c r="A29" s="49" t="inlineStr">
        <is>
          <t>Subtotal — FOOD &amp; DINING</t>
        </is>
      </c>
      <c r="B29" s="50" t="n"/>
      <c r="C29" s="51">
        <f>SUM(C24:C28)</f>
        <v/>
      </c>
      <c r="D29" s="51">
        <f>SUM(D24:D28)</f>
        <v/>
      </c>
      <c r="E29" s="51">
        <f>C29-D29</f>
        <v/>
      </c>
      <c r="F29" s="52">
        <f>IFERROR(D29/C29,0)</f>
        <v/>
      </c>
      <c r="G29" s="53" t="inlineStr"/>
    </row>
    <row r="30" ht="22" customHeight="1">
      <c r="A30" s="54" t="inlineStr">
        <is>
          <t>HEALTH &amp; WELLNESS</t>
        </is>
      </c>
    </row>
    <row r="31" ht="18" customHeight="1">
      <c r="A31" s="46" t="inlineStr">
        <is>
          <t>HEALTH &amp; WELLNESS</t>
        </is>
      </c>
      <c r="B31" s="46" t="inlineStr">
        <is>
          <t>Health Insurance</t>
        </is>
      </c>
      <c r="C31" s="22" t="n">
        <v>0</v>
      </c>
      <c r="D31" s="22" t="n">
        <v>0</v>
      </c>
      <c r="E31" s="47">
        <f>C31-D31</f>
        <v/>
      </c>
      <c r="F31" s="34">
        <f>IFERROR(D31/C31,0)</f>
        <v/>
      </c>
      <c r="G31" s="46" t="inlineStr"/>
    </row>
    <row r="32" ht="18" customHeight="1">
      <c r="A32" s="42" t="inlineStr">
        <is>
          <t>HEALTH &amp; WELLNESS</t>
        </is>
      </c>
      <c r="B32" s="42" t="inlineStr">
        <is>
          <t>Gym</t>
        </is>
      </c>
      <c r="C32" s="29" t="n">
        <v>0</v>
      </c>
      <c r="D32" s="29" t="n">
        <v>0</v>
      </c>
      <c r="E32" s="28">
        <f>C32-D32</f>
        <v/>
      </c>
      <c r="F32" s="48">
        <f>IFERROR(D32/C32,0)</f>
        <v/>
      </c>
      <c r="G32" s="42" t="inlineStr"/>
    </row>
    <row r="33" ht="18" customHeight="1">
      <c r="A33" s="46" t="inlineStr">
        <is>
          <t>HEALTH &amp; WELLNESS</t>
        </is>
      </c>
      <c r="B33" s="46" t="inlineStr">
        <is>
          <t>Pharmacy</t>
        </is>
      </c>
      <c r="C33" s="22" t="n">
        <v>0</v>
      </c>
      <c r="D33" s="22" t="n">
        <v>0</v>
      </c>
      <c r="E33" s="47">
        <f>C33-D33</f>
        <v/>
      </c>
      <c r="F33" s="34">
        <f>IFERROR(D33/C33,0)</f>
        <v/>
      </c>
      <c r="G33" s="46" t="inlineStr"/>
    </row>
    <row r="34" ht="18" customHeight="1">
      <c r="A34" s="42" t="inlineStr">
        <is>
          <t>HEALTH &amp; WELLNESS</t>
        </is>
      </c>
      <c r="B34" s="42" t="inlineStr">
        <is>
          <t>Doctor</t>
        </is>
      </c>
      <c r="C34" s="29" t="n">
        <v>0</v>
      </c>
      <c r="D34" s="29" t="n">
        <v>0</v>
      </c>
      <c r="E34" s="28">
        <f>C34-D34</f>
        <v/>
      </c>
      <c r="F34" s="48">
        <f>IFERROR(D34/C34,0)</f>
        <v/>
      </c>
      <c r="G34" s="42" t="inlineStr"/>
    </row>
    <row r="35" ht="18" customHeight="1">
      <c r="A35" s="46" t="inlineStr">
        <is>
          <t>HEALTH &amp; WELLNESS</t>
        </is>
      </c>
      <c r="B35" s="46" t="inlineStr">
        <is>
          <t>Dental</t>
        </is>
      </c>
      <c r="C35" s="22" t="n">
        <v>0</v>
      </c>
      <c r="D35" s="22" t="n">
        <v>0</v>
      </c>
      <c r="E35" s="47">
        <f>C35-D35</f>
        <v/>
      </c>
      <c r="F35" s="34">
        <f>IFERROR(D35/C35,0)</f>
        <v/>
      </c>
      <c r="G35" s="46" t="inlineStr"/>
    </row>
    <row r="36" ht="20" customHeight="1">
      <c r="A36" s="49" t="inlineStr">
        <is>
          <t>Subtotal — HEALTH &amp; WELLNESS</t>
        </is>
      </c>
      <c r="B36" s="50" t="n"/>
      <c r="C36" s="51">
        <f>SUM(C31:C35)</f>
        <v/>
      </c>
      <c r="D36" s="51">
        <f>SUM(D31:D35)</f>
        <v/>
      </c>
      <c r="E36" s="51">
        <f>C36-D36</f>
        <v/>
      </c>
      <c r="F36" s="52">
        <f>IFERROR(D36/C36,0)</f>
        <v/>
      </c>
      <c r="G36" s="53" t="inlineStr"/>
    </row>
    <row r="37" ht="22" customHeight="1">
      <c r="A37" s="54" t="inlineStr">
        <is>
          <t>LIFESTYLE</t>
        </is>
      </c>
    </row>
    <row r="38" ht="18" customHeight="1">
      <c r="A38" s="46" t="inlineStr">
        <is>
          <t>LIFESTYLE</t>
        </is>
      </c>
      <c r="B38" s="46" t="inlineStr">
        <is>
          <t>Streaming Services</t>
        </is>
      </c>
      <c r="C38" s="22" t="n">
        <v>0</v>
      </c>
      <c r="D38" s="22" t="n">
        <v>0</v>
      </c>
      <c r="E38" s="47">
        <f>C38-D38</f>
        <v/>
      </c>
      <c r="F38" s="34">
        <f>IFERROR(D38/C38,0)</f>
        <v/>
      </c>
      <c r="G38" s="46" t="inlineStr"/>
    </row>
    <row r="39" ht="18" customHeight="1">
      <c r="A39" s="42" t="inlineStr">
        <is>
          <t>LIFESTYLE</t>
        </is>
      </c>
      <c r="B39" s="42" t="inlineStr">
        <is>
          <t>Entertainment</t>
        </is>
      </c>
      <c r="C39" s="29" t="n">
        <v>0</v>
      </c>
      <c r="D39" s="29" t="n">
        <v>0</v>
      </c>
      <c r="E39" s="28">
        <f>C39-D39</f>
        <v/>
      </c>
      <c r="F39" s="48">
        <f>IFERROR(D39/C39,0)</f>
        <v/>
      </c>
      <c r="G39" s="42" t="inlineStr"/>
    </row>
    <row r="40" ht="18" customHeight="1">
      <c r="A40" s="46" t="inlineStr">
        <is>
          <t>LIFESTYLE</t>
        </is>
      </c>
      <c r="B40" s="46" t="inlineStr">
        <is>
          <t>Hobbies</t>
        </is>
      </c>
      <c r="C40" s="22" t="n">
        <v>0</v>
      </c>
      <c r="D40" s="22" t="n">
        <v>0</v>
      </c>
      <c r="E40" s="47">
        <f>C40-D40</f>
        <v/>
      </c>
      <c r="F40" s="34">
        <f>IFERROR(D40/C40,0)</f>
        <v/>
      </c>
      <c r="G40" s="46" t="inlineStr"/>
    </row>
    <row r="41" ht="18" customHeight="1">
      <c r="A41" s="42" t="inlineStr">
        <is>
          <t>LIFESTYLE</t>
        </is>
      </c>
      <c r="B41" s="42" t="inlineStr">
        <is>
          <t>Personal Care</t>
        </is>
      </c>
      <c r="C41" s="29" t="n">
        <v>0</v>
      </c>
      <c r="D41" s="29" t="n">
        <v>0</v>
      </c>
      <c r="E41" s="28">
        <f>C41-D41</f>
        <v/>
      </c>
      <c r="F41" s="48">
        <f>IFERROR(D41/C41,0)</f>
        <v/>
      </c>
      <c r="G41" s="42" t="inlineStr"/>
    </row>
    <row r="42" ht="18" customHeight="1">
      <c r="A42" s="46" t="inlineStr">
        <is>
          <t>LIFESTYLE</t>
        </is>
      </c>
      <c r="B42" s="46" t="inlineStr">
        <is>
          <t>Books</t>
        </is>
      </c>
      <c r="C42" s="22" t="n">
        <v>0</v>
      </c>
      <c r="D42" s="22" t="n">
        <v>0</v>
      </c>
      <c r="E42" s="47">
        <f>C42-D42</f>
        <v/>
      </c>
      <c r="F42" s="34">
        <f>IFERROR(D42/C42,0)</f>
        <v/>
      </c>
      <c r="G42" s="46" t="inlineStr"/>
    </row>
    <row r="43" ht="20" customHeight="1">
      <c r="A43" s="49" t="inlineStr">
        <is>
          <t>Subtotal — LIFESTYLE</t>
        </is>
      </c>
      <c r="B43" s="50" t="n"/>
      <c r="C43" s="51">
        <f>SUM(C38:C42)</f>
        <v/>
      </c>
      <c r="D43" s="51">
        <f>SUM(D38:D42)</f>
        <v/>
      </c>
      <c r="E43" s="51">
        <f>C43-D43</f>
        <v/>
      </c>
      <c r="F43" s="52">
        <f>IFERROR(D43/C43,0)</f>
        <v/>
      </c>
      <c r="G43" s="53" t="inlineStr"/>
    </row>
    <row r="44" ht="22" customHeight="1">
      <c r="A44" s="54" t="inlineStr">
        <is>
          <t>PERSONAL</t>
        </is>
      </c>
    </row>
    <row r="45" ht="18" customHeight="1">
      <c r="A45" s="46" t="inlineStr">
        <is>
          <t>PERSONAL</t>
        </is>
      </c>
      <c r="B45" s="46" t="inlineStr">
        <is>
          <t>Clothing</t>
        </is>
      </c>
      <c r="C45" s="22" t="n">
        <v>0</v>
      </c>
      <c r="D45" s="22" t="n">
        <v>0</v>
      </c>
      <c r="E45" s="47">
        <f>C45-D45</f>
        <v/>
      </c>
      <c r="F45" s="34">
        <f>IFERROR(D45/C45,0)</f>
        <v/>
      </c>
      <c r="G45" s="46" t="inlineStr"/>
    </row>
    <row r="46" ht="18" customHeight="1">
      <c r="A46" s="42" t="inlineStr">
        <is>
          <t>PERSONAL</t>
        </is>
      </c>
      <c r="B46" s="42" t="inlineStr">
        <is>
          <t>Gifts</t>
        </is>
      </c>
      <c r="C46" s="29" t="n">
        <v>0</v>
      </c>
      <c r="D46" s="29" t="n">
        <v>0</v>
      </c>
      <c r="E46" s="28">
        <f>C46-D46</f>
        <v/>
      </c>
      <c r="F46" s="48">
        <f>IFERROR(D46/C46,0)</f>
        <v/>
      </c>
      <c r="G46" s="42" t="inlineStr"/>
    </row>
    <row r="47" ht="18" customHeight="1">
      <c r="A47" s="46" t="inlineStr">
        <is>
          <t>PERSONAL</t>
        </is>
      </c>
      <c r="B47" s="46" t="inlineStr">
        <is>
          <t>Education</t>
        </is>
      </c>
      <c r="C47" s="22" t="n">
        <v>0</v>
      </c>
      <c r="D47" s="22" t="n">
        <v>0</v>
      </c>
      <c r="E47" s="47">
        <f>C47-D47</f>
        <v/>
      </c>
      <c r="F47" s="34">
        <f>IFERROR(D47/C47,0)</f>
        <v/>
      </c>
      <c r="G47" s="46" t="inlineStr"/>
    </row>
    <row r="48" ht="18" customHeight="1">
      <c r="A48" s="42" t="inlineStr">
        <is>
          <t>PERSONAL</t>
        </is>
      </c>
      <c r="B48" s="42" t="inlineStr">
        <is>
          <t>Pet Care</t>
        </is>
      </c>
      <c r="C48" s="29" t="n">
        <v>0</v>
      </c>
      <c r="D48" s="29" t="n">
        <v>0</v>
      </c>
      <c r="E48" s="28">
        <f>C48-D48</f>
        <v/>
      </c>
      <c r="F48" s="48">
        <f>IFERROR(D48/C48,0)</f>
        <v/>
      </c>
      <c r="G48" s="42" t="inlineStr"/>
    </row>
    <row r="49" ht="18" customHeight="1">
      <c r="A49" s="46" t="inlineStr">
        <is>
          <t>PERSONAL</t>
        </is>
      </c>
      <c r="B49" s="46" t="inlineStr">
        <is>
          <t>Miscellaneous</t>
        </is>
      </c>
      <c r="C49" s="22" t="n">
        <v>0</v>
      </c>
      <c r="D49" s="22" t="n">
        <v>0</v>
      </c>
      <c r="E49" s="47">
        <f>C49-D49</f>
        <v/>
      </c>
      <c r="F49" s="34">
        <f>IFERROR(D49/C49,0)</f>
        <v/>
      </c>
      <c r="G49" s="46" t="inlineStr"/>
    </row>
    <row r="50" ht="20" customHeight="1">
      <c r="A50" s="49" t="inlineStr">
        <is>
          <t>Subtotal — PERSONAL</t>
        </is>
      </c>
      <c r="B50" s="50" t="n"/>
      <c r="C50" s="51">
        <f>SUM(C45:C49)</f>
        <v/>
      </c>
      <c r="D50" s="51">
        <f>SUM(D45:D49)</f>
        <v/>
      </c>
      <c r="E50" s="51">
        <f>C50-D50</f>
        <v/>
      </c>
      <c r="F50" s="52">
        <f>IFERROR(D50/C50,0)</f>
        <v/>
      </c>
      <c r="G50" s="53" t="inlineStr"/>
    </row>
    <row r="51" ht="22" customHeight="1">
      <c r="A51" s="54" t="inlineStr">
        <is>
          <t>SAVINGS &amp; INVESTMENTS</t>
        </is>
      </c>
    </row>
    <row r="52" ht="18" customHeight="1">
      <c r="A52" s="46" t="inlineStr">
        <is>
          <t>SAVINGS &amp; INVESTMENTS</t>
        </is>
      </c>
      <c r="B52" s="46" t="inlineStr">
        <is>
          <t>Emergency Fund</t>
        </is>
      </c>
      <c r="C52" s="22" t="n">
        <v>0</v>
      </c>
      <c r="D52" s="22" t="n">
        <v>0</v>
      </c>
      <c r="E52" s="47">
        <f>C52-D52</f>
        <v/>
      </c>
      <c r="F52" s="34">
        <f>IFERROR(D52/C52,0)</f>
        <v/>
      </c>
      <c r="G52" s="46" t="inlineStr"/>
    </row>
    <row r="53" ht="18" customHeight="1">
      <c r="A53" s="42" t="inlineStr">
        <is>
          <t>SAVINGS &amp; INVESTMENTS</t>
        </is>
      </c>
      <c r="B53" s="42" t="inlineStr">
        <is>
          <t>Pension/IRA</t>
        </is>
      </c>
      <c r="C53" s="29" t="n">
        <v>0</v>
      </c>
      <c r="D53" s="29" t="n">
        <v>0</v>
      </c>
      <c r="E53" s="28">
        <f>C53-D53</f>
        <v/>
      </c>
      <c r="F53" s="48">
        <f>IFERROR(D53/C53,0)</f>
        <v/>
      </c>
      <c r="G53" s="42" t="inlineStr"/>
    </row>
    <row r="54" ht="18" customHeight="1">
      <c r="A54" s="46" t="inlineStr">
        <is>
          <t>SAVINGS &amp; INVESTMENTS</t>
        </is>
      </c>
      <c r="B54" s="46" t="inlineStr">
        <is>
          <t>Stocks</t>
        </is>
      </c>
      <c r="C54" s="22" t="n">
        <v>0</v>
      </c>
      <c r="D54" s="22" t="n">
        <v>0</v>
      </c>
      <c r="E54" s="47">
        <f>C54-D54</f>
        <v/>
      </c>
      <c r="F54" s="34">
        <f>IFERROR(D54/C54,0)</f>
        <v/>
      </c>
      <c r="G54" s="46" t="inlineStr"/>
    </row>
    <row r="55" ht="18" customHeight="1">
      <c r="A55" s="42" t="inlineStr">
        <is>
          <t>SAVINGS &amp; INVESTMENTS</t>
        </is>
      </c>
      <c r="B55" s="42" t="inlineStr">
        <is>
          <t>Vacation Fund</t>
        </is>
      </c>
      <c r="C55" s="29" t="n">
        <v>0</v>
      </c>
      <c r="D55" s="29" t="n">
        <v>0</v>
      </c>
      <c r="E55" s="28">
        <f>C55-D55</f>
        <v/>
      </c>
      <c r="F55" s="48">
        <f>IFERROR(D55/C55,0)</f>
        <v/>
      </c>
      <c r="G55" s="42" t="inlineStr"/>
    </row>
    <row r="56" ht="18" customHeight="1">
      <c r="A56" s="46" t="inlineStr">
        <is>
          <t>SAVINGS &amp; INVESTMENTS</t>
        </is>
      </c>
      <c r="B56" s="46" t="inlineStr">
        <is>
          <t>Other Savings</t>
        </is>
      </c>
      <c r="C56" s="22" t="n">
        <v>0</v>
      </c>
      <c r="D56" s="22" t="n">
        <v>0</v>
      </c>
      <c r="E56" s="47">
        <f>C56-D56</f>
        <v/>
      </c>
      <c r="F56" s="34">
        <f>IFERROR(D56/C56,0)</f>
        <v/>
      </c>
      <c r="G56" s="46" t="inlineStr"/>
    </row>
    <row r="57" ht="20" customHeight="1">
      <c r="A57" s="49" t="inlineStr">
        <is>
          <t>Subtotal — SAVINGS &amp; INVESTMENTS</t>
        </is>
      </c>
      <c r="B57" s="50" t="n"/>
      <c r="C57" s="51">
        <f>SUM(C52:C56)</f>
        <v/>
      </c>
      <c r="D57" s="51">
        <f>SUM(D52:D56)</f>
        <v/>
      </c>
      <c r="E57" s="51">
        <f>C57-D57</f>
        <v/>
      </c>
      <c r="F57" s="52">
        <f>IFERROR(D57/C57,0)</f>
        <v/>
      </c>
      <c r="G57" s="53" t="inlineStr"/>
    </row>
    <row r="58" ht="22" customHeight="1">
      <c r="A58" s="54" t="inlineStr">
        <is>
          <t>DEBT PAYMENTS</t>
        </is>
      </c>
    </row>
    <row r="59" ht="18" customHeight="1">
      <c r="A59" s="46" t="inlineStr">
        <is>
          <t>DEBT PAYMENTS</t>
        </is>
      </c>
      <c r="B59" s="46" t="inlineStr">
        <is>
          <t>Credit Card 1</t>
        </is>
      </c>
      <c r="C59" s="22" t="n">
        <v>0</v>
      </c>
      <c r="D59" s="22" t="n">
        <v>0</v>
      </c>
      <c r="E59" s="47">
        <f>C59-D59</f>
        <v/>
      </c>
      <c r="F59" s="34">
        <f>IFERROR(D59/C59,0)</f>
        <v/>
      </c>
      <c r="G59" s="46" t="inlineStr"/>
    </row>
    <row r="60" ht="18" customHeight="1">
      <c r="A60" s="42" t="inlineStr">
        <is>
          <t>DEBT PAYMENTS</t>
        </is>
      </c>
      <c r="B60" s="42" t="inlineStr">
        <is>
          <t>Credit Card 2</t>
        </is>
      </c>
      <c r="C60" s="29" t="n">
        <v>0</v>
      </c>
      <c r="D60" s="29" t="n">
        <v>0</v>
      </c>
      <c r="E60" s="28">
        <f>C60-D60</f>
        <v/>
      </c>
      <c r="F60" s="48">
        <f>IFERROR(D60/C60,0)</f>
        <v/>
      </c>
      <c r="G60" s="42" t="inlineStr"/>
    </row>
    <row r="61" ht="18" customHeight="1">
      <c r="A61" s="46" t="inlineStr">
        <is>
          <t>DEBT PAYMENTS</t>
        </is>
      </c>
      <c r="B61" s="46" t="inlineStr">
        <is>
          <t>Student Loan</t>
        </is>
      </c>
      <c r="C61" s="22" t="n">
        <v>0</v>
      </c>
      <c r="D61" s="22" t="n">
        <v>0</v>
      </c>
      <c r="E61" s="47">
        <f>C61-D61</f>
        <v/>
      </c>
      <c r="F61" s="34">
        <f>IFERROR(D61/C61,0)</f>
        <v/>
      </c>
      <c r="G61" s="46" t="inlineStr"/>
    </row>
    <row r="62" ht="18" customHeight="1">
      <c r="A62" s="42" t="inlineStr">
        <is>
          <t>DEBT PAYMENTS</t>
        </is>
      </c>
      <c r="B62" s="42" t="inlineStr">
        <is>
          <t>Car Loan</t>
        </is>
      </c>
      <c r="C62" s="29" t="n">
        <v>0</v>
      </c>
      <c r="D62" s="29" t="n">
        <v>0</v>
      </c>
      <c r="E62" s="28">
        <f>C62-D62</f>
        <v/>
      </c>
      <c r="F62" s="48">
        <f>IFERROR(D62/C62,0)</f>
        <v/>
      </c>
      <c r="G62" s="42" t="inlineStr"/>
    </row>
    <row r="63" ht="18" customHeight="1">
      <c r="A63" s="46" t="inlineStr">
        <is>
          <t>DEBT PAYMENTS</t>
        </is>
      </c>
      <c r="B63" s="46" t="inlineStr">
        <is>
          <t>Other</t>
        </is>
      </c>
      <c r="C63" s="22" t="n">
        <v>0</v>
      </c>
      <c r="D63" s="22" t="n">
        <v>0</v>
      </c>
      <c r="E63" s="47">
        <f>C63-D63</f>
        <v/>
      </c>
      <c r="F63" s="34">
        <f>IFERROR(D63/C63,0)</f>
        <v/>
      </c>
      <c r="G63" s="46" t="inlineStr"/>
    </row>
    <row r="64" ht="20" customHeight="1">
      <c r="A64" s="49" t="inlineStr">
        <is>
          <t>Subtotal — DEBT PAYMENTS</t>
        </is>
      </c>
      <c r="B64" s="50" t="n"/>
      <c r="C64" s="51">
        <f>SUM(C59:C63)</f>
        <v/>
      </c>
      <c r="D64" s="51">
        <f>SUM(D59:D63)</f>
        <v/>
      </c>
      <c r="E64" s="51">
        <f>C64-D64</f>
        <v/>
      </c>
      <c r="F64" s="52">
        <f>IFERROR(D64/C64,0)</f>
        <v/>
      </c>
      <c r="G64" s="53" t="inlineStr"/>
    </row>
    <row r="65" ht="24" customHeight="1">
      <c r="A65" s="55" t="inlineStr">
        <is>
          <t>GRAND TOTAL EXPENSES</t>
        </is>
      </c>
      <c r="B65" s="7" t="n"/>
      <c r="C65" s="56">
        <f>C15+C22+C29+C36+C43+C50+C57+C64</f>
        <v/>
      </c>
      <c r="D65" s="56">
        <f>D15+D22+D29+D36+D43+D50+D57+D64</f>
        <v/>
      </c>
      <c r="E65" s="56">
        <f>C65-D65</f>
        <v/>
      </c>
      <c r="F65" s="57" t="inlineStr"/>
      <c r="G65" s="57" t="inlineStr"/>
    </row>
    <row r="66" ht="26" customHeight="1">
      <c r="A66" s="58" t="inlineStr">
        <is>
          <t>NET CASH FLOW</t>
        </is>
      </c>
      <c r="B66" s="4" t="n"/>
      <c r="C66" s="59">
        <f>C8-C65</f>
        <v/>
      </c>
      <c r="D66" s="59">
        <f>D8-D65</f>
        <v/>
      </c>
      <c r="E66" s="59">
        <f>C66-D66</f>
        <v/>
      </c>
      <c r="F66" s="60" t="inlineStr"/>
      <c r="G66" s="60" t="inlineStr"/>
    </row>
    <row r="68" ht="18" customHeight="1">
      <c r="I68" s="12" t="inlineStr">
        <is>
          <t>Category</t>
        </is>
      </c>
      <c r="J68" s="12" t="inlineStr">
        <is>
          <t>Budgeted</t>
        </is>
      </c>
      <c r="K68" s="12" t="inlineStr">
        <is>
          <t>Actual</t>
        </is>
      </c>
    </row>
    <row r="69" ht="18" customHeight="1">
      <c r="I69" s="46" t="inlineStr">
        <is>
          <t>HOUSING</t>
        </is>
      </c>
      <c r="J69" s="47">
        <f>C15</f>
        <v/>
      </c>
      <c r="K69" s="47">
        <f>D15</f>
        <v/>
      </c>
    </row>
    <row r="70" ht="18" customHeight="1">
      <c r="I70" s="42" t="inlineStr">
        <is>
          <t>TRANSPORT</t>
        </is>
      </c>
      <c r="J70" s="28">
        <f>C22</f>
        <v/>
      </c>
      <c r="K70" s="28">
        <f>D22</f>
        <v/>
      </c>
    </row>
    <row r="71" ht="18" customHeight="1">
      <c r="I71" s="46" t="inlineStr">
        <is>
          <t>FOOD &amp; DINING</t>
        </is>
      </c>
      <c r="J71" s="47">
        <f>C29</f>
        <v/>
      </c>
      <c r="K71" s="47">
        <f>D29</f>
        <v/>
      </c>
    </row>
    <row r="72" ht="18" customHeight="1">
      <c r="I72" s="42" t="inlineStr">
        <is>
          <t>HEALTH &amp; WELLNESS</t>
        </is>
      </c>
      <c r="J72" s="28">
        <f>C36</f>
        <v/>
      </c>
      <c r="K72" s="28">
        <f>D36</f>
        <v/>
      </c>
    </row>
    <row r="73" ht="18" customHeight="1">
      <c r="I73" s="46" t="inlineStr">
        <is>
          <t>LIFESTYLE</t>
        </is>
      </c>
      <c r="J73" s="47">
        <f>C43</f>
        <v/>
      </c>
      <c r="K73" s="47">
        <f>D43</f>
        <v/>
      </c>
    </row>
    <row r="74" ht="18" customHeight="1">
      <c r="I74" s="42" t="inlineStr">
        <is>
          <t>PERSONAL</t>
        </is>
      </c>
      <c r="J74" s="28">
        <f>C50</f>
        <v/>
      </c>
      <c r="K74" s="28">
        <f>D50</f>
        <v/>
      </c>
    </row>
    <row r="75" ht="18" customHeight="1">
      <c r="I75" s="46" t="inlineStr">
        <is>
          <t>SAVINGS &amp; INVESTMENTS</t>
        </is>
      </c>
      <c r="J75" s="47">
        <f>C57</f>
        <v/>
      </c>
      <c r="K75" s="47">
        <f>D57</f>
        <v/>
      </c>
    </row>
    <row r="76" ht="18" customHeight="1">
      <c r="I76" s="42" t="inlineStr">
        <is>
          <t>DEBT PAYMENTS</t>
        </is>
      </c>
      <c r="J76" s="28">
        <f>C64</f>
        <v/>
      </c>
      <c r="K76" s="28">
        <f>D64</f>
        <v/>
      </c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5C8A52"/>
    <outlinePr summaryBelow="1" summaryRight="1"/>
    <pageSetUpPr/>
  </sheetPr>
  <dimension ref="A1:K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4" customWidth="1" min="5" max="5"/>
    <col width="11" customWidth="1" min="6" max="6"/>
    <col width="20" customWidth="1" min="7" max="7"/>
  </cols>
  <sheetData>
    <row r="1" ht="48" customHeight="1">
      <c r="A1" s="44" t="inlineStr">
        <is>
          <t>APRIL  ·  MONTHLY BUDGET</t>
        </is>
      </c>
    </row>
    <row r="2" ht="20" customHeight="1">
      <c r="A2" s="2" t="inlineStr">
        <is>
          <t>Track your income and expenses for April</t>
        </is>
      </c>
    </row>
    <row r="3" ht="22" customHeight="1">
      <c r="A3" s="3" t="inlineStr">
        <is>
          <t>CATEGORY</t>
        </is>
      </c>
      <c r="B3" s="3" t="inlineStr">
        <is>
          <t>SUBCATEGORY</t>
        </is>
      </c>
      <c r="C3" s="3" t="inlineStr">
        <is>
          <t>BUDGETED</t>
        </is>
      </c>
      <c r="D3" s="3" t="inlineStr">
        <is>
          <t>ACTUAL</t>
        </is>
      </c>
      <c r="E3" s="3" t="inlineStr">
        <is>
          <t>DIFFERENCE</t>
        </is>
      </c>
      <c r="F3" s="3" t="inlineStr">
        <is>
          <t>% USED</t>
        </is>
      </c>
      <c r="G3" s="3" t="inlineStr">
        <is>
          <t>NOTES</t>
        </is>
      </c>
    </row>
    <row r="4" ht="22" customHeight="1">
      <c r="A4" s="45" t="inlineStr">
        <is>
          <t>INCOME</t>
        </is>
      </c>
    </row>
    <row r="5" ht="18" customHeight="1">
      <c r="A5" s="46" t="inlineStr">
        <is>
          <t>INCOME</t>
        </is>
      </c>
      <c r="B5" s="46" t="inlineStr">
        <is>
          <t>Primary Income</t>
        </is>
      </c>
      <c r="C5" s="22" t="n">
        <v>0</v>
      </c>
      <c r="D5" s="22" t="n">
        <v>0</v>
      </c>
      <c r="E5" s="47">
        <f>C5-D5</f>
        <v/>
      </c>
      <c r="F5" s="34">
        <f>IFERROR(D5/C5,0)</f>
        <v/>
      </c>
      <c r="G5" s="46" t="inlineStr"/>
    </row>
    <row r="6" ht="18" customHeight="1">
      <c r="A6" s="42" t="inlineStr">
        <is>
          <t>INCOME</t>
        </is>
      </c>
      <c r="B6" s="42" t="inlineStr">
        <is>
          <t>Side Income</t>
        </is>
      </c>
      <c r="C6" s="29" t="n">
        <v>0</v>
      </c>
      <c r="D6" s="29" t="n">
        <v>0</v>
      </c>
      <c r="E6" s="28">
        <f>C6-D6</f>
        <v/>
      </c>
      <c r="F6" s="48">
        <f>IFERROR(D6/C6,0)</f>
        <v/>
      </c>
      <c r="G6" s="42" t="inlineStr"/>
    </row>
    <row r="7" ht="18" customHeight="1">
      <c r="A7" s="46" t="inlineStr">
        <is>
          <t>INCOME</t>
        </is>
      </c>
      <c r="B7" s="46" t="inlineStr">
        <is>
          <t>Other Income</t>
        </is>
      </c>
      <c r="C7" s="22" t="n">
        <v>0</v>
      </c>
      <c r="D7" s="22" t="n">
        <v>0</v>
      </c>
      <c r="E7" s="47">
        <f>C7-D7</f>
        <v/>
      </c>
      <c r="F7" s="34">
        <f>IFERROR(D7/C7,0)</f>
        <v/>
      </c>
      <c r="G7" s="46" t="inlineStr"/>
    </row>
    <row r="8" ht="20" customHeight="1">
      <c r="A8" s="49" t="inlineStr">
        <is>
          <t>TOTAL INCOME</t>
        </is>
      </c>
      <c r="B8" s="50" t="n"/>
      <c r="C8" s="51">
        <f>SUM(C5:C7)</f>
        <v/>
      </c>
      <c r="D8" s="51">
        <f>SUM(D5:D7)</f>
        <v/>
      </c>
      <c r="E8" s="51">
        <f>C8-D8</f>
        <v/>
      </c>
      <c r="F8" s="52">
        <f>IFERROR(D8/C8,0)</f>
        <v/>
      </c>
      <c r="G8" s="53" t="inlineStr"/>
    </row>
    <row r="9" ht="22" customHeight="1">
      <c r="A9" s="54" t="inlineStr">
        <is>
          <t>HOUSING</t>
        </is>
      </c>
    </row>
    <row r="10" ht="18" customHeight="1">
      <c r="A10" s="46" t="inlineStr">
        <is>
          <t>HOUSING</t>
        </is>
      </c>
      <c r="B10" s="46" t="inlineStr">
        <is>
          <t>Rent/Mortgage</t>
        </is>
      </c>
      <c r="C10" s="22" t="n">
        <v>0</v>
      </c>
      <c r="D10" s="22" t="n">
        <v>0</v>
      </c>
      <c r="E10" s="47">
        <f>C10-D10</f>
        <v/>
      </c>
      <c r="F10" s="34">
        <f>IFERROR(D10/C10,0)</f>
        <v/>
      </c>
      <c r="G10" s="46" t="inlineStr"/>
    </row>
    <row r="11" ht="18" customHeight="1">
      <c r="A11" s="42" t="inlineStr">
        <is>
          <t>HOUSING</t>
        </is>
      </c>
      <c r="B11" s="42" t="inlineStr">
        <is>
          <t>Utilities</t>
        </is>
      </c>
      <c r="C11" s="29" t="n">
        <v>0</v>
      </c>
      <c r="D11" s="29" t="n">
        <v>0</v>
      </c>
      <c r="E11" s="28">
        <f>C11-D11</f>
        <v/>
      </c>
      <c r="F11" s="48">
        <f>IFERROR(D11/C11,0)</f>
        <v/>
      </c>
      <c r="G11" s="42" t="inlineStr"/>
    </row>
    <row r="12" ht="18" customHeight="1">
      <c r="A12" s="46" t="inlineStr">
        <is>
          <t>HOUSING</t>
        </is>
      </c>
      <c r="B12" s="46" t="inlineStr">
        <is>
          <t>Electricity</t>
        </is>
      </c>
      <c r="C12" s="22" t="n">
        <v>0</v>
      </c>
      <c r="D12" s="22" t="n">
        <v>0</v>
      </c>
      <c r="E12" s="47">
        <f>C12-D12</f>
        <v/>
      </c>
      <c r="F12" s="34">
        <f>IFERROR(D12/C12,0)</f>
        <v/>
      </c>
      <c r="G12" s="46" t="inlineStr"/>
    </row>
    <row r="13" ht="18" customHeight="1">
      <c r="A13" s="42" t="inlineStr">
        <is>
          <t>HOUSING</t>
        </is>
      </c>
      <c r="B13" s="42" t="inlineStr">
        <is>
          <t>Internet</t>
        </is>
      </c>
      <c r="C13" s="29" t="n">
        <v>0</v>
      </c>
      <c r="D13" s="29" t="n">
        <v>0</v>
      </c>
      <c r="E13" s="28">
        <f>C13-D13</f>
        <v/>
      </c>
      <c r="F13" s="48">
        <f>IFERROR(D13/C13,0)</f>
        <v/>
      </c>
      <c r="G13" s="42" t="inlineStr"/>
    </row>
    <row r="14" ht="18" customHeight="1">
      <c r="A14" s="46" t="inlineStr">
        <is>
          <t>HOUSING</t>
        </is>
      </c>
      <c r="B14" s="46" t="inlineStr">
        <is>
          <t>Home Insurance</t>
        </is>
      </c>
      <c r="C14" s="22" t="n">
        <v>0</v>
      </c>
      <c r="D14" s="22" t="n">
        <v>0</v>
      </c>
      <c r="E14" s="47">
        <f>C14-D14</f>
        <v/>
      </c>
      <c r="F14" s="34">
        <f>IFERROR(D14/C14,0)</f>
        <v/>
      </c>
      <c r="G14" s="46" t="inlineStr"/>
    </row>
    <row r="15" ht="20" customHeight="1">
      <c r="A15" s="49" t="inlineStr">
        <is>
          <t>Subtotal — HOUSING</t>
        </is>
      </c>
      <c r="B15" s="50" t="n"/>
      <c r="C15" s="51">
        <f>SUM(C10:C14)</f>
        <v/>
      </c>
      <c r="D15" s="51">
        <f>SUM(D10:D14)</f>
        <v/>
      </c>
      <c r="E15" s="51">
        <f>C15-D15</f>
        <v/>
      </c>
      <c r="F15" s="52">
        <f>IFERROR(D15/C15,0)</f>
        <v/>
      </c>
      <c r="G15" s="53" t="inlineStr"/>
    </row>
    <row r="16" ht="22" customHeight="1">
      <c r="A16" s="54" t="inlineStr">
        <is>
          <t>TRANSPORT</t>
        </is>
      </c>
    </row>
    <row r="17" ht="18" customHeight="1">
      <c r="A17" s="46" t="inlineStr">
        <is>
          <t>TRANSPORT</t>
        </is>
      </c>
      <c r="B17" s="46" t="inlineStr">
        <is>
          <t>Car Payment</t>
        </is>
      </c>
      <c r="C17" s="22" t="n">
        <v>0</v>
      </c>
      <c r="D17" s="22" t="n">
        <v>0</v>
      </c>
      <c r="E17" s="47">
        <f>C17-D17</f>
        <v/>
      </c>
      <c r="F17" s="34">
        <f>IFERROR(D17/C17,0)</f>
        <v/>
      </c>
      <c r="G17" s="46" t="inlineStr"/>
    </row>
    <row r="18" ht="18" customHeight="1">
      <c r="A18" s="42" t="inlineStr">
        <is>
          <t>TRANSPORT</t>
        </is>
      </c>
      <c r="B18" s="42" t="inlineStr">
        <is>
          <t>Fuel</t>
        </is>
      </c>
      <c r="C18" s="29" t="n">
        <v>0</v>
      </c>
      <c r="D18" s="29" t="n">
        <v>0</v>
      </c>
      <c r="E18" s="28">
        <f>C18-D18</f>
        <v/>
      </c>
      <c r="F18" s="48">
        <f>IFERROR(D18/C18,0)</f>
        <v/>
      </c>
      <c r="G18" s="42" t="inlineStr"/>
    </row>
    <row r="19" ht="18" customHeight="1">
      <c r="A19" s="46" t="inlineStr">
        <is>
          <t>TRANSPORT</t>
        </is>
      </c>
      <c r="B19" s="46" t="inlineStr">
        <is>
          <t>Car Insurance</t>
        </is>
      </c>
      <c r="C19" s="22" t="n">
        <v>0</v>
      </c>
      <c r="D19" s="22" t="n">
        <v>0</v>
      </c>
      <c r="E19" s="47">
        <f>C19-D19</f>
        <v/>
      </c>
      <c r="F19" s="34">
        <f>IFERROR(D19/C19,0)</f>
        <v/>
      </c>
      <c r="G19" s="46" t="inlineStr"/>
    </row>
    <row r="20" ht="18" customHeight="1">
      <c r="A20" s="42" t="inlineStr">
        <is>
          <t>TRANSPORT</t>
        </is>
      </c>
      <c r="B20" s="42" t="inlineStr">
        <is>
          <t>Parking</t>
        </is>
      </c>
      <c r="C20" s="29" t="n">
        <v>0</v>
      </c>
      <c r="D20" s="29" t="n">
        <v>0</v>
      </c>
      <c r="E20" s="28">
        <f>C20-D20</f>
        <v/>
      </c>
      <c r="F20" s="48">
        <f>IFERROR(D20/C20,0)</f>
        <v/>
      </c>
      <c r="G20" s="42" t="inlineStr"/>
    </row>
    <row r="21" ht="18" customHeight="1">
      <c r="A21" s="46" t="inlineStr">
        <is>
          <t>TRANSPORT</t>
        </is>
      </c>
      <c r="B21" s="46" t="inlineStr">
        <is>
          <t>Public Transport</t>
        </is>
      </c>
      <c r="C21" s="22" t="n">
        <v>0</v>
      </c>
      <c r="D21" s="22" t="n">
        <v>0</v>
      </c>
      <c r="E21" s="47">
        <f>C21-D21</f>
        <v/>
      </c>
      <c r="F21" s="34">
        <f>IFERROR(D21/C21,0)</f>
        <v/>
      </c>
      <c r="G21" s="46" t="inlineStr"/>
    </row>
    <row r="22" ht="20" customHeight="1">
      <c r="A22" s="49" t="inlineStr">
        <is>
          <t>Subtotal — TRANSPORT</t>
        </is>
      </c>
      <c r="B22" s="50" t="n"/>
      <c r="C22" s="51">
        <f>SUM(C17:C21)</f>
        <v/>
      </c>
      <c r="D22" s="51">
        <f>SUM(D17:D21)</f>
        <v/>
      </c>
      <c r="E22" s="51">
        <f>C22-D22</f>
        <v/>
      </c>
      <c r="F22" s="52">
        <f>IFERROR(D22/C22,0)</f>
        <v/>
      </c>
      <c r="G22" s="53" t="inlineStr"/>
    </row>
    <row r="23" ht="22" customHeight="1">
      <c r="A23" s="54" t="inlineStr">
        <is>
          <t>FOOD &amp; DINING</t>
        </is>
      </c>
    </row>
    <row r="24" ht="18" customHeight="1">
      <c r="A24" s="46" t="inlineStr">
        <is>
          <t>FOOD &amp; DINING</t>
        </is>
      </c>
      <c r="B24" s="46" t="inlineStr">
        <is>
          <t>Groceries</t>
        </is>
      </c>
      <c r="C24" s="22" t="n">
        <v>0</v>
      </c>
      <c r="D24" s="22" t="n">
        <v>0</v>
      </c>
      <c r="E24" s="47">
        <f>C24-D24</f>
        <v/>
      </c>
      <c r="F24" s="34">
        <f>IFERROR(D24/C24,0)</f>
        <v/>
      </c>
      <c r="G24" s="46" t="inlineStr"/>
    </row>
    <row r="25" ht="18" customHeight="1">
      <c r="A25" s="42" t="inlineStr">
        <is>
          <t>FOOD &amp; DINING</t>
        </is>
      </c>
      <c r="B25" s="42" t="inlineStr">
        <is>
          <t>Restaurants</t>
        </is>
      </c>
      <c r="C25" s="29" t="n">
        <v>0</v>
      </c>
      <c r="D25" s="29" t="n">
        <v>0</v>
      </c>
      <c r="E25" s="28">
        <f>C25-D25</f>
        <v/>
      </c>
      <c r="F25" s="48">
        <f>IFERROR(D25/C25,0)</f>
        <v/>
      </c>
      <c r="G25" s="42" t="inlineStr"/>
    </row>
    <row r="26" ht="18" customHeight="1">
      <c r="A26" s="46" t="inlineStr">
        <is>
          <t>FOOD &amp; DINING</t>
        </is>
      </c>
      <c r="B26" s="46" t="inlineStr">
        <is>
          <t>Coffee</t>
        </is>
      </c>
      <c r="C26" s="22" t="n">
        <v>0</v>
      </c>
      <c r="D26" s="22" t="n">
        <v>0</v>
      </c>
      <c r="E26" s="47">
        <f>C26-D26</f>
        <v/>
      </c>
      <c r="F26" s="34">
        <f>IFERROR(D26/C26,0)</f>
        <v/>
      </c>
      <c r="G26" s="46" t="inlineStr"/>
    </row>
    <row r="27" ht="18" customHeight="1">
      <c r="A27" s="42" t="inlineStr">
        <is>
          <t>FOOD &amp; DINING</t>
        </is>
      </c>
      <c r="B27" s="42" t="inlineStr">
        <is>
          <t>Food Delivery</t>
        </is>
      </c>
      <c r="C27" s="29" t="n">
        <v>0</v>
      </c>
      <c r="D27" s="29" t="n">
        <v>0</v>
      </c>
      <c r="E27" s="28">
        <f>C27-D27</f>
        <v/>
      </c>
      <c r="F27" s="48">
        <f>IFERROR(D27/C27,0)</f>
        <v/>
      </c>
      <c r="G27" s="42" t="inlineStr"/>
    </row>
    <row r="28" ht="18" customHeight="1">
      <c r="A28" s="46" t="inlineStr">
        <is>
          <t>FOOD &amp; DINING</t>
        </is>
      </c>
      <c r="B28" s="46" t="inlineStr">
        <is>
          <t>Work Lunch</t>
        </is>
      </c>
      <c r="C28" s="22" t="n">
        <v>0</v>
      </c>
      <c r="D28" s="22" t="n">
        <v>0</v>
      </c>
      <c r="E28" s="47">
        <f>C28-D28</f>
        <v/>
      </c>
      <c r="F28" s="34">
        <f>IFERROR(D28/C28,0)</f>
        <v/>
      </c>
      <c r="G28" s="46" t="inlineStr"/>
    </row>
    <row r="29" ht="20" customHeight="1">
      <c r="A29" s="49" t="inlineStr">
        <is>
          <t>Subtotal — FOOD &amp; DINING</t>
        </is>
      </c>
      <c r="B29" s="50" t="n"/>
      <c r="C29" s="51">
        <f>SUM(C24:C28)</f>
        <v/>
      </c>
      <c r="D29" s="51">
        <f>SUM(D24:D28)</f>
        <v/>
      </c>
      <c r="E29" s="51">
        <f>C29-D29</f>
        <v/>
      </c>
      <c r="F29" s="52">
        <f>IFERROR(D29/C29,0)</f>
        <v/>
      </c>
      <c r="G29" s="53" t="inlineStr"/>
    </row>
    <row r="30" ht="22" customHeight="1">
      <c r="A30" s="54" t="inlineStr">
        <is>
          <t>HEALTH &amp; WELLNESS</t>
        </is>
      </c>
    </row>
    <row r="31" ht="18" customHeight="1">
      <c r="A31" s="46" t="inlineStr">
        <is>
          <t>HEALTH &amp; WELLNESS</t>
        </is>
      </c>
      <c r="B31" s="46" t="inlineStr">
        <is>
          <t>Health Insurance</t>
        </is>
      </c>
      <c r="C31" s="22" t="n">
        <v>0</v>
      </c>
      <c r="D31" s="22" t="n">
        <v>0</v>
      </c>
      <c r="E31" s="47">
        <f>C31-D31</f>
        <v/>
      </c>
      <c r="F31" s="34">
        <f>IFERROR(D31/C31,0)</f>
        <v/>
      </c>
      <c r="G31" s="46" t="inlineStr"/>
    </row>
    <row r="32" ht="18" customHeight="1">
      <c r="A32" s="42" t="inlineStr">
        <is>
          <t>HEALTH &amp; WELLNESS</t>
        </is>
      </c>
      <c r="B32" s="42" t="inlineStr">
        <is>
          <t>Gym</t>
        </is>
      </c>
      <c r="C32" s="29" t="n">
        <v>0</v>
      </c>
      <c r="D32" s="29" t="n">
        <v>0</v>
      </c>
      <c r="E32" s="28">
        <f>C32-D32</f>
        <v/>
      </c>
      <c r="F32" s="48">
        <f>IFERROR(D32/C32,0)</f>
        <v/>
      </c>
      <c r="G32" s="42" t="inlineStr"/>
    </row>
    <row r="33" ht="18" customHeight="1">
      <c r="A33" s="46" t="inlineStr">
        <is>
          <t>HEALTH &amp; WELLNESS</t>
        </is>
      </c>
      <c r="B33" s="46" t="inlineStr">
        <is>
          <t>Pharmacy</t>
        </is>
      </c>
      <c r="C33" s="22" t="n">
        <v>0</v>
      </c>
      <c r="D33" s="22" t="n">
        <v>0</v>
      </c>
      <c r="E33" s="47">
        <f>C33-D33</f>
        <v/>
      </c>
      <c r="F33" s="34">
        <f>IFERROR(D33/C33,0)</f>
        <v/>
      </c>
      <c r="G33" s="46" t="inlineStr"/>
    </row>
    <row r="34" ht="18" customHeight="1">
      <c r="A34" s="42" t="inlineStr">
        <is>
          <t>HEALTH &amp; WELLNESS</t>
        </is>
      </c>
      <c r="B34" s="42" t="inlineStr">
        <is>
          <t>Doctor</t>
        </is>
      </c>
      <c r="C34" s="29" t="n">
        <v>0</v>
      </c>
      <c r="D34" s="29" t="n">
        <v>0</v>
      </c>
      <c r="E34" s="28">
        <f>C34-D34</f>
        <v/>
      </c>
      <c r="F34" s="48">
        <f>IFERROR(D34/C34,0)</f>
        <v/>
      </c>
      <c r="G34" s="42" t="inlineStr"/>
    </row>
    <row r="35" ht="18" customHeight="1">
      <c r="A35" s="46" t="inlineStr">
        <is>
          <t>HEALTH &amp; WELLNESS</t>
        </is>
      </c>
      <c r="B35" s="46" t="inlineStr">
        <is>
          <t>Dental</t>
        </is>
      </c>
      <c r="C35" s="22" t="n">
        <v>0</v>
      </c>
      <c r="D35" s="22" t="n">
        <v>0</v>
      </c>
      <c r="E35" s="47">
        <f>C35-D35</f>
        <v/>
      </c>
      <c r="F35" s="34">
        <f>IFERROR(D35/C35,0)</f>
        <v/>
      </c>
      <c r="G35" s="46" t="inlineStr"/>
    </row>
    <row r="36" ht="20" customHeight="1">
      <c r="A36" s="49" t="inlineStr">
        <is>
          <t>Subtotal — HEALTH &amp; WELLNESS</t>
        </is>
      </c>
      <c r="B36" s="50" t="n"/>
      <c r="C36" s="51">
        <f>SUM(C31:C35)</f>
        <v/>
      </c>
      <c r="D36" s="51">
        <f>SUM(D31:D35)</f>
        <v/>
      </c>
      <c r="E36" s="51">
        <f>C36-D36</f>
        <v/>
      </c>
      <c r="F36" s="52">
        <f>IFERROR(D36/C36,0)</f>
        <v/>
      </c>
      <c r="G36" s="53" t="inlineStr"/>
    </row>
    <row r="37" ht="22" customHeight="1">
      <c r="A37" s="54" t="inlineStr">
        <is>
          <t>LIFESTYLE</t>
        </is>
      </c>
    </row>
    <row r="38" ht="18" customHeight="1">
      <c r="A38" s="46" t="inlineStr">
        <is>
          <t>LIFESTYLE</t>
        </is>
      </c>
      <c r="B38" s="46" t="inlineStr">
        <is>
          <t>Streaming Services</t>
        </is>
      </c>
      <c r="C38" s="22" t="n">
        <v>0</v>
      </c>
      <c r="D38" s="22" t="n">
        <v>0</v>
      </c>
      <c r="E38" s="47">
        <f>C38-D38</f>
        <v/>
      </c>
      <c r="F38" s="34">
        <f>IFERROR(D38/C38,0)</f>
        <v/>
      </c>
      <c r="G38" s="46" t="inlineStr"/>
    </row>
    <row r="39" ht="18" customHeight="1">
      <c r="A39" s="42" t="inlineStr">
        <is>
          <t>LIFESTYLE</t>
        </is>
      </c>
      <c r="B39" s="42" t="inlineStr">
        <is>
          <t>Entertainment</t>
        </is>
      </c>
      <c r="C39" s="29" t="n">
        <v>0</v>
      </c>
      <c r="D39" s="29" t="n">
        <v>0</v>
      </c>
      <c r="E39" s="28">
        <f>C39-D39</f>
        <v/>
      </c>
      <c r="F39" s="48">
        <f>IFERROR(D39/C39,0)</f>
        <v/>
      </c>
      <c r="G39" s="42" t="inlineStr"/>
    </row>
    <row r="40" ht="18" customHeight="1">
      <c r="A40" s="46" t="inlineStr">
        <is>
          <t>LIFESTYLE</t>
        </is>
      </c>
      <c r="B40" s="46" t="inlineStr">
        <is>
          <t>Hobbies</t>
        </is>
      </c>
      <c r="C40" s="22" t="n">
        <v>0</v>
      </c>
      <c r="D40" s="22" t="n">
        <v>0</v>
      </c>
      <c r="E40" s="47">
        <f>C40-D40</f>
        <v/>
      </c>
      <c r="F40" s="34">
        <f>IFERROR(D40/C40,0)</f>
        <v/>
      </c>
      <c r="G40" s="46" t="inlineStr"/>
    </row>
    <row r="41" ht="18" customHeight="1">
      <c r="A41" s="42" t="inlineStr">
        <is>
          <t>LIFESTYLE</t>
        </is>
      </c>
      <c r="B41" s="42" t="inlineStr">
        <is>
          <t>Personal Care</t>
        </is>
      </c>
      <c r="C41" s="29" t="n">
        <v>0</v>
      </c>
      <c r="D41" s="29" t="n">
        <v>0</v>
      </c>
      <c r="E41" s="28">
        <f>C41-D41</f>
        <v/>
      </c>
      <c r="F41" s="48">
        <f>IFERROR(D41/C41,0)</f>
        <v/>
      </c>
      <c r="G41" s="42" t="inlineStr"/>
    </row>
    <row r="42" ht="18" customHeight="1">
      <c r="A42" s="46" t="inlineStr">
        <is>
          <t>LIFESTYLE</t>
        </is>
      </c>
      <c r="B42" s="46" t="inlineStr">
        <is>
          <t>Books</t>
        </is>
      </c>
      <c r="C42" s="22" t="n">
        <v>0</v>
      </c>
      <c r="D42" s="22" t="n">
        <v>0</v>
      </c>
      <c r="E42" s="47">
        <f>C42-D42</f>
        <v/>
      </c>
      <c r="F42" s="34">
        <f>IFERROR(D42/C42,0)</f>
        <v/>
      </c>
      <c r="G42" s="46" t="inlineStr"/>
    </row>
    <row r="43" ht="20" customHeight="1">
      <c r="A43" s="49" t="inlineStr">
        <is>
          <t>Subtotal — LIFESTYLE</t>
        </is>
      </c>
      <c r="B43" s="50" t="n"/>
      <c r="C43" s="51">
        <f>SUM(C38:C42)</f>
        <v/>
      </c>
      <c r="D43" s="51">
        <f>SUM(D38:D42)</f>
        <v/>
      </c>
      <c r="E43" s="51">
        <f>C43-D43</f>
        <v/>
      </c>
      <c r="F43" s="52">
        <f>IFERROR(D43/C43,0)</f>
        <v/>
      </c>
      <c r="G43" s="53" t="inlineStr"/>
    </row>
    <row r="44" ht="22" customHeight="1">
      <c r="A44" s="54" t="inlineStr">
        <is>
          <t>PERSONAL</t>
        </is>
      </c>
    </row>
    <row r="45" ht="18" customHeight="1">
      <c r="A45" s="46" t="inlineStr">
        <is>
          <t>PERSONAL</t>
        </is>
      </c>
      <c r="B45" s="46" t="inlineStr">
        <is>
          <t>Clothing</t>
        </is>
      </c>
      <c r="C45" s="22" t="n">
        <v>0</v>
      </c>
      <c r="D45" s="22" t="n">
        <v>0</v>
      </c>
      <c r="E45" s="47">
        <f>C45-D45</f>
        <v/>
      </c>
      <c r="F45" s="34">
        <f>IFERROR(D45/C45,0)</f>
        <v/>
      </c>
      <c r="G45" s="46" t="inlineStr"/>
    </row>
    <row r="46" ht="18" customHeight="1">
      <c r="A46" s="42" t="inlineStr">
        <is>
          <t>PERSONAL</t>
        </is>
      </c>
      <c r="B46" s="42" t="inlineStr">
        <is>
          <t>Gifts</t>
        </is>
      </c>
      <c r="C46" s="29" t="n">
        <v>0</v>
      </c>
      <c r="D46" s="29" t="n">
        <v>0</v>
      </c>
      <c r="E46" s="28">
        <f>C46-D46</f>
        <v/>
      </c>
      <c r="F46" s="48">
        <f>IFERROR(D46/C46,0)</f>
        <v/>
      </c>
      <c r="G46" s="42" t="inlineStr"/>
    </row>
    <row r="47" ht="18" customHeight="1">
      <c r="A47" s="46" t="inlineStr">
        <is>
          <t>PERSONAL</t>
        </is>
      </c>
      <c r="B47" s="46" t="inlineStr">
        <is>
          <t>Education</t>
        </is>
      </c>
      <c r="C47" s="22" t="n">
        <v>0</v>
      </c>
      <c r="D47" s="22" t="n">
        <v>0</v>
      </c>
      <c r="E47" s="47">
        <f>C47-D47</f>
        <v/>
      </c>
      <c r="F47" s="34">
        <f>IFERROR(D47/C47,0)</f>
        <v/>
      </c>
      <c r="G47" s="46" t="inlineStr"/>
    </row>
    <row r="48" ht="18" customHeight="1">
      <c r="A48" s="42" t="inlineStr">
        <is>
          <t>PERSONAL</t>
        </is>
      </c>
      <c r="B48" s="42" t="inlineStr">
        <is>
          <t>Pet Care</t>
        </is>
      </c>
      <c r="C48" s="29" t="n">
        <v>0</v>
      </c>
      <c r="D48" s="29" t="n">
        <v>0</v>
      </c>
      <c r="E48" s="28">
        <f>C48-D48</f>
        <v/>
      </c>
      <c r="F48" s="48">
        <f>IFERROR(D48/C48,0)</f>
        <v/>
      </c>
      <c r="G48" s="42" t="inlineStr"/>
    </row>
    <row r="49" ht="18" customHeight="1">
      <c r="A49" s="46" t="inlineStr">
        <is>
          <t>PERSONAL</t>
        </is>
      </c>
      <c r="B49" s="46" t="inlineStr">
        <is>
          <t>Miscellaneous</t>
        </is>
      </c>
      <c r="C49" s="22" t="n">
        <v>0</v>
      </c>
      <c r="D49" s="22" t="n">
        <v>0</v>
      </c>
      <c r="E49" s="47">
        <f>C49-D49</f>
        <v/>
      </c>
      <c r="F49" s="34">
        <f>IFERROR(D49/C49,0)</f>
        <v/>
      </c>
      <c r="G49" s="46" t="inlineStr"/>
    </row>
    <row r="50" ht="20" customHeight="1">
      <c r="A50" s="49" t="inlineStr">
        <is>
          <t>Subtotal — PERSONAL</t>
        </is>
      </c>
      <c r="B50" s="50" t="n"/>
      <c r="C50" s="51">
        <f>SUM(C45:C49)</f>
        <v/>
      </c>
      <c r="D50" s="51">
        <f>SUM(D45:D49)</f>
        <v/>
      </c>
      <c r="E50" s="51">
        <f>C50-D50</f>
        <v/>
      </c>
      <c r="F50" s="52">
        <f>IFERROR(D50/C50,0)</f>
        <v/>
      </c>
      <c r="G50" s="53" t="inlineStr"/>
    </row>
    <row r="51" ht="22" customHeight="1">
      <c r="A51" s="54" t="inlineStr">
        <is>
          <t>SAVINGS &amp; INVESTMENTS</t>
        </is>
      </c>
    </row>
    <row r="52" ht="18" customHeight="1">
      <c r="A52" s="46" t="inlineStr">
        <is>
          <t>SAVINGS &amp; INVESTMENTS</t>
        </is>
      </c>
      <c r="B52" s="46" t="inlineStr">
        <is>
          <t>Emergency Fund</t>
        </is>
      </c>
      <c r="C52" s="22" t="n">
        <v>0</v>
      </c>
      <c r="D52" s="22" t="n">
        <v>0</v>
      </c>
      <c r="E52" s="47">
        <f>C52-D52</f>
        <v/>
      </c>
      <c r="F52" s="34">
        <f>IFERROR(D52/C52,0)</f>
        <v/>
      </c>
      <c r="G52" s="46" t="inlineStr"/>
    </row>
    <row r="53" ht="18" customHeight="1">
      <c r="A53" s="42" t="inlineStr">
        <is>
          <t>SAVINGS &amp; INVESTMENTS</t>
        </is>
      </c>
      <c r="B53" s="42" t="inlineStr">
        <is>
          <t>Pension/IRA</t>
        </is>
      </c>
      <c r="C53" s="29" t="n">
        <v>0</v>
      </c>
      <c r="D53" s="29" t="n">
        <v>0</v>
      </c>
      <c r="E53" s="28">
        <f>C53-D53</f>
        <v/>
      </c>
      <c r="F53" s="48">
        <f>IFERROR(D53/C53,0)</f>
        <v/>
      </c>
      <c r="G53" s="42" t="inlineStr"/>
    </row>
    <row r="54" ht="18" customHeight="1">
      <c r="A54" s="46" t="inlineStr">
        <is>
          <t>SAVINGS &amp; INVESTMENTS</t>
        </is>
      </c>
      <c r="B54" s="46" t="inlineStr">
        <is>
          <t>Stocks</t>
        </is>
      </c>
      <c r="C54" s="22" t="n">
        <v>0</v>
      </c>
      <c r="D54" s="22" t="n">
        <v>0</v>
      </c>
      <c r="E54" s="47">
        <f>C54-D54</f>
        <v/>
      </c>
      <c r="F54" s="34">
        <f>IFERROR(D54/C54,0)</f>
        <v/>
      </c>
      <c r="G54" s="46" t="inlineStr"/>
    </row>
    <row r="55" ht="18" customHeight="1">
      <c r="A55" s="42" t="inlineStr">
        <is>
          <t>SAVINGS &amp; INVESTMENTS</t>
        </is>
      </c>
      <c r="B55" s="42" t="inlineStr">
        <is>
          <t>Vacation Fund</t>
        </is>
      </c>
      <c r="C55" s="29" t="n">
        <v>0</v>
      </c>
      <c r="D55" s="29" t="n">
        <v>0</v>
      </c>
      <c r="E55" s="28">
        <f>C55-D55</f>
        <v/>
      </c>
      <c r="F55" s="48">
        <f>IFERROR(D55/C55,0)</f>
        <v/>
      </c>
      <c r="G55" s="42" t="inlineStr"/>
    </row>
    <row r="56" ht="18" customHeight="1">
      <c r="A56" s="46" t="inlineStr">
        <is>
          <t>SAVINGS &amp; INVESTMENTS</t>
        </is>
      </c>
      <c r="B56" s="46" t="inlineStr">
        <is>
          <t>Other Savings</t>
        </is>
      </c>
      <c r="C56" s="22" t="n">
        <v>0</v>
      </c>
      <c r="D56" s="22" t="n">
        <v>0</v>
      </c>
      <c r="E56" s="47">
        <f>C56-D56</f>
        <v/>
      </c>
      <c r="F56" s="34">
        <f>IFERROR(D56/C56,0)</f>
        <v/>
      </c>
      <c r="G56" s="46" t="inlineStr"/>
    </row>
    <row r="57" ht="20" customHeight="1">
      <c r="A57" s="49" t="inlineStr">
        <is>
          <t>Subtotal — SAVINGS &amp; INVESTMENTS</t>
        </is>
      </c>
      <c r="B57" s="50" t="n"/>
      <c r="C57" s="51">
        <f>SUM(C52:C56)</f>
        <v/>
      </c>
      <c r="D57" s="51">
        <f>SUM(D52:D56)</f>
        <v/>
      </c>
      <c r="E57" s="51">
        <f>C57-D57</f>
        <v/>
      </c>
      <c r="F57" s="52">
        <f>IFERROR(D57/C57,0)</f>
        <v/>
      </c>
      <c r="G57" s="53" t="inlineStr"/>
    </row>
    <row r="58" ht="22" customHeight="1">
      <c r="A58" s="54" t="inlineStr">
        <is>
          <t>DEBT PAYMENTS</t>
        </is>
      </c>
    </row>
    <row r="59" ht="18" customHeight="1">
      <c r="A59" s="46" t="inlineStr">
        <is>
          <t>DEBT PAYMENTS</t>
        </is>
      </c>
      <c r="B59" s="46" t="inlineStr">
        <is>
          <t>Credit Card 1</t>
        </is>
      </c>
      <c r="C59" s="22" t="n">
        <v>0</v>
      </c>
      <c r="D59" s="22" t="n">
        <v>0</v>
      </c>
      <c r="E59" s="47">
        <f>C59-D59</f>
        <v/>
      </c>
      <c r="F59" s="34">
        <f>IFERROR(D59/C59,0)</f>
        <v/>
      </c>
      <c r="G59" s="46" t="inlineStr"/>
    </row>
    <row r="60" ht="18" customHeight="1">
      <c r="A60" s="42" t="inlineStr">
        <is>
          <t>DEBT PAYMENTS</t>
        </is>
      </c>
      <c r="B60" s="42" t="inlineStr">
        <is>
          <t>Credit Card 2</t>
        </is>
      </c>
      <c r="C60" s="29" t="n">
        <v>0</v>
      </c>
      <c r="D60" s="29" t="n">
        <v>0</v>
      </c>
      <c r="E60" s="28">
        <f>C60-D60</f>
        <v/>
      </c>
      <c r="F60" s="48">
        <f>IFERROR(D60/C60,0)</f>
        <v/>
      </c>
      <c r="G60" s="42" t="inlineStr"/>
    </row>
    <row r="61" ht="18" customHeight="1">
      <c r="A61" s="46" t="inlineStr">
        <is>
          <t>DEBT PAYMENTS</t>
        </is>
      </c>
      <c r="B61" s="46" t="inlineStr">
        <is>
          <t>Student Loan</t>
        </is>
      </c>
      <c r="C61" s="22" t="n">
        <v>0</v>
      </c>
      <c r="D61" s="22" t="n">
        <v>0</v>
      </c>
      <c r="E61" s="47">
        <f>C61-D61</f>
        <v/>
      </c>
      <c r="F61" s="34">
        <f>IFERROR(D61/C61,0)</f>
        <v/>
      </c>
      <c r="G61" s="46" t="inlineStr"/>
    </row>
    <row r="62" ht="18" customHeight="1">
      <c r="A62" s="42" t="inlineStr">
        <is>
          <t>DEBT PAYMENTS</t>
        </is>
      </c>
      <c r="B62" s="42" t="inlineStr">
        <is>
          <t>Car Loan</t>
        </is>
      </c>
      <c r="C62" s="29" t="n">
        <v>0</v>
      </c>
      <c r="D62" s="29" t="n">
        <v>0</v>
      </c>
      <c r="E62" s="28">
        <f>C62-D62</f>
        <v/>
      </c>
      <c r="F62" s="48">
        <f>IFERROR(D62/C62,0)</f>
        <v/>
      </c>
      <c r="G62" s="42" t="inlineStr"/>
    </row>
    <row r="63" ht="18" customHeight="1">
      <c r="A63" s="46" t="inlineStr">
        <is>
          <t>DEBT PAYMENTS</t>
        </is>
      </c>
      <c r="B63" s="46" t="inlineStr">
        <is>
          <t>Other</t>
        </is>
      </c>
      <c r="C63" s="22" t="n">
        <v>0</v>
      </c>
      <c r="D63" s="22" t="n">
        <v>0</v>
      </c>
      <c r="E63" s="47">
        <f>C63-D63</f>
        <v/>
      </c>
      <c r="F63" s="34">
        <f>IFERROR(D63/C63,0)</f>
        <v/>
      </c>
      <c r="G63" s="46" t="inlineStr"/>
    </row>
    <row r="64" ht="20" customHeight="1">
      <c r="A64" s="49" t="inlineStr">
        <is>
          <t>Subtotal — DEBT PAYMENTS</t>
        </is>
      </c>
      <c r="B64" s="50" t="n"/>
      <c r="C64" s="51">
        <f>SUM(C59:C63)</f>
        <v/>
      </c>
      <c r="D64" s="51">
        <f>SUM(D59:D63)</f>
        <v/>
      </c>
      <c r="E64" s="51">
        <f>C64-D64</f>
        <v/>
      </c>
      <c r="F64" s="52">
        <f>IFERROR(D64/C64,0)</f>
        <v/>
      </c>
      <c r="G64" s="53" t="inlineStr"/>
    </row>
    <row r="65" ht="24" customHeight="1">
      <c r="A65" s="55" t="inlineStr">
        <is>
          <t>GRAND TOTAL EXPENSES</t>
        </is>
      </c>
      <c r="B65" s="7" t="n"/>
      <c r="C65" s="56">
        <f>C15+C22+C29+C36+C43+C50+C57+C64</f>
        <v/>
      </c>
      <c r="D65" s="56">
        <f>D15+D22+D29+D36+D43+D50+D57+D64</f>
        <v/>
      </c>
      <c r="E65" s="56">
        <f>C65-D65</f>
        <v/>
      </c>
      <c r="F65" s="57" t="inlineStr"/>
      <c r="G65" s="57" t="inlineStr"/>
    </row>
    <row r="66" ht="26" customHeight="1">
      <c r="A66" s="58" t="inlineStr">
        <is>
          <t>NET CASH FLOW</t>
        </is>
      </c>
      <c r="B66" s="4" t="n"/>
      <c r="C66" s="59">
        <f>C8-C65</f>
        <v/>
      </c>
      <c r="D66" s="59">
        <f>D8-D65</f>
        <v/>
      </c>
      <c r="E66" s="59">
        <f>C66-D66</f>
        <v/>
      </c>
      <c r="F66" s="60" t="inlineStr"/>
      <c r="G66" s="60" t="inlineStr"/>
    </row>
    <row r="68" ht="18" customHeight="1">
      <c r="I68" s="12" t="inlineStr">
        <is>
          <t>Category</t>
        </is>
      </c>
      <c r="J68" s="12" t="inlineStr">
        <is>
          <t>Budgeted</t>
        </is>
      </c>
      <c r="K68" s="12" t="inlineStr">
        <is>
          <t>Actual</t>
        </is>
      </c>
    </row>
    <row r="69" ht="18" customHeight="1">
      <c r="I69" s="46" t="inlineStr">
        <is>
          <t>HOUSING</t>
        </is>
      </c>
      <c r="J69" s="47">
        <f>C15</f>
        <v/>
      </c>
      <c r="K69" s="47">
        <f>D15</f>
        <v/>
      </c>
    </row>
    <row r="70" ht="18" customHeight="1">
      <c r="I70" s="42" t="inlineStr">
        <is>
          <t>TRANSPORT</t>
        </is>
      </c>
      <c r="J70" s="28">
        <f>C22</f>
        <v/>
      </c>
      <c r="K70" s="28">
        <f>D22</f>
        <v/>
      </c>
    </row>
    <row r="71" ht="18" customHeight="1">
      <c r="I71" s="46" t="inlineStr">
        <is>
          <t>FOOD &amp; DINING</t>
        </is>
      </c>
      <c r="J71" s="47">
        <f>C29</f>
        <v/>
      </c>
      <c r="K71" s="47">
        <f>D29</f>
        <v/>
      </c>
    </row>
    <row r="72" ht="18" customHeight="1">
      <c r="I72" s="42" t="inlineStr">
        <is>
          <t>HEALTH &amp; WELLNESS</t>
        </is>
      </c>
      <c r="J72" s="28">
        <f>C36</f>
        <v/>
      </c>
      <c r="K72" s="28">
        <f>D36</f>
        <v/>
      </c>
    </row>
    <row r="73" ht="18" customHeight="1">
      <c r="I73" s="46" t="inlineStr">
        <is>
          <t>LIFESTYLE</t>
        </is>
      </c>
      <c r="J73" s="47">
        <f>C43</f>
        <v/>
      </c>
      <c r="K73" s="47">
        <f>D43</f>
        <v/>
      </c>
    </row>
    <row r="74" ht="18" customHeight="1">
      <c r="I74" s="42" t="inlineStr">
        <is>
          <t>PERSONAL</t>
        </is>
      </c>
      <c r="J74" s="28">
        <f>C50</f>
        <v/>
      </c>
      <c r="K74" s="28">
        <f>D50</f>
        <v/>
      </c>
    </row>
    <row r="75" ht="18" customHeight="1">
      <c r="I75" s="46" t="inlineStr">
        <is>
          <t>SAVINGS &amp; INVESTMENTS</t>
        </is>
      </c>
      <c r="J75" s="47">
        <f>C57</f>
        <v/>
      </c>
      <c r="K75" s="47">
        <f>D57</f>
        <v/>
      </c>
    </row>
    <row r="76" ht="18" customHeight="1">
      <c r="I76" s="42" t="inlineStr">
        <is>
          <t>DEBT PAYMENTS</t>
        </is>
      </c>
      <c r="J76" s="28">
        <f>C64</f>
        <v/>
      </c>
      <c r="K76" s="28">
        <f>D64</f>
        <v/>
      </c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5C8A52"/>
    <outlinePr summaryBelow="1" summaryRight="1"/>
    <pageSetUpPr/>
  </sheetPr>
  <dimension ref="A1:K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4" customWidth="1" min="5" max="5"/>
    <col width="11" customWidth="1" min="6" max="6"/>
    <col width="20" customWidth="1" min="7" max="7"/>
  </cols>
  <sheetData>
    <row r="1" ht="48" customHeight="1">
      <c r="A1" s="44" t="inlineStr">
        <is>
          <t>MAY  ·  MONTHLY BUDGET</t>
        </is>
      </c>
    </row>
    <row r="2" ht="20" customHeight="1">
      <c r="A2" s="2" t="inlineStr">
        <is>
          <t>Track your income and expenses for May</t>
        </is>
      </c>
    </row>
    <row r="3" ht="22" customHeight="1">
      <c r="A3" s="3" t="inlineStr">
        <is>
          <t>CATEGORY</t>
        </is>
      </c>
      <c r="B3" s="3" t="inlineStr">
        <is>
          <t>SUBCATEGORY</t>
        </is>
      </c>
      <c r="C3" s="3" t="inlineStr">
        <is>
          <t>BUDGETED</t>
        </is>
      </c>
      <c r="D3" s="3" t="inlineStr">
        <is>
          <t>ACTUAL</t>
        </is>
      </c>
      <c r="E3" s="3" t="inlineStr">
        <is>
          <t>DIFFERENCE</t>
        </is>
      </c>
      <c r="F3" s="3" t="inlineStr">
        <is>
          <t>% USED</t>
        </is>
      </c>
      <c r="G3" s="3" t="inlineStr">
        <is>
          <t>NOTES</t>
        </is>
      </c>
    </row>
    <row r="4" ht="22" customHeight="1">
      <c r="A4" s="45" t="inlineStr">
        <is>
          <t>INCOME</t>
        </is>
      </c>
    </row>
    <row r="5" ht="18" customHeight="1">
      <c r="A5" s="46" t="inlineStr">
        <is>
          <t>INCOME</t>
        </is>
      </c>
      <c r="B5" s="46" t="inlineStr">
        <is>
          <t>Primary Income</t>
        </is>
      </c>
      <c r="C5" s="22" t="n">
        <v>0</v>
      </c>
      <c r="D5" s="22" t="n">
        <v>0</v>
      </c>
      <c r="E5" s="47">
        <f>C5-D5</f>
        <v/>
      </c>
      <c r="F5" s="34">
        <f>IFERROR(D5/C5,0)</f>
        <v/>
      </c>
      <c r="G5" s="46" t="inlineStr"/>
    </row>
    <row r="6" ht="18" customHeight="1">
      <c r="A6" s="42" t="inlineStr">
        <is>
          <t>INCOME</t>
        </is>
      </c>
      <c r="B6" s="42" t="inlineStr">
        <is>
          <t>Side Income</t>
        </is>
      </c>
      <c r="C6" s="29" t="n">
        <v>0</v>
      </c>
      <c r="D6" s="29" t="n">
        <v>0</v>
      </c>
      <c r="E6" s="28">
        <f>C6-D6</f>
        <v/>
      </c>
      <c r="F6" s="48">
        <f>IFERROR(D6/C6,0)</f>
        <v/>
      </c>
      <c r="G6" s="42" t="inlineStr"/>
    </row>
    <row r="7" ht="18" customHeight="1">
      <c r="A7" s="46" t="inlineStr">
        <is>
          <t>INCOME</t>
        </is>
      </c>
      <c r="B7" s="46" t="inlineStr">
        <is>
          <t>Other Income</t>
        </is>
      </c>
      <c r="C7" s="22" t="n">
        <v>0</v>
      </c>
      <c r="D7" s="22" t="n">
        <v>0</v>
      </c>
      <c r="E7" s="47">
        <f>C7-D7</f>
        <v/>
      </c>
      <c r="F7" s="34">
        <f>IFERROR(D7/C7,0)</f>
        <v/>
      </c>
      <c r="G7" s="46" t="inlineStr"/>
    </row>
    <row r="8" ht="20" customHeight="1">
      <c r="A8" s="49" t="inlineStr">
        <is>
          <t>TOTAL INCOME</t>
        </is>
      </c>
      <c r="B8" s="50" t="n"/>
      <c r="C8" s="51">
        <f>SUM(C5:C7)</f>
        <v/>
      </c>
      <c r="D8" s="51">
        <f>SUM(D5:D7)</f>
        <v/>
      </c>
      <c r="E8" s="51">
        <f>C8-D8</f>
        <v/>
      </c>
      <c r="F8" s="52">
        <f>IFERROR(D8/C8,0)</f>
        <v/>
      </c>
      <c r="G8" s="53" t="inlineStr"/>
    </row>
    <row r="9" ht="22" customHeight="1">
      <c r="A9" s="54" t="inlineStr">
        <is>
          <t>HOUSING</t>
        </is>
      </c>
    </row>
    <row r="10" ht="18" customHeight="1">
      <c r="A10" s="46" t="inlineStr">
        <is>
          <t>HOUSING</t>
        </is>
      </c>
      <c r="B10" s="46" t="inlineStr">
        <is>
          <t>Rent/Mortgage</t>
        </is>
      </c>
      <c r="C10" s="22" t="n">
        <v>0</v>
      </c>
      <c r="D10" s="22" t="n">
        <v>0</v>
      </c>
      <c r="E10" s="47">
        <f>C10-D10</f>
        <v/>
      </c>
      <c r="F10" s="34">
        <f>IFERROR(D10/C10,0)</f>
        <v/>
      </c>
      <c r="G10" s="46" t="inlineStr"/>
    </row>
    <row r="11" ht="18" customHeight="1">
      <c r="A11" s="42" t="inlineStr">
        <is>
          <t>HOUSING</t>
        </is>
      </c>
      <c r="B11" s="42" t="inlineStr">
        <is>
          <t>Utilities</t>
        </is>
      </c>
      <c r="C11" s="29" t="n">
        <v>0</v>
      </c>
      <c r="D11" s="29" t="n">
        <v>0</v>
      </c>
      <c r="E11" s="28">
        <f>C11-D11</f>
        <v/>
      </c>
      <c r="F11" s="48">
        <f>IFERROR(D11/C11,0)</f>
        <v/>
      </c>
      <c r="G11" s="42" t="inlineStr"/>
    </row>
    <row r="12" ht="18" customHeight="1">
      <c r="A12" s="46" t="inlineStr">
        <is>
          <t>HOUSING</t>
        </is>
      </c>
      <c r="B12" s="46" t="inlineStr">
        <is>
          <t>Electricity</t>
        </is>
      </c>
      <c r="C12" s="22" t="n">
        <v>0</v>
      </c>
      <c r="D12" s="22" t="n">
        <v>0</v>
      </c>
      <c r="E12" s="47">
        <f>C12-D12</f>
        <v/>
      </c>
      <c r="F12" s="34">
        <f>IFERROR(D12/C12,0)</f>
        <v/>
      </c>
      <c r="G12" s="46" t="inlineStr"/>
    </row>
    <row r="13" ht="18" customHeight="1">
      <c r="A13" s="42" t="inlineStr">
        <is>
          <t>HOUSING</t>
        </is>
      </c>
      <c r="B13" s="42" t="inlineStr">
        <is>
          <t>Internet</t>
        </is>
      </c>
      <c r="C13" s="29" t="n">
        <v>0</v>
      </c>
      <c r="D13" s="29" t="n">
        <v>0</v>
      </c>
      <c r="E13" s="28">
        <f>C13-D13</f>
        <v/>
      </c>
      <c r="F13" s="48">
        <f>IFERROR(D13/C13,0)</f>
        <v/>
      </c>
      <c r="G13" s="42" t="inlineStr"/>
    </row>
    <row r="14" ht="18" customHeight="1">
      <c r="A14" s="46" t="inlineStr">
        <is>
          <t>HOUSING</t>
        </is>
      </c>
      <c r="B14" s="46" t="inlineStr">
        <is>
          <t>Home Insurance</t>
        </is>
      </c>
      <c r="C14" s="22" t="n">
        <v>0</v>
      </c>
      <c r="D14" s="22" t="n">
        <v>0</v>
      </c>
      <c r="E14" s="47">
        <f>C14-D14</f>
        <v/>
      </c>
      <c r="F14" s="34">
        <f>IFERROR(D14/C14,0)</f>
        <v/>
      </c>
      <c r="G14" s="46" t="inlineStr"/>
    </row>
    <row r="15" ht="20" customHeight="1">
      <c r="A15" s="49" t="inlineStr">
        <is>
          <t>Subtotal — HOUSING</t>
        </is>
      </c>
      <c r="B15" s="50" t="n"/>
      <c r="C15" s="51">
        <f>SUM(C10:C14)</f>
        <v/>
      </c>
      <c r="D15" s="51">
        <f>SUM(D10:D14)</f>
        <v/>
      </c>
      <c r="E15" s="51">
        <f>C15-D15</f>
        <v/>
      </c>
      <c r="F15" s="52">
        <f>IFERROR(D15/C15,0)</f>
        <v/>
      </c>
      <c r="G15" s="53" t="inlineStr"/>
    </row>
    <row r="16" ht="22" customHeight="1">
      <c r="A16" s="54" t="inlineStr">
        <is>
          <t>TRANSPORT</t>
        </is>
      </c>
    </row>
    <row r="17" ht="18" customHeight="1">
      <c r="A17" s="46" t="inlineStr">
        <is>
          <t>TRANSPORT</t>
        </is>
      </c>
      <c r="B17" s="46" t="inlineStr">
        <is>
          <t>Car Payment</t>
        </is>
      </c>
      <c r="C17" s="22" t="n">
        <v>0</v>
      </c>
      <c r="D17" s="22" t="n">
        <v>0</v>
      </c>
      <c r="E17" s="47">
        <f>C17-D17</f>
        <v/>
      </c>
      <c r="F17" s="34">
        <f>IFERROR(D17/C17,0)</f>
        <v/>
      </c>
      <c r="G17" s="46" t="inlineStr"/>
    </row>
    <row r="18" ht="18" customHeight="1">
      <c r="A18" s="42" t="inlineStr">
        <is>
          <t>TRANSPORT</t>
        </is>
      </c>
      <c r="B18" s="42" t="inlineStr">
        <is>
          <t>Fuel</t>
        </is>
      </c>
      <c r="C18" s="29" t="n">
        <v>0</v>
      </c>
      <c r="D18" s="29" t="n">
        <v>0</v>
      </c>
      <c r="E18" s="28">
        <f>C18-D18</f>
        <v/>
      </c>
      <c r="F18" s="48">
        <f>IFERROR(D18/C18,0)</f>
        <v/>
      </c>
      <c r="G18" s="42" t="inlineStr"/>
    </row>
    <row r="19" ht="18" customHeight="1">
      <c r="A19" s="46" t="inlineStr">
        <is>
          <t>TRANSPORT</t>
        </is>
      </c>
      <c r="B19" s="46" t="inlineStr">
        <is>
          <t>Car Insurance</t>
        </is>
      </c>
      <c r="C19" s="22" t="n">
        <v>0</v>
      </c>
      <c r="D19" s="22" t="n">
        <v>0</v>
      </c>
      <c r="E19" s="47">
        <f>C19-D19</f>
        <v/>
      </c>
      <c r="F19" s="34">
        <f>IFERROR(D19/C19,0)</f>
        <v/>
      </c>
      <c r="G19" s="46" t="inlineStr"/>
    </row>
    <row r="20" ht="18" customHeight="1">
      <c r="A20" s="42" t="inlineStr">
        <is>
          <t>TRANSPORT</t>
        </is>
      </c>
      <c r="B20" s="42" t="inlineStr">
        <is>
          <t>Parking</t>
        </is>
      </c>
      <c r="C20" s="29" t="n">
        <v>0</v>
      </c>
      <c r="D20" s="29" t="n">
        <v>0</v>
      </c>
      <c r="E20" s="28">
        <f>C20-D20</f>
        <v/>
      </c>
      <c r="F20" s="48">
        <f>IFERROR(D20/C20,0)</f>
        <v/>
      </c>
      <c r="G20" s="42" t="inlineStr"/>
    </row>
    <row r="21" ht="18" customHeight="1">
      <c r="A21" s="46" t="inlineStr">
        <is>
          <t>TRANSPORT</t>
        </is>
      </c>
      <c r="B21" s="46" t="inlineStr">
        <is>
          <t>Public Transport</t>
        </is>
      </c>
      <c r="C21" s="22" t="n">
        <v>0</v>
      </c>
      <c r="D21" s="22" t="n">
        <v>0</v>
      </c>
      <c r="E21" s="47">
        <f>C21-D21</f>
        <v/>
      </c>
      <c r="F21" s="34">
        <f>IFERROR(D21/C21,0)</f>
        <v/>
      </c>
      <c r="G21" s="46" t="inlineStr"/>
    </row>
    <row r="22" ht="20" customHeight="1">
      <c r="A22" s="49" t="inlineStr">
        <is>
          <t>Subtotal — TRANSPORT</t>
        </is>
      </c>
      <c r="B22" s="50" t="n"/>
      <c r="C22" s="51">
        <f>SUM(C17:C21)</f>
        <v/>
      </c>
      <c r="D22" s="51">
        <f>SUM(D17:D21)</f>
        <v/>
      </c>
      <c r="E22" s="51">
        <f>C22-D22</f>
        <v/>
      </c>
      <c r="F22" s="52">
        <f>IFERROR(D22/C22,0)</f>
        <v/>
      </c>
      <c r="G22" s="53" t="inlineStr"/>
    </row>
    <row r="23" ht="22" customHeight="1">
      <c r="A23" s="54" t="inlineStr">
        <is>
          <t>FOOD &amp; DINING</t>
        </is>
      </c>
    </row>
    <row r="24" ht="18" customHeight="1">
      <c r="A24" s="46" t="inlineStr">
        <is>
          <t>FOOD &amp; DINING</t>
        </is>
      </c>
      <c r="B24" s="46" t="inlineStr">
        <is>
          <t>Groceries</t>
        </is>
      </c>
      <c r="C24" s="22" t="n">
        <v>0</v>
      </c>
      <c r="D24" s="22" t="n">
        <v>0</v>
      </c>
      <c r="E24" s="47">
        <f>C24-D24</f>
        <v/>
      </c>
      <c r="F24" s="34">
        <f>IFERROR(D24/C24,0)</f>
        <v/>
      </c>
      <c r="G24" s="46" t="inlineStr"/>
    </row>
    <row r="25" ht="18" customHeight="1">
      <c r="A25" s="42" t="inlineStr">
        <is>
          <t>FOOD &amp; DINING</t>
        </is>
      </c>
      <c r="B25" s="42" t="inlineStr">
        <is>
          <t>Restaurants</t>
        </is>
      </c>
      <c r="C25" s="29" t="n">
        <v>0</v>
      </c>
      <c r="D25" s="29" t="n">
        <v>0</v>
      </c>
      <c r="E25" s="28">
        <f>C25-D25</f>
        <v/>
      </c>
      <c r="F25" s="48">
        <f>IFERROR(D25/C25,0)</f>
        <v/>
      </c>
      <c r="G25" s="42" t="inlineStr"/>
    </row>
    <row r="26" ht="18" customHeight="1">
      <c r="A26" s="46" t="inlineStr">
        <is>
          <t>FOOD &amp; DINING</t>
        </is>
      </c>
      <c r="B26" s="46" t="inlineStr">
        <is>
          <t>Coffee</t>
        </is>
      </c>
      <c r="C26" s="22" t="n">
        <v>0</v>
      </c>
      <c r="D26" s="22" t="n">
        <v>0</v>
      </c>
      <c r="E26" s="47">
        <f>C26-D26</f>
        <v/>
      </c>
      <c r="F26" s="34">
        <f>IFERROR(D26/C26,0)</f>
        <v/>
      </c>
      <c r="G26" s="46" t="inlineStr"/>
    </row>
    <row r="27" ht="18" customHeight="1">
      <c r="A27" s="42" t="inlineStr">
        <is>
          <t>FOOD &amp; DINING</t>
        </is>
      </c>
      <c r="B27" s="42" t="inlineStr">
        <is>
          <t>Food Delivery</t>
        </is>
      </c>
      <c r="C27" s="29" t="n">
        <v>0</v>
      </c>
      <c r="D27" s="29" t="n">
        <v>0</v>
      </c>
      <c r="E27" s="28">
        <f>C27-D27</f>
        <v/>
      </c>
      <c r="F27" s="48">
        <f>IFERROR(D27/C27,0)</f>
        <v/>
      </c>
      <c r="G27" s="42" t="inlineStr"/>
    </row>
    <row r="28" ht="18" customHeight="1">
      <c r="A28" s="46" t="inlineStr">
        <is>
          <t>FOOD &amp; DINING</t>
        </is>
      </c>
      <c r="B28" s="46" t="inlineStr">
        <is>
          <t>Work Lunch</t>
        </is>
      </c>
      <c r="C28" s="22" t="n">
        <v>0</v>
      </c>
      <c r="D28" s="22" t="n">
        <v>0</v>
      </c>
      <c r="E28" s="47">
        <f>C28-D28</f>
        <v/>
      </c>
      <c r="F28" s="34">
        <f>IFERROR(D28/C28,0)</f>
        <v/>
      </c>
      <c r="G28" s="46" t="inlineStr"/>
    </row>
    <row r="29" ht="20" customHeight="1">
      <c r="A29" s="49" t="inlineStr">
        <is>
          <t>Subtotal — FOOD &amp; DINING</t>
        </is>
      </c>
      <c r="B29" s="50" t="n"/>
      <c r="C29" s="51">
        <f>SUM(C24:C28)</f>
        <v/>
      </c>
      <c r="D29" s="51">
        <f>SUM(D24:D28)</f>
        <v/>
      </c>
      <c r="E29" s="51">
        <f>C29-D29</f>
        <v/>
      </c>
      <c r="F29" s="52">
        <f>IFERROR(D29/C29,0)</f>
        <v/>
      </c>
      <c r="G29" s="53" t="inlineStr"/>
    </row>
    <row r="30" ht="22" customHeight="1">
      <c r="A30" s="54" t="inlineStr">
        <is>
          <t>HEALTH &amp; WELLNESS</t>
        </is>
      </c>
    </row>
    <row r="31" ht="18" customHeight="1">
      <c r="A31" s="46" t="inlineStr">
        <is>
          <t>HEALTH &amp; WELLNESS</t>
        </is>
      </c>
      <c r="B31" s="46" t="inlineStr">
        <is>
          <t>Health Insurance</t>
        </is>
      </c>
      <c r="C31" s="22" t="n">
        <v>0</v>
      </c>
      <c r="D31" s="22" t="n">
        <v>0</v>
      </c>
      <c r="E31" s="47">
        <f>C31-D31</f>
        <v/>
      </c>
      <c r="F31" s="34">
        <f>IFERROR(D31/C31,0)</f>
        <v/>
      </c>
      <c r="G31" s="46" t="inlineStr"/>
    </row>
    <row r="32" ht="18" customHeight="1">
      <c r="A32" s="42" t="inlineStr">
        <is>
          <t>HEALTH &amp; WELLNESS</t>
        </is>
      </c>
      <c r="B32" s="42" t="inlineStr">
        <is>
          <t>Gym</t>
        </is>
      </c>
      <c r="C32" s="29" t="n">
        <v>0</v>
      </c>
      <c r="D32" s="29" t="n">
        <v>0</v>
      </c>
      <c r="E32" s="28">
        <f>C32-D32</f>
        <v/>
      </c>
      <c r="F32" s="48">
        <f>IFERROR(D32/C32,0)</f>
        <v/>
      </c>
      <c r="G32" s="42" t="inlineStr"/>
    </row>
    <row r="33" ht="18" customHeight="1">
      <c r="A33" s="46" t="inlineStr">
        <is>
          <t>HEALTH &amp; WELLNESS</t>
        </is>
      </c>
      <c r="B33" s="46" t="inlineStr">
        <is>
          <t>Pharmacy</t>
        </is>
      </c>
      <c r="C33" s="22" t="n">
        <v>0</v>
      </c>
      <c r="D33" s="22" t="n">
        <v>0</v>
      </c>
      <c r="E33" s="47">
        <f>C33-D33</f>
        <v/>
      </c>
      <c r="F33" s="34">
        <f>IFERROR(D33/C33,0)</f>
        <v/>
      </c>
      <c r="G33" s="46" t="inlineStr"/>
    </row>
    <row r="34" ht="18" customHeight="1">
      <c r="A34" s="42" t="inlineStr">
        <is>
          <t>HEALTH &amp; WELLNESS</t>
        </is>
      </c>
      <c r="B34" s="42" t="inlineStr">
        <is>
          <t>Doctor</t>
        </is>
      </c>
      <c r="C34" s="29" t="n">
        <v>0</v>
      </c>
      <c r="D34" s="29" t="n">
        <v>0</v>
      </c>
      <c r="E34" s="28">
        <f>C34-D34</f>
        <v/>
      </c>
      <c r="F34" s="48">
        <f>IFERROR(D34/C34,0)</f>
        <v/>
      </c>
      <c r="G34" s="42" t="inlineStr"/>
    </row>
    <row r="35" ht="18" customHeight="1">
      <c r="A35" s="46" t="inlineStr">
        <is>
          <t>HEALTH &amp; WELLNESS</t>
        </is>
      </c>
      <c r="B35" s="46" t="inlineStr">
        <is>
          <t>Dental</t>
        </is>
      </c>
      <c r="C35" s="22" t="n">
        <v>0</v>
      </c>
      <c r="D35" s="22" t="n">
        <v>0</v>
      </c>
      <c r="E35" s="47">
        <f>C35-D35</f>
        <v/>
      </c>
      <c r="F35" s="34">
        <f>IFERROR(D35/C35,0)</f>
        <v/>
      </c>
      <c r="G35" s="46" t="inlineStr"/>
    </row>
    <row r="36" ht="20" customHeight="1">
      <c r="A36" s="49" t="inlineStr">
        <is>
          <t>Subtotal — HEALTH &amp; WELLNESS</t>
        </is>
      </c>
      <c r="B36" s="50" t="n"/>
      <c r="C36" s="51">
        <f>SUM(C31:C35)</f>
        <v/>
      </c>
      <c r="D36" s="51">
        <f>SUM(D31:D35)</f>
        <v/>
      </c>
      <c r="E36" s="51">
        <f>C36-D36</f>
        <v/>
      </c>
      <c r="F36" s="52">
        <f>IFERROR(D36/C36,0)</f>
        <v/>
      </c>
      <c r="G36" s="53" t="inlineStr"/>
    </row>
    <row r="37" ht="22" customHeight="1">
      <c r="A37" s="54" t="inlineStr">
        <is>
          <t>LIFESTYLE</t>
        </is>
      </c>
    </row>
    <row r="38" ht="18" customHeight="1">
      <c r="A38" s="46" t="inlineStr">
        <is>
          <t>LIFESTYLE</t>
        </is>
      </c>
      <c r="B38" s="46" t="inlineStr">
        <is>
          <t>Streaming Services</t>
        </is>
      </c>
      <c r="C38" s="22" t="n">
        <v>0</v>
      </c>
      <c r="D38" s="22" t="n">
        <v>0</v>
      </c>
      <c r="E38" s="47">
        <f>C38-D38</f>
        <v/>
      </c>
      <c r="F38" s="34">
        <f>IFERROR(D38/C38,0)</f>
        <v/>
      </c>
      <c r="G38" s="46" t="inlineStr"/>
    </row>
    <row r="39" ht="18" customHeight="1">
      <c r="A39" s="42" t="inlineStr">
        <is>
          <t>LIFESTYLE</t>
        </is>
      </c>
      <c r="B39" s="42" t="inlineStr">
        <is>
          <t>Entertainment</t>
        </is>
      </c>
      <c r="C39" s="29" t="n">
        <v>0</v>
      </c>
      <c r="D39" s="29" t="n">
        <v>0</v>
      </c>
      <c r="E39" s="28">
        <f>C39-D39</f>
        <v/>
      </c>
      <c r="F39" s="48">
        <f>IFERROR(D39/C39,0)</f>
        <v/>
      </c>
      <c r="G39" s="42" t="inlineStr"/>
    </row>
    <row r="40" ht="18" customHeight="1">
      <c r="A40" s="46" t="inlineStr">
        <is>
          <t>LIFESTYLE</t>
        </is>
      </c>
      <c r="B40" s="46" t="inlineStr">
        <is>
          <t>Hobbies</t>
        </is>
      </c>
      <c r="C40" s="22" t="n">
        <v>0</v>
      </c>
      <c r="D40" s="22" t="n">
        <v>0</v>
      </c>
      <c r="E40" s="47">
        <f>C40-D40</f>
        <v/>
      </c>
      <c r="F40" s="34">
        <f>IFERROR(D40/C40,0)</f>
        <v/>
      </c>
      <c r="G40" s="46" t="inlineStr"/>
    </row>
    <row r="41" ht="18" customHeight="1">
      <c r="A41" s="42" t="inlineStr">
        <is>
          <t>LIFESTYLE</t>
        </is>
      </c>
      <c r="B41" s="42" t="inlineStr">
        <is>
          <t>Personal Care</t>
        </is>
      </c>
      <c r="C41" s="29" t="n">
        <v>0</v>
      </c>
      <c r="D41" s="29" t="n">
        <v>0</v>
      </c>
      <c r="E41" s="28">
        <f>C41-D41</f>
        <v/>
      </c>
      <c r="F41" s="48">
        <f>IFERROR(D41/C41,0)</f>
        <v/>
      </c>
      <c r="G41" s="42" t="inlineStr"/>
    </row>
    <row r="42" ht="18" customHeight="1">
      <c r="A42" s="46" t="inlineStr">
        <is>
          <t>LIFESTYLE</t>
        </is>
      </c>
      <c r="B42" s="46" t="inlineStr">
        <is>
          <t>Books</t>
        </is>
      </c>
      <c r="C42" s="22" t="n">
        <v>0</v>
      </c>
      <c r="D42" s="22" t="n">
        <v>0</v>
      </c>
      <c r="E42" s="47">
        <f>C42-D42</f>
        <v/>
      </c>
      <c r="F42" s="34">
        <f>IFERROR(D42/C42,0)</f>
        <v/>
      </c>
      <c r="G42" s="46" t="inlineStr"/>
    </row>
    <row r="43" ht="20" customHeight="1">
      <c r="A43" s="49" t="inlineStr">
        <is>
          <t>Subtotal — LIFESTYLE</t>
        </is>
      </c>
      <c r="B43" s="50" t="n"/>
      <c r="C43" s="51">
        <f>SUM(C38:C42)</f>
        <v/>
      </c>
      <c r="D43" s="51">
        <f>SUM(D38:D42)</f>
        <v/>
      </c>
      <c r="E43" s="51">
        <f>C43-D43</f>
        <v/>
      </c>
      <c r="F43" s="52">
        <f>IFERROR(D43/C43,0)</f>
        <v/>
      </c>
      <c r="G43" s="53" t="inlineStr"/>
    </row>
    <row r="44" ht="22" customHeight="1">
      <c r="A44" s="54" t="inlineStr">
        <is>
          <t>PERSONAL</t>
        </is>
      </c>
    </row>
    <row r="45" ht="18" customHeight="1">
      <c r="A45" s="46" t="inlineStr">
        <is>
          <t>PERSONAL</t>
        </is>
      </c>
      <c r="B45" s="46" t="inlineStr">
        <is>
          <t>Clothing</t>
        </is>
      </c>
      <c r="C45" s="22" t="n">
        <v>0</v>
      </c>
      <c r="D45" s="22" t="n">
        <v>0</v>
      </c>
      <c r="E45" s="47">
        <f>C45-D45</f>
        <v/>
      </c>
      <c r="F45" s="34">
        <f>IFERROR(D45/C45,0)</f>
        <v/>
      </c>
      <c r="G45" s="46" t="inlineStr"/>
    </row>
    <row r="46" ht="18" customHeight="1">
      <c r="A46" s="42" t="inlineStr">
        <is>
          <t>PERSONAL</t>
        </is>
      </c>
      <c r="B46" s="42" t="inlineStr">
        <is>
          <t>Gifts</t>
        </is>
      </c>
      <c r="C46" s="29" t="n">
        <v>0</v>
      </c>
      <c r="D46" s="29" t="n">
        <v>0</v>
      </c>
      <c r="E46" s="28">
        <f>C46-D46</f>
        <v/>
      </c>
      <c r="F46" s="48">
        <f>IFERROR(D46/C46,0)</f>
        <v/>
      </c>
      <c r="G46" s="42" t="inlineStr"/>
    </row>
    <row r="47" ht="18" customHeight="1">
      <c r="A47" s="46" t="inlineStr">
        <is>
          <t>PERSONAL</t>
        </is>
      </c>
      <c r="B47" s="46" t="inlineStr">
        <is>
          <t>Education</t>
        </is>
      </c>
      <c r="C47" s="22" t="n">
        <v>0</v>
      </c>
      <c r="D47" s="22" t="n">
        <v>0</v>
      </c>
      <c r="E47" s="47">
        <f>C47-D47</f>
        <v/>
      </c>
      <c r="F47" s="34">
        <f>IFERROR(D47/C47,0)</f>
        <v/>
      </c>
      <c r="G47" s="46" t="inlineStr"/>
    </row>
    <row r="48" ht="18" customHeight="1">
      <c r="A48" s="42" t="inlineStr">
        <is>
          <t>PERSONAL</t>
        </is>
      </c>
      <c r="B48" s="42" t="inlineStr">
        <is>
          <t>Pet Care</t>
        </is>
      </c>
      <c r="C48" s="29" t="n">
        <v>0</v>
      </c>
      <c r="D48" s="29" t="n">
        <v>0</v>
      </c>
      <c r="E48" s="28">
        <f>C48-D48</f>
        <v/>
      </c>
      <c r="F48" s="48">
        <f>IFERROR(D48/C48,0)</f>
        <v/>
      </c>
      <c r="G48" s="42" t="inlineStr"/>
    </row>
    <row r="49" ht="18" customHeight="1">
      <c r="A49" s="46" t="inlineStr">
        <is>
          <t>PERSONAL</t>
        </is>
      </c>
      <c r="B49" s="46" t="inlineStr">
        <is>
          <t>Miscellaneous</t>
        </is>
      </c>
      <c r="C49" s="22" t="n">
        <v>0</v>
      </c>
      <c r="D49" s="22" t="n">
        <v>0</v>
      </c>
      <c r="E49" s="47">
        <f>C49-D49</f>
        <v/>
      </c>
      <c r="F49" s="34">
        <f>IFERROR(D49/C49,0)</f>
        <v/>
      </c>
      <c r="G49" s="46" t="inlineStr"/>
    </row>
    <row r="50" ht="20" customHeight="1">
      <c r="A50" s="49" t="inlineStr">
        <is>
          <t>Subtotal — PERSONAL</t>
        </is>
      </c>
      <c r="B50" s="50" t="n"/>
      <c r="C50" s="51">
        <f>SUM(C45:C49)</f>
        <v/>
      </c>
      <c r="D50" s="51">
        <f>SUM(D45:D49)</f>
        <v/>
      </c>
      <c r="E50" s="51">
        <f>C50-D50</f>
        <v/>
      </c>
      <c r="F50" s="52">
        <f>IFERROR(D50/C50,0)</f>
        <v/>
      </c>
      <c r="G50" s="53" t="inlineStr"/>
    </row>
    <row r="51" ht="22" customHeight="1">
      <c r="A51" s="54" t="inlineStr">
        <is>
          <t>SAVINGS &amp; INVESTMENTS</t>
        </is>
      </c>
    </row>
    <row r="52" ht="18" customHeight="1">
      <c r="A52" s="46" t="inlineStr">
        <is>
          <t>SAVINGS &amp; INVESTMENTS</t>
        </is>
      </c>
      <c r="B52" s="46" t="inlineStr">
        <is>
          <t>Emergency Fund</t>
        </is>
      </c>
      <c r="C52" s="22" t="n">
        <v>0</v>
      </c>
      <c r="D52" s="22" t="n">
        <v>0</v>
      </c>
      <c r="E52" s="47">
        <f>C52-D52</f>
        <v/>
      </c>
      <c r="F52" s="34">
        <f>IFERROR(D52/C52,0)</f>
        <v/>
      </c>
      <c r="G52" s="46" t="inlineStr"/>
    </row>
    <row r="53" ht="18" customHeight="1">
      <c r="A53" s="42" t="inlineStr">
        <is>
          <t>SAVINGS &amp; INVESTMENTS</t>
        </is>
      </c>
      <c r="B53" s="42" t="inlineStr">
        <is>
          <t>Pension/IRA</t>
        </is>
      </c>
      <c r="C53" s="29" t="n">
        <v>0</v>
      </c>
      <c r="D53" s="29" t="n">
        <v>0</v>
      </c>
      <c r="E53" s="28">
        <f>C53-D53</f>
        <v/>
      </c>
      <c r="F53" s="48">
        <f>IFERROR(D53/C53,0)</f>
        <v/>
      </c>
      <c r="G53" s="42" t="inlineStr"/>
    </row>
    <row r="54" ht="18" customHeight="1">
      <c r="A54" s="46" t="inlineStr">
        <is>
          <t>SAVINGS &amp; INVESTMENTS</t>
        </is>
      </c>
      <c r="B54" s="46" t="inlineStr">
        <is>
          <t>Stocks</t>
        </is>
      </c>
      <c r="C54" s="22" t="n">
        <v>0</v>
      </c>
      <c r="D54" s="22" t="n">
        <v>0</v>
      </c>
      <c r="E54" s="47">
        <f>C54-D54</f>
        <v/>
      </c>
      <c r="F54" s="34">
        <f>IFERROR(D54/C54,0)</f>
        <v/>
      </c>
      <c r="G54" s="46" t="inlineStr"/>
    </row>
    <row r="55" ht="18" customHeight="1">
      <c r="A55" s="42" t="inlineStr">
        <is>
          <t>SAVINGS &amp; INVESTMENTS</t>
        </is>
      </c>
      <c r="B55" s="42" t="inlineStr">
        <is>
          <t>Vacation Fund</t>
        </is>
      </c>
      <c r="C55" s="29" t="n">
        <v>0</v>
      </c>
      <c r="D55" s="29" t="n">
        <v>0</v>
      </c>
      <c r="E55" s="28">
        <f>C55-D55</f>
        <v/>
      </c>
      <c r="F55" s="48">
        <f>IFERROR(D55/C55,0)</f>
        <v/>
      </c>
      <c r="G55" s="42" t="inlineStr"/>
    </row>
    <row r="56" ht="18" customHeight="1">
      <c r="A56" s="46" t="inlineStr">
        <is>
          <t>SAVINGS &amp; INVESTMENTS</t>
        </is>
      </c>
      <c r="B56" s="46" t="inlineStr">
        <is>
          <t>Other Savings</t>
        </is>
      </c>
      <c r="C56" s="22" t="n">
        <v>0</v>
      </c>
      <c r="D56" s="22" t="n">
        <v>0</v>
      </c>
      <c r="E56" s="47">
        <f>C56-D56</f>
        <v/>
      </c>
      <c r="F56" s="34">
        <f>IFERROR(D56/C56,0)</f>
        <v/>
      </c>
      <c r="G56" s="46" t="inlineStr"/>
    </row>
    <row r="57" ht="20" customHeight="1">
      <c r="A57" s="49" t="inlineStr">
        <is>
          <t>Subtotal — SAVINGS &amp; INVESTMENTS</t>
        </is>
      </c>
      <c r="B57" s="50" t="n"/>
      <c r="C57" s="51">
        <f>SUM(C52:C56)</f>
        <v/>
      </c>
      <c r="D57" s="51">
        <f>SUM(D52:D56)</f>
        <v/>
      </c>
      <c r="E57" s="51">
        <f>C57-D57</f>
        <v/>
      </c>
      <c r="F57" s="52">
        <f>IFERROR(D57/C57,0)</f>
        <v/>
      </c>
      <c r="G57" s="53" t="inlineStr"/>
    </row>
    <row r="58" ht="22" customHeight="1">
      <c r="A58" s="54" t="inlineStr">
        <is>
          <t>DEBT PAYMENTS</t>
        </is>
      </c>
    </row>
    <row r="59" ht="18" customHeight="1">
      <c r="A59" s="46" t="inlineStr">
        <is>
          <t>DEBT PAYMENTS</t>
        </is>
      </c>
      <c r="B59" s="46" t="inlineStr">
        <is>
          <t>Credit Card 1</t>
        </is>
      </c>
      <c r="C59" s="22" t="n">
        <v>0</v>
      </c>
      <c r="D59" s="22" t="n">
        <v>0</v>
      </c>
      <c r="E59" s="47">
        <f>C59-D59</f>
        <v/>
      </c>
      <c r="F59" s="34">
        <f>IFERROR(D59/C59,0)</f>
        <v/>
      </c>
      <c r="G59" s="46" t="inlineStr"/>
    </row>
    <row r="60" ht="18" customHeight="1">
      <c r="A60" s="42" t="inlineStr">
        <is>
          <t>DEBT PAYMENTS</t>
        </is>
      </c>
      <c r="B60" s="42" t="inlineStr">
        <is>
          <t>Credit Card 2</t>
        </is>
      </c>
      <c r="C60" s="29" t="n">
        <v>0</v>
      </c>
      <c r="D60" s="29" t="n">
        <v>0</v>
      </c>
      <c r="E60" s="28">
        <f>C60-D60</f>
        <v/>
      </c>
      <c r="F60" s="48">
        <f>IFERROR(D60/C60,0)</f>
        <v/>
      </c>
      <c r="G60" s="42" t="inlineStr"/>
    </row>
    <row r="61" ht="18" customHeight="1">
      <c r="A61" s="46" t="inlineStr">
        <is>
          <t>DEBT PAYMENTS</t>
        </is>
      </c>
      <c r="B61" s="46" t="inlineStr">
        <is>
          <t>Student Loan</t>
        </is>
      </c>
      <c r="C61" s="22" t="n">
        <v>0</v>
      </c>
      <c r="D61" s="22" t="n">
        <v>0</v>
      </c>
      <c r="E61" s="47">
        <f>C61-D61</f>
        <v/>
      </c>
      <c r="F61" s="34">
        <f>IFERROR(D61/C61,0)</f>
        <v/>
      </c>
      <c r="G61" s="46" t="inlineStr"/>
    </row>
    <row r="62" ht="18" customHeight="1">
      <c r="A62" s="42" t="inlineStr">
        <is>
          <t>DEBT PAYMENTS</t>
        </is>
      </c>
      <c r="B62" s="42" t="inlineStr">
        <is>
          <t>Car Loan</t>
        </is>
      </c>
      <c r="C62" s="29" t="n">
        <v>0</v>
      </c>
      <c r="D62" s="29" t="n">
        <v>0</v>
      </c>
      <c r="E62" s="28">
        <f>C62-D62</f>
        <v/>
      </c>
      <c r="F62" s="48">
        <f>IFERROR(D62/C62,0)</f>
        <v/>
      </c>
      <c r="G62" s="42" t="inlineStr"/>
    </row>
    <row r="63" ht="18" customHeight="1">
      <c r="A63" s="46" t="inlineStr">
        <is>
          <t>DEBT PAYMENTS</t>
        </is>
      </c>
      <c r="B63" s="46" t="inlineStr">
        <is>
          <t>Other</t>
        </is>
      </c>
      <c r="C63" s="22" t="n">
        <v>0</v>
      </c>
      <c r="D63" s="22" t="n">
        <v>0</v>
      </c>
      <c r="E63" s="47">
        <f>C63-D63</f>
        <v/>
      </c>
      <c r="F63" s="34">
        <f>IFERROR(D63/C63,0)</f>
        <v/>
      </c>
      <c r="G63" s="46" t="inlineStr"/>
    </row>
    <row r="64" ht="20" customHeight="1">
      <c r="A64" s="49" t="inlineStr">
        <is>
          <t>Subtotal — DEBT PAYMENTS</t>
        </is>
      </c>
      <c r="B64" s="50" t="n"/>
      <c r="C64" s="51">
        <f>SUM(C59:C63)</f>
        <v/>
      </c>
      <c r="D64" s="51">
        <f>SUM(D59:D63)</f>
        <v/>
      </c>
      <c r="E64" s="51">
        <f>C64-D64</f>
        <v/>
      </c>
      <c r="F64" s="52">
        <f>IFERROR(D64/C64,0)</f>
        <v/>
      </c>
      <c r="G64" s="53" t="inlineStr"/>
    </row>
    <row r="65" ht="24" customHeight="1">
      <c r="A65" s="55" t="inlineStr">
        <is>
          <t>GRAND TOTAL EXPENSES</t>
        </is>
      </c>
      <c r="B65" s="7" t="n"/>
      <c r="C65" s="56">
        <f>C15+C22+C29+C36+C43+C50+C57+C64</f>
        <v/>
      </c>
      <c r="D65" s="56">
        <f>D15+D22+D29+D36+D43+D50+D57+D64</f>
        <v/>
      </c>
      <c r="E65" s="56">
        <f>C65-D65</f>
        <v/>
      </c>
      <c r="F65" s="57" t="inlineStr"/>
      <c r="G65" s="57" t="inlineStr"/>
    </row>
    <row r="66" ht="26" customHeight="1">
      <c r="A66" s="58" t="inlineStr">
        <is>
          <t>NET CASH FLOW</t>
        </is>
      </c>
      <c r="B66" s="4" t="n"/>
      <c r="C66" s="59">
        <f>C8-C65</f>
        <v/>
      </c>
      <c r="D66" s="59">
        <f>D8-D65</f>
        <v/>
      </c>
      <c r="E66" s="59">
        <f>C66-D66</f>
        <v/>
      </c>
      <c r="F66" s="60" t="inlineStr"/>
      <c r="G66" s="60" t="inlineStr"/>
    </row>
    <row r="68" ht="18" customHeight="1">
      <c r="I68" s="12" t="inlineStr">
        <is>
          <t>Category</t>
        </is>
      </c>
      <c r="J68" s="12" t="inlineStr">
        <is>
          <t>Budgeted</t>
        </is>
      </c>
      <c r="K68" s="12" t="inlineStr">
        <is>
          <t>Actual</t>
        </is>
      </c>
    </row>
    <row r="69" ht="18" customHeight="1">
      <c r="I69" s="46" t="inlineStr">
        <is>
          <t>HOUSING</t>
        </is>
      </c>
      <c r="J69" s="47">
        <f>C15</f>
        <v/>
      </c>
      <c r="K69" s="47">
        <f>D15</f>
        <v/>
      </c>
    </row>
    <row r="70" ht="18" customHeight="1">
      <c r="I70" s="42" t="inlineStr">
        <is>
          <t>TRANSPORT</t>
        </is>
      </c>
      <c r="J70" s="28">
        <f>C22</f>
        <v/>
      </c>
      <c r="K70" s="28">
        <f>D22</f>
        <v/>
      </c>
    </row>
    <row r="71" ht="18" customHeight="1">
      <c r="I71" s="46" t="inlineStr">
        <is>
          <t>FOOD &amp; DINING</t>
        </is>
      </c>
      <c r="J71" s="47">
        <f>C29</f>
        <v/>
      </c>
      <c r="K71" s="47">
        <f>D29</f>
        <v/>
      </c>
    </row>
    <row r="72" ht="18" customHeight="1">
      <c r="I72" s="42" t="inlineStr">
        <is>
          <t>HEALTH &amp; WELLNESS</t>
        </is>
      </c>
      <c r="J72" s="28">
        <f>C36</f>
        <v/>
      </c>
      <c r="K72" s="28">
        <f>D36</f>
        <v/>
      </c>
    </row>
    <row r="73" ht="18" customHeight="1">
      <c r="I73" s="46" t="inlineStr">
        <is>
          <t>LIFESTYLE</t>
        </is>
      </c>
      <c r="J73" s="47">
        <f>C43</f>
        <v/>
      </c>
      <c r="K73" s="47">
        <f>D43</f>
        <v/>
      </c>
    </row>
    <row r="74" ht="18" customHeight="1">
      <c r="I74" s="42" t="inlineStr">
        <is>
          <t>PERSONAL</t>
        </is>
      </c>
      <c r="J74" s="28">
        <f>C50</f>
        <v/>
      </c>
      <c r="K74" s="28">
        <f>D50</f>
        <v/>
      </c>
    </row>
    <row r="75" ht="18" customHeight="1">
      <c r="I75" s="46" t="inlineStr">
        <is>
          <t>SAVINGS &amp; INVESTMENTS</t>
        </is>
      </c>
      <c r="J75" s="47">
        <f>C57</f>
        <v/>
      </c>
      <c r="K75" s="47">
        <f>D57</f>
        <v/>
      </c>
    </row>
    <row r="76" ht="18" customHeight="1">
      <c r="I76" s="42" t="inlineStr">
        <is>
          <t>DEBT PAYMENTS</t>
        </is>
      </c>
      <c r="J76" s="28">
        <f>C64</f>
        <v/>
      </c>
      <c r="K76" s="28">
        <f>D64</f>
        <v/>
      </c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5C8A52"/>
    <outlinePr summaryBelow="1" summaryRight="1"/>
    <pageSetUpPr/>
  </sheetPr>
  <dimension ref="A1:K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4" customWidth="1" min="5" max="5"/>
    <col width="11" customWidth="1" min="6" max="6"/>
    <col width="20" customWidth="1" min="7" max="7"/>
  </cols>
  <sheetData>
    <row r="1" ht="48" customHeight="1">
      <c r="A1" s="44" t="inlineStr">
        <is>
          <t>JUNE  ·  MONTHLY BUDGET</t>
        </is>
      </c>
    </row>
    <row r="2" ht="20" customHeight="1">
      <c r="A2" s="2" t="inlineStr">
        <is>
          <t>Track your income and expenses for June</t>
        </is>
      </c>
    </row>
    <row r="3" ht="22" customHeight="1">
      <c r="A3" s="3" t="inlineStr">
        <is>
          <t>CATEGORY</t>
        </is>
      </c>
      <c r="B3" s="3" t="inlineStr">
        <is>
          <t>SUBCATEGORY</t>
        </is>
      </c>
      <c r="C3" s="3" t="inlineStr">
        <is>
          <t>BUDGETED</t>
        </is>
      </c>
      <c r="D3" s="3" t="inlineStr">
        <is>
          <t>ACTUAL</t>
        </is>
      </c>
      <c r="E3" s="3" t="inlineStr">
        <is>
          <t>DIFFERENCE</t>
        </is>
      </c>
      <c r="F3" s="3" t="inlineStr">
        <is>
          <t>% USED</t>
        </is>
      </c>
      <c r="G3" s="3" t="inlineStr">
        <is>
          <t>NOTES</t>
        </is>
      </c>
    </row>
    <row r="4" ht="22" customHeight="1">
      <c r="A4" s="45" t="inlineStr">
        <is>
          <t>INCOME</t>
        </is>
      </c>
    </row>
    <row r="5" ht="18" customHeight="1">
      <c r="A5" s="46" t="inlineStr">
        <is>
          <t>INCOME</t>
        </is>
      </c>
      <c r="B5" s="46" t="inlineStr">
        <is>
          <t>Primary Income</t>
        </is>
      </c>
      <c r="C5" s="22" t="n">
        <v>0</v>
      </c>
      <c r="D5" s="22" t="n">
        <v>0</v>
      </c>
      <c r="E5" s="47">
        <f>C5-D5</f>
        <v/>
      </c>
      <c r="F5" s="34">
        <f>IFERROR(D5/C5,0)</f>
        <v/>
      </c>
      <c r="G5" s="46" t="inlineStr"/>
    </row>
    <row r="6" ht="18" customHeight="1">
      <c r="A6" s="42" t="inlineStr">
        <is>
          <t>INCOME</t>
        </is>
      </c>
      <c r="B6" s="42" t="inlineStr">
        <is>
          <t>Side Income</t>
        </is>
      </c>
      <c r="C6" s="29" t="n">
        <v>0</v>
      </c>
      <c r="D6" s="29" t="n">
        <v>0</v>
      </c>
      <c r="E6" s="28">
        <f>C6-D6</f>
        <v/>
      </c>
      <c r="F6" s="48">
        <f>IFERROR(D6/C6,0)</f>
        <v/>
      </c>
      <c r="G6" s="42" t="inlineStr"/>
    </row>
    <row r="7" ht="18" customHeight="1">
      <c r="A7" s="46" t="inlineStr">
        <is>
          <t>INCOME</t>
        </is>
      </c>
      <c r="B7" s="46" t="inlineStr">
        <is>
          <t>Other Income</t>
        </is>
      </c>
      <c r="C7" s="22" t="n">
        <v>0</v>
      </c>
      <c r="D7" s="22" t="n">
        <v>0</v>
      </c>
      <c r="E7" s="47">
        <f>C7-D7</f>
        <v/>
      </c>
      <c r="F7" s="34">
        <f>IFERROR(D7/C7,0)</f>
        <v/>
      </c>
      <c r="G7" s="46" t="inlineStr"/>
    </row>
    <row r="8" ht="20" customHeight="1">
      <c r="A8" s="49" t="inlineStr">
        <is>
          <t>TOTAL INCOME</t>
        </is>
      </c>
      <c r="B8" s="50" t="n"/>
      <c r="C8" s="51">
        <f>SUM(C5:C7)</f>
        <v/>
      </c>
      <c r="D8" s="51">
        <f>SUM(D5:D7)</f>
        <v/>
      </c>
      <c r="E8" s="51">
        <f>C8-D8</f>
        <v/>
      </c>
      <c r="F8" s="52">
        <f>IFERROR(D8/C8,0)</f>
        <v/>
      </c>
      <c r="G8" s="53" t="inlineStr"/>
    </row>
    <row r="9" ht="22" customHeight="1">
      <c r="A9" s="54" t="inlineStr">
        <is>
          <t>HOUSING</t>
        </is>
      </c>
    </row>
    <row r="10" ht="18" customHeight="1">
      <c r="A10" s="46" t="inlineStr">
        <is>
          <t>HOUSING</t>
        </is>
      </c>
      <c r="B10" s="46" t="inlineStr">
        <is>
          <t>Rent/Mortgage</t>
        </is>
      </c>
      <c r="C10" s="22" t="n">
        <v>0</v>
      </c>
      <c r="D10" s="22" t="n">
        <v>0</v>
      </c>
      <c r="E10" s="47">
        <f>C10-D10</f>
        <v/>
      </c>
      <c r="F10" s="34">
        <f>IFERROR(D10/C10,0)</f>
        <v/>
      </c>
      <c r="G10" s="46" t="inlineStr"/>
    </row>
    <row r="11" ht="18" customHeight="1">
      <c r="A11" s="42" t="inlineStr">
        <is>
          <t>HOUSING</t>
        </is>
      </c>
      <c r="B11" s="42" t="inlineStr">
        <is>
          <t>Utilities</t>
        </is>
      </c>
      <c r="C11" s="29" t="n">
        <v>0</v>
      </c>
      <c r="D11" s="29" t="n">
        <v>0</v>
      </c>
      <c r="E11" s="28">
        <f>C11-D11</f>
        <v/>
      </c>
      <c r="F11" s="48">
        <f>IFERROR(D11/C11,0)</f>
        <v/>
      </c>
      <c r="G11" s="42" t="inlineStr"/>
    </row>
    <row r="12" ht="18" customHeight="1">
      <c r="A12" s="46" t="inlineStr">
        <is>
          <t>HOUSING</t>
        </is>
      </c>
      <c r="B12" s="46" t="inlineStr">
        <is>
          <t>Electricity</t>
        </is>
      </c>
      <c r="C12" s="22" t="n">
        <v>0</v>
      </c>
      <c r="D12" s="22" t="n">
        <v>0</v>
      </c>
      <c r="E12" s="47">
        <f>C12-D12</f>
        <v/>
      </c>
      <c r="F12" s="34">
        <f>IFERROR(D12/C12,0)</f>
        <v/>
      </c>
      <c r="G12" s="46" t="inlineStr"/>
    </row>
    <row r="13" ht="18" customHeight="1">
      <c r="A13" s="42" t="inlineStr">
        <is>
          <t>HOUSING</t>
        </is>
      </c>
      <c r="B13" s="42" t="inlineStr">
        <is>
          <t>Internet</t>
        </is>
      </c>
      <c r="C13" s="29" t="n">
        <v>0</v>
      </c>
      <c r="D13" s="29" t="n">
        <v>0</v>
      </c>
      <c r="E13" s="28">
        <f>C13-D13</f>
        <v/>
      </c>
      <c r="F13" s="48">
        <f>IFERROR(D13/C13,0)</f>
        <v/>
      </c>
      <c r="G13" s="42" t="inlineStr"/>
    </row>
    <row r="14" ht="18" customHeight="1">
      <c r="A14" s="46" t="inlineStr">
        <is>
          <t>HOUSING</t>
        </is>
      </c>
      <c r="B14" s="46" t="inlineStr">
        <is>
          <t>Home Insurance</t>
        </is>
      </c>
      <c r="C14" s="22" t="n">
        <v>0</v>
      </c>
      <c r="D14" s="22" t="n">
        <v>0</v>
      </c>
      <c r="E14" s="47">
        <f>C14-D14</f>
        <v/>
      </c>
      <c r="F14" s="34">
        <f>IFERROR(D14/C14,0)</f>
        <v/>
      </c>
      <c r="G14" s="46" t="inlineStr"/>
    </row>
    <row r="15" ht="20" customHeight="1">
      <c r="A15" s="49" t="inlineStr">
        <is>
          <t>Subtotal — HOUSING</t>
        </is>
      </c>
      <c r="B15" s="50" t="n"/>
      <c r="C15" s="51">
        <f>SUM(C10:C14)</f>
        <v/>
      </c>
      <c r="D15" s="51">
        <f>SUM(D10:D14)</f>
        <v/>
      </c>
      <c r="E15" s="51">
        <f>C15-D15</f>
        <v/>
      </c>
      <c r="F15" s="52">
        <f>IFERROR(D15/C15,0)</f>
        <v/>
      </c>
      <c r="G15" s="53" t="inlineStr"/>
    </row>
    <row r="16" ht="22" customHeight="1">
      <c r="A16" s="54" t="inlineStr">
        <is>
          <t>TRANSPORT</t>
        </is>
      </c>
    </row>
    <row r="17" ht="18" customHeight="1">
      <c r="A17" s="46" t="inlineStr">
        <is>
          <t>TRANSPORT</t>
        </is>
      </c>
      <c r="B17" s="46" t="inlineStr">
        <is>
          <t>Car Payment</t>
        </is>
      </c>
      <c r="C17" s="22" t="n">
        <v>0</v>
      </c>
      <c r="D17" s="22" t="n">
        <v>0</v>
      </c>
      <c r="E17" s="47">
        <f>C17-D17</f>
        <v/>
      </c>
      <c r="F17" s="34">
        <f>IFERROR(D17/C17,0)</f>
        <v/>
      </c>
      <c r="G17" s="46" t="inlineStr"/>
    </row>
    <row r="18" ht="18" customHeight="1">
      <c r="A18" s="42" t="inlineStr">
        <is>
          <t>TRANSPORT</t>
        </is>
      </c>
      <c r="B18" s="42" t="inlineStr">
        <is>
          <t>Fuel</t>
        </is>
      </c>
      <c r="C18" s="29" t="n">
        <v>0</v>
      </c>
      <c r="D18" s="29" t="n">
        <v>0</v>
      </c>
      <c r="E18" s="28">
        <f>C18-D18</f>
        <v/>
      </c>
      <c r="F18" s="48">
        <f>IFERROR(D18/C18,0)</f>
        <v/>
      </c>
      <c r="G18" s="42" t="inlineStr"/>
    </row>
    <row r="19" ht="18" customHeight="1">
      <c r="A19" s="46" t="inlineStr">
        <is>
          <t>TRANSPORT</t>
        </is>
      </c>
      <c r="B19" s="46" t="inlineStr">
        <is>
          <t>Car Insurance</t>
        </is>
      </c>
      <c r="C19" s="22" t="n">
        <v>0</v>
      </c>
      <c r="D19" s="22" t="n">
        <v>0</v>
      </c>
      <c r="E19" s="47">
        <f>C19-D19</f>
        <v/>
      </c>
      <c r="F19" s="34">
        <f>IFERROR(D19/C19,0)</f>
        <v/>
      </c>
      <c r="G19" s="46" t="inlineStr"/>
    </row>
    <row r="20" ht="18" customHeight="1">
      <c r="A20" s="42" t="inlineStr">
        <is>
          <t>TRANSPORT</t>
        </is>
      </c>
      <c r="B20" s="42" t="inlineStr">
        <is>
          <t>Parking</t>
        </is>
      </c>
      <c r="C20" s="29" t="n">
        <v>0</v>
      </c>
      <c r="D20" s="29" t="n">
        <v>0</v>
      </c>
      <c r="E20" s="28">
        <f>C20-D20</f>
        <v/>
      </c>
      <c r="F20" s="48">
        <f>IFERROR(D20/C20,0)</f>
        <v/>
      </c>
      <c r="G20" s="42" t="inlineStr"/>
    </row>
    <row r="21" ht="18" customHeight="1">
      <c r="A21" s="46" t="inlineStr">
        <is>
          <t>TRANSPORT</t>
        </is>
      </c>
      <c r="B21" s="46" t="inlineStr">
        <is>
          <t>Public Transport</t>
        </is>
      </c>
      <c r="C21" s="22" t="n">
        <v>0</v>
      </c>
      <c r="D21" s="22" t="n">
        <v>0</v>
      </c>
      <c r="E21" s="47">
        <f>C21-D21</f>
        <v/>
      </c>
      <c r="F21" s="34">
        <f>IFERROR(D21/C21,0)</f>
        <v/>
      </c>
      <c r="G21" s="46" t="inlineStr"/>
    </row>
    <row r="22" ht="20" customHeight="1">
      <c r="A22" s="49" t="inlineStr">
        <is>
          <t>Subtotal — TRANSPORT</t>
        </is>
      </c>
      <c r="B22" s="50" t="n"/>
      <c r="C22" s="51">
        <f>SUM(C17:C21)</f>
        <v/>
      </c>
      <c r="D22" s="51">
        <f>SUM(D17:D21)</f>
        <v/>
      </c>
      <c r="E22" s="51">
        <f>C22-D22</f>
        <v/>
      </c>
      <c r="F22" s="52">
        <f>IFERROR(D22/C22,0)</f>
        <v/>
      </c>
      <c r="G22" s="53" t="inlineStr"/>
    </row>
    <row r="23" ht="22" customHeight="1">
      <c r="A23" s="54" t="inlineStr">
        <is>
          <t>FOOD &amp; DINING</t>
        </is>
      </c>
    </row>
    <row r="24" ht="18" customHeight="1">
      <c r="A24" s="46" t="inlineStr">
        <is>
          <t>FOOD &amp; DINING</t>
        </is>
      </c>
      <c r="B24" s="46" t="inlineStr">
        <is>
          <t>Groceries</t>
        </is>
      </c>
      <c r="C24" s="22" t="n">
        <v>0</v>
      </c>
      <c r="D24" s="22" t="n">
        <v>0</v>
      </c>
      <c r="E24" s="47">
        <f>C24-D24</f>
        <v/>
      </c>
      <c r="F24" s="34">
        <f>IFERROR(D24/C24,0)</f>
        <v/>
      </c>
      <c r="G24" s="46" t="inlineStr"/>
    </row>
    <row r="25" ht="18" customHeight="1">
      <c r="A25" s="42" t="inlineStr">
        <is>
          <t>FOOD &amp; DINING</t>
        </is>
      </c>
      <c r="B25" s="42" t="inlineStr">
        <is>
          <t>Restaurants</t>
        </is>
      </c>
      <c r="C25" s="29" t="n">
        <v>0</v>
      </c>
      <c r="D25" s="29" t="n">
        <v>0</v>
      </c>
      <c r="E25" s="28">
        <f>C25-D25</f>
        <v/>
      </c>
      <c r="F25" s="48">
        <f>IFERROR(D25/C25,0)</f>
        <v/>
      </c>
      <c r="G25" s="42" t="inlineStr"/>
    </row>
    <row r="26" ht="18" customHeight="1">
      <c r="A26" s="46" t="inlineStr">
        <is>
          <t>FOOD &amp; DINING</t>
        </is>
      </c>
      <c r="B26" s="46" t="inlineStr">
        <is>
          <t>Coffee</t>
        </is>
      </c>
      <c r="C26" s="22" t="n">
        <v>0</v>
      </c>
      <c r="D26" s="22" t="n">
        <v>0</v>
      </c>
      <c r="E26" s="47">
        <f>C26-D26</f>
        <v/>
      </c>
      <c r="F26" s="34">
        <f>IFERROR(D26/C26,0)</f>
        <v/>
      </c>
      <c r="G26" s="46" t="inlineStr"/>
    </row>
    <row r="27" ht="18" customHeight="1">
      <c r="A27" s="42" t="inlineStr">
        <is>
          <t>FOOD &amp; DINING</t>
        </is>
      </c>
      <c r="B27" s="42" t="inlineStr">
        <is>
          <t>Food Delivery</t>
        </is>
      </c>
      <c r="C27" s="29" t="n">
        <v>0</v>
      </c>
      <c r="D27" s="29" t="n">
        <v>0</v>
      </c>
      <c r="E27" s="28">
        <f>C27-D27</f>
        <v/>
      </c>
      <c r="F27" s="48">
        <f>IFERROR(D27/C27,0)</f>
        <v/>
      </c>
      <c r="G27" s="42" t="inlineStr"/>
    </row>
    <row r="28" ht="18" customHeight="1">
      <c r="A28" s="46" t="inlineStr">
        <is>
          <t>FOOD &amp; DINING</t>
        </is>
      </c>
      <c r="B28" s="46" t="inlineStr">
        <is>
          <t>Work Lunch</t>
        </is>
      </c>
      <c r="C28" s="22" t="n">
        <v>0</v>
      </c>
      <c r="D28" s="22" t="n">
        <v>0</v>
      </c>
      <c r="E28" s="47">
        <f>C28-D28</f>
        <v/>
      </c>
      <c r="F28" s="34">
        <f>IFERROR(D28/C28,0)</f>
        <v/>
      </c>
      <c r="G28" s="46" t="inlineStr"/>
    </row>
    <row r="29" ht="20" customHeight="1">
      <c r="A29" s="49" t="inlineStr">
        <is>
          <t>Subtotal — FOOD &amp; DINING</t>
        </is>
      </c>
      <c r="B29" s="50" t="n"/>
      <c r="C29" s="51">
        <f>SUM(C24:C28)</f>
        <v/>
      </c>
      <c r="D29" s="51">
        <f>SUM(D24:D28)</f>
        <v/>
      </c>
      <c r="E29" s="51">
        <f>C29-D29</f>
        <v/>
      </c>
      <c r="F29" s="52">
        <f>IFERROR(D29/C29,0)</f>
        <v/>
      </c>
      <c r="G29" s="53" t="inlineStr"/>
    </row>
    <row r="30" ht="22" customHeight="1">
      <c r="A30" s="54" t="inlineStr">
        <is>
          <t>HEALTH &amp; WELLNESS</t>
        </is>
      </c>
    </row>
    <row r="31" ht="18" customHeight="1">
      <c r="A31" s="46" t="inlineStr">
        <is>
          <t>HEALTH &amp; WELLNESS</t>
        </is>
      </c>
      <c r="B31" s="46" t="inlineStr">
        <is>
          <t>Health Insurance</t>
        </is>
      </c>
      <c r="C31" s="22" t="n">
        <v>0</v>
      </c>
      <c r="D31" s="22" t="n">
        <v>0</v>
      </c>
      <c r="E31" s="47">
        <f>C31-D31</f>
        <v/>
      </c>
      <c r="F31" s="34">
        <f>IFERROR(D31/C31,0)</f>
        <v/>
      </c>
      <c r="G31" s="46" t="inlineStr"/>
    </row>
    <row r="32" ht="18" customHeight="1">
      <c r="A32" s="42" t="inlineStr">
        <is>
          <t>HEALTH &amp; WELLNESS</t>
        </is>
      </c>
      <c r="B32" s="42" t="inlineStr">
        <is>
          <t>Gym</t>
        </is>
      </c>
      <c r="C32" s="29" t="n">
        <v>0</v>
      </c>
      <c r="D32" s="29" t="n">
        <v>0</v>
      </c>
      <c r="E32" s="28">
        <f>C32-D32</f>
        <v/>
      </c>
      <c r="F32" s="48">
        <f>IFERROR(D32/C32,0)</f>
        <v/>
      </c>
      <c r="G32" s="42" t="inlineStr"/>
    </row>
    <row r="33" ht="18" customHeight="1">
      <c r="A33" s="46" t="inlineStr">
        <is>
          <t>HEALTH &amp; WELLNESS</t>
        </is>
      </c>
      <c r="B33" s="46" t="inlineStr">
        <is>
          <t>Pharmacy</t>
        </is>
      </c>
      <c r="C33" s="22" t="n">
        <v>0</v>
      </c>
      <c r="D33" s="22" t="n">
        <v>0</v>
      </c>
      <c r="E33" s="47">
        <f>C33-D33</f>
        <v/>
      </c>
      <c r="F33" s="34">
        <f>IFERROR(D33/C33,0)</f>
        <v/>
      </c>
      <c r="G33" s="46" t="inlineStr"/>
    </row>
    <row r="34" ht="18" customHeight="1">
      <c r="A34" s="42" t="inlineStr">
        <is>
          <t>HEALTH &amp; WELLNESS</t>
        </is>
      </c>
      <c r="B34" s="42" t="inlineStr">
        <is>
          <t>Doctor</t>
        </is>
      </c>
      <c r="C34" s="29" t="n">
        <v>0</v>
      </c>
      <c r="D34" s="29" t="n">
        <v>0</v>
      </c>
      <c r="E34" s="28">
        <f>C34-D34</f>
        <v/>
      </c>
      <c r="F34" s="48">
        <f>IFERROR(D34/C34,0)</f>
        <v/>
      </c>
      <c r="G34" s="42" t="inlineStr"/>
    </row>
    <row r="35" ht="18" customHeight="1">
      <c r="A35" s="46" t="inlineStr">
        <is>
          <t>HEALTH &amp; WELLNESS</t>
        </is>
      </c>
      <c r="B35" s="46" t="inlineStr">
        <is>
          <t>Dental</t>
        </is>
      </c>
      <c r="C35" s="22" t="n">
        <v>0</v>
      </c>
      <c r="D35" s="22" t="n">
        <v>0</v>
      </c>
      <c r="E35" s="47">
        <f>C35-D35</f>
        <v/>
      </c>
      <c r="F35" s="34">
        <f>IFERROR(D35/C35,0)</f>
        <v/>
      </c>
      <c r="G35" s="46" t="inlineStr"/>
    </row>
    <row r="36" ht="20" customHeight="1">
      <c r="A36" s="49" t="inlineStr">
        <is>
          <t>Subtotal — HEALTH &amp; WELLNESS</t>
        </is>
      </c>
      <c r="B36" s="50" t="n"/>
      <c r="C36" s="51">
        <f>SUM(C31:C35)</f>
        <v/>
      </c>
      <c r="D36" s="51">
        <f>SUM(D31:D35)</f>
        <v/>
      </c>
      <c r="E36" s="51">
        <f>C36-D36</f>
        <v/>
      </c>
      <c r="F36" s="52">
        <f>IFERROR(D36/C36,0)</f>
        <v/>
      </c>
      <c r="G36" s="53" t="inlineStr"/>
    </row>
    <row r="37" ht="22" customHeight="1">
      <c r="A37" s="54" t="inlineStr">
        <is>
          <t>LIFESTYLE</t>
        </is>
      </c>
    </row>
    <row r="38" ht="18" customHeight="1">
      <c r="A38" s="46" t="inlineStr">
        <is>
          <t>LIFESTYLE</t>
        </is>
      </c>
      <c r="B38" s="46" t="inlineStr">
        <is>
          <t>Streaming Services</t>
        </is>
      </c>
      <c r="C38" s="22" t="n">
        <v>0</v>
      </c>
      <c r="D38" s="22" t="n">
        <v>0</v>
      </c>
      <c r="E38" s="47">
        <f>C38-D38</f>
        <v/>
      </c>
      <c r="F38" s="34">
        <f>IFERROR(D38/C38,0)</f>
        <v/>
      </c>
      <c r="G38" s="46" t="inlineStr"/>
    </row>
    <row r="39" ht="18" customHeight="1">
      <c r="A39" s="42" t="inlineStr">
        <is>
          <t>LIFESTYLE</t>
        </is>
      </c>
      <c r="B39" s="42" t="inlineStr">
        <is>
          <t>Entertainment</t>
        </is>
      </c>
      <c r="C39" s="29" t="n">
        <v>0</v>
      </c>
      <c r="D39" s="29" t="n">
        <v>0</v>
      </c>
      <c r="E39" s="28">
        <f>C39-D39</f>
        <v/>
      </c>
      <c r="F39" s="48">
        <f>IFERROR(D39/C39,0)</f>
        <v/>
      </c>
      <c r="G39" s="42" t="inlineStr"/>
    </row>
    <row r="40" ht="18" customHeight="1">
      <c r="A40" s="46" t="inlineStr">
        <is>
          <t>LIFESTYLE</t>
        </is>
      </c>
      <c r="B40" s="46" t="inlineStr">
        <is>
          <t>Hobbies</t>
        </is>
      </c>
      <c r="C40" s="22" t="n">
        <v>0</v>
      </c>
      <c r="D40" s="22" t="n">
        <v>0</v>
      </c>
      <c r="E40" s="47">
        <f>C40-D40</f>
        <v/>
      </c>
      <c r="F40" s="34">
        <f>IFERROR(D40/C40,0)</f>
        <v/>
      </c>
      <c r="G40" s="46" t="inlineStr"/>
    </row>
    <row r="41" ht="18" customHeight="1">
      <c r="A41" s="42" t="inlineStr">
        <is>
          <t>LIFESTYLE</t>
        </is>
      </c>
      <c r="B41" s="42" t="inlineStr">
        <is>
          <t>Personal Care</t>
        </is>
      </c>
      <c r="C41" s="29" t="n">
        <v>0</v>
      </c>
      <c r="D41" s="29" t="n">
        <v>0</v>
      </c>
      <c r="E41" s="28">
        <f>C41-D41</f>
        <v/>
      </c>
      <c r="F41" s="48">
        <f>IFERROR(D41/C41,0)</f>
        <v/>
      </c>
      <c r="G41" s="42" t="inlineStr"/>
    </row>
    <row r="42" ht="18" customHeight="1">
      <c r="A42" s="46" t="inlineStr">
        <is>
          <t>LIFESTYLE</t>
        </is>
      </c>
      <c r="B42" s="46" t="inlineStr">
        <is>
          <t>Books</t>
        </is>
      </c>
      <c r="C42" s="22" t="n">
        <v>0</v>
      </c>
      <c r="D42" s="22" t="n">
        <v>0</v>
      </c>
      <c r="E42" s="47">
        <f>C42-D42</f>
        <v/>
      </c>
      <c r="F42" s="34">
        <f>IFERROR(D42/C42,0)</f>
        <v/>
      </c>
      <c r="G42" s="46" t="inlineStr"/>
    </row>
    <row r="43" ht="20" customHeight="1">
      <c r="A43" s="49" t="inlineStr">
        <is>
          <t>Subtotal — LIFESTYLE</t>
        </is>
      </c>
      <c r="B43" s="50" t="n"/>
      <c r="C43" s="51">
        <f>SUM(C38:C42)</f>
        <v/>
      </c>
      <c r="D43" s="51">
        <f>SUM(D38:D42)</f>
        <v/>
      </c>
      <c r="E43" s="51">
        <f>C43-D43</f>
        <v/>
      </c>
      <c r="F43" s="52">
        <f>IFERROR(D43/C43,0)</f>
        <v/>
      </c>
      <c r="G43" s="53" t="inlineStr"/>
    </row>
    <row r="44" ht="22" customHeight="1">
      <c r="A44" s="54" t="inlineStr">
        <is>
          <t>PERSONAL</t>
        </is>
      </c>
    </row>
    <row r="45" ht="18" customHeight="1">
      <c r="A45" s="46" t="inlineStr">
        <is>
          <t>PERSONAL</t>
        </is>
      </c>
      <c r="B45" s="46" t="inlineStr">
        <is>
          <t>Clothing</t>
        </is>
      </c>
      <c r="C45" s="22" t="n">
        <v>0</v>
      </c>
      <c r="D45" s="22" t="n">
        <v>0</v>
      </c>
      <c r="E45" s="47">
        <f>C45-D45</f>
        <v/>
      </c>
      <c r="F45" s="34">
        <f>IFERROR(D45/C45,0)</f>
        <v/>
      </c>
      <c r="G45" s="46" t="inlineStr"/>
    </row>
    <row r="46" ht="18" customHeight="1">
      <c r="A46" s="42" t="inlineStr">
        <is>
          <t>PERSONAL</t>
        </is>
      </c>
      <c r="B46" s="42" t="inlineStr">
        <is>
          <t>Gifts</t>
        </is>
      </c>
      <c r="C46" s="29" t="n">
        <v>0</v>
      </c>
      <c r="D46" s="29" t="n">
        <v>0</v>
      </c>
      <c r="E46" s="28">
        <f>C46-D46</f>
        <v/>
      </c>
      <c r="F46" s="48">
        <f>IFERROR(D46/C46,0)</f>
        <v/>
      </c>
      <c r="G46" s="42" t="inlineStr"/>
    </row>
    <row r="47" ht="18" customHeight="1">
      <c r="A47" s="46" t="inlineStr">
        <is>
          <t>PERSONAL</t>
        </is>
      </c>
      <c r="B47" s="46" t="inlineStr">
        <is>
          <t>Education</t>
        </is>
      </c>
      <c r="C47" s="22" t="n">
        <v>0</v>
      </c>
      <c r="D47" s="22" t="n">
        <v>0</v>
      </c>
      <c r="E47" s="47">
        <f>C47-D47</f>
        <v/>
      </c>
      <c r="F47" s="34">
        <f>IFERROR(D47/C47,0)</f>
        <v/>
      </c>
      <c r="G47" s="46" t="inlineStr"/>
    </row>
    <row r="48" ht="18" customHeight="1">
      <c r="A48" s="42" t="inlineStr">
        <is>
          <t>PERSONAL</t>
        </is>
      </c>
      <c r="B48" s="42" t="inlineStr">
        <is>
          <t>Pet Care</t>
        </is>
      </c>
      <c r="C48" s="29" t="n">
        <v>0</v>
      </c>
      <c r="D48" s="29" t="n">
        <v>0</v>
      </c>
      <c r="E48" s="28">
        <f>C48-D48</f>
        <v/>
      </c>
      <c r="F48" s="48">
        <f>IFERROR(D48/C48,0)</f>
        <v/>
      </c>
      <c r="G48" s="42" t="inlineStr"/>
    </row>
    <row r="49" ht="18" customHeight="1">
      <c r="A49" s="46" t="inlineStr">
        <is>
          <t>PERSONAL</t>
        </is>
      </c>
      <c r="B49" s="46" t="inlineStr">
        <is>
          <t>Miscellaneous</t>
        </is>
      </c>
      <c r="C49" s="22" t="n">
        <v>0</v>
      </c>
      <c r="D49" s="22" t="n">
        <v>0</v>
      </c>
      <c r="E49" s="47">
        <f>C49-D49</f>
        <v/>
      </c>
      <c r="F49" s="34">
        <f>IFERROR(D49/C49,0)</f>
        <v/>
      </c>
      <c r="G49" s="46" t="inlineStr"/>
    </row>
    <row r="50" ht="20" customHeight="1">
      <c r="A50" s="49" t="inlineStr">
        <is>
          <t>Subtotal — PERSONAL</t>
        </is>
      </c>
      <c r="B50" s="50" t="n"/>
      <c r="C50" s="51">
        <f>SUM(C45:C49)</f>
        <v/>
      </c>
      <c r="D50" s="51">
        <f>SUM(D45:D49)</f>
        <v/>
      </c>
      <c r="E50" s="51">
        <f>C50-D50</f>
        <v/>
      </c>
      <c r="F50" s="52">
        <f>IFERROR(D50/C50,0)</f>
        <v/>
      </c>
      <c r="G50" s="53" t="inlineStr"/>
    </row>
    <row r="51" ht="22" customHeight="1">
      <c r="A51" s="54" t="inlineStr">
        <is>
          <t>SAVINGS &amp; INVESTMENTS</t>
        </is>
      </c>
    </row>
    <row r="52" ht="18" customHeight="1">
      <c r="A52" s="46" t="inlineStr">
        <is>
          <t>SAVINGS &amp; INVESTMENTS</t>
        </is>
      </c>
      <c r="B52" s="46" t="inlineStr">
        <is>
          <t>Emergency Fund</t>
        </is>
      </c>
      <c r="C52" s="22" t="n">
        <v>0</v>
      </c>
      <c r="D52" s="22" t="n">
        <v>0</v>
      </c>
      <c r="E52" s="47">
        <f>C52-D52</f>
        <v/>
      </c>
      <c r="F52" s="34">
        <f>IFERROR(D52/C52,0)</f>
        <v/>
      </c>
      <c r="G52" s="46" t="inlineStr"/>
    </row>
    <row r="53" ht="18" customHeight="1">
      <c r="A53" s="42" t="inlineStr">
        <is>
          <t>SAVINGS &amp; INVESTMENTS</t>
        </is>
      </c>
      <c r="B53" s="42" t="inlineStr">
        <is>
          <t>Pension/IRA</t>
        </is>
      </c>
      <c r="C53" s="29" t="n">
        <v>0</v>
      </c>
      <c r="D53" s="29" t="n">
        <v>0</v>
      </c>
      <c r="E53" s="28">
        <f>C53-D53</f>
        <v/>
      </c>
      <c r="F53" s="48">
        <f>IFERROR(D53/C53,0)</f>
        <v/>
      </c>
      <c r="G53" s="42" t="inlineStr"/>
    </row>
    <row r="54" ht="18" customHeight="1">
      <c r="A54" s="46" t="inlineStr">
        <is>
          <t>SAVINGS &amp; INVESTMENTS</t>
        </is>
      </c>
      <c r="B54" s="46" t="inlineStr">
        <is>
          <t>Stocks</t>
        </is>
      </c>
      <c r="C54" s="22" t="n">
        <v>0</v>
      </c>
      <c r="D54" s="22" t="n">
        <v>0</v>
      </c>
      <c r="E54" s="47">
        <f>C54-D54</f>
        <v/>
      </c>
      <c r="F54" s="34">
        <f>IFERROR(D54/C54,0)</f>
        <v/>
      </c>
      <c r="G54" s="46" t="inlineStr"/>
    </row>
    <row r="55" ht="18" customHeight="1">
      <c r="A55" s="42" t="inlineStr">
        <is>
          <t>SAVINGS &amp; INVESTMENTS</t>
        </is>
      </c>
      <c r="B55" s="42" t="inlineStr">
        <is>
          <t>Vacation Fund</t>
        </is>
      </c>
      <c r="C55" s="29" t="n">
        <v>0</v>
      </c>
      <c r="D55" s="29" t="n">
        <v>0</v>
      </c>
      <c r="E55" s="28">
        <f>C55-D55</f>
        <v/>
      </c>
      <c r="F55" s="48">
        <f>IFERROR(D55/C55,0)</f>
        <v/>
      </c>
      <c r="G55" s="42" t="inlineStr"/>
    </row>
    <row r="56" ht="18" customHeight="1">
      <c r="A56" s="46" t="inlineStr">
        <is>
          <t>SAVINGS &amp; INVESTMENTS</t>
        </is>
      </c>
      <c r="B56" s="46" t="inlineStr">
        <is>
          <t>Other Savings</t>
        </is>
      </c>
      <c r="C56" s="22" t="n">
        <v>0</v>
      </c>
      <c r="D56" s="22" t="n">
        <v>0</v>
      </c>
      <c r="E56" s="47">
        <f>C56-D56</f>
        <v/>
      </c>
      <c r="F56" s="34">
        <f>IFERROR(D56/C56,0)</f>
        <v/>
      </c>
      <c r="G56" s="46" t="inlineStr"/>
    </row>
    <row r="57" ht="20" customHeight="1">
      <c r="A57" s="49" t="inlineStr">
        <is>
          <t>Subtotal — SAVINGS &amp; INVESTMENTS</t>
        </is>
      </c>
      <c r="B57" s="50" t="n"/>
      <c r="C57" s="51">
        <f>SUM(C52:C56)</f>
        <v/>
      </c>
      <c r="D57" s="51">
        <f>SUM(D52:D56)</f>
        <v/>
      </c>
      <c r="E57" s="51">
        <f>C57-D57</f>
        <v/>
      </c>
      <c r="F57" s="52">
        <f>IFERROR(D57/C57,0)</f>
        <v/>
      </c>
      <c r="G57" s="53" t="inlineStr"/>
    </row>
    <row r="58" ht="22" customHeight="1">
      <c r="A58" s="54" t="inlineStr">
        <is>
          <t>DEBT PAYMENTS</t>
        </is>
      </c>
    </row>
    <row r="59" ht="18" customHeight="1">
      <c r="A59" s="46" t="inlineStr">
        <is>
          <t>DEBT PAYMENTS</t>
        </is>
      </c>
      <c r="B59" s="46" t="inlineStr">
        <is>
          <t>Credit Card 1</t>
        </is>
      </c>
      <c r="C59" s="22" t="n">
        <v>0</v>
      </c>
      <c r="D59" s="22" t="n">
        <v>0</v>
      </c>
      <c r="E59" s="47">
        <f>C59-D59</f>
        <v/>
      </c>
      <c r="F59" s="34">
        <f>IFERROR(D59/C59,0)</f>
        <v/>
      </c>
      <c r="G59" s="46" t="inlineStr"/>
    </row>
    <row r="60" ht="18" customHeight="1">
      <c r="A60" s="42" t="inlineStr">
        <is>
          <t>DEBT PAYMENTS</t>
        </is>
      </c>
      <c r="B60" s="42" t="inlineStr">
        <is>
          <t>Credit Card 2</t>
        </is>
      </c>
      <c r="C60" s="29" t="n">
        <v>0</v>
      </c>
      <c r="D60" s="29" t="n">
        <v>0</v>
      </c>
      <c r="E60" s="28">
        <f>C60-D60</f>
        <v/>
      </c>
      <c r="F60" s="48">
        <f>IFERROR(D60/C60,0)</f>
        <v/>
      </c>
      <c r="G60" s="42" t="inlineStr"/>
    </row>
    <row r="61" ht="18" customHeight="1">
      <c r="A61" s="46" t="inlineStr">
        <is>
          <t>DEBT PAYMENTS</t>
        </is>
      </c>
      <c r="B61" s="46" t="inlineStr">
        <is>
          <t>Student Loan</t>
        </is>
      </c>
      <c r="C61" s="22" t="n">
        <v>0</v>
      </c>
      <c r="D61" s="22" t="n">
        <v>0</v>
      </c>
      <c r="E61" s="47">
        <f>C61-D61</f>
        <v/>
      </c>
      <c r="F61" s="34">
        <f>IFERROR(D61/C61,0)</f>
        <v/>
      </c>
      <c r="G61" s="46" t="inlineStr"/>
    </row>
    <row r="62" ht="18" customHeight="1">
      <c r="A62" s="42" t="inlineStr">
        <is>
          <t>DEBT PAYMENTS</t>
        </is>
      </c>
      <c r="B62" s="42" t="inlineStr">
        <is>
          <t>Car Loan</t>
        </is>
      </c>
      <c r="C62" s="29" t="n">
        <v>0</v>
      </c>
      <c r="D62" s="29" t="n">
        <v>0</v>
      </c>
      <c r="E62" s="28">
        <f>C62-D62</f>
        <v/>
      </c>
      <c r="F62" s="48">
        <f>IFERROR(D62/C62,0)</f>
        <v/>
      </c>
      <c r="G62" s="42" t="inlineStr"/>
    </row>
    <row r="63" ht="18" customHeight="1">
      <c r="A63" s="46" t="inlineStr">
        <is>
          <t>DEBT PAYMENTS</t>
        </is>
      </c>
      <c r="B63" s="46" t="inlineStr">
        <is>
          <t>Other</t>
        </is>
      </c>
      <c r="C63" s="22" t="n">
        <v>0</v>
      </c>
      <c r="D63" s="22" t="n">
        <v>0</v>
      </c>
      <c r="E63" s="47">
        <f>C63-D63</f>
        <v/>
      </c>
      <c r="F63" s="34">
        <f>IFERROR(D63/C63,0)</f>
        <v/>
      </c>
      <c r="G63" s="46" t="inlineStr"/>
    </row>
    <row r="64" ht="20" customHeight="1">
      <c r="A64" s="49" t="inlineStr">
        <is>
          <t>Subtotal — DEBT PAYMENTS</t>
        </is>
      </c>
      <c r="B64" s="50" t="n"/>
      <c r="C64" s="51">
        <f>SUM(C59:C63)</f>
        <v/>
      </c>
      <c r="D64" s="51">
        <f>SUM(D59:D63)</f>
        <v/>
      </c>
      <c r="E64" s="51">
        <f>C64-D64</f>
        <v/>
      </c>
      <c r="F64" s="52">
        <f>IFERROR(D64/C64,0)</f>
        <v/>
      </c>
      <c r="G64" s="53" t="inlineStr"/>
    </row>
    <row r="65" ht="24" customHeight="1">
      <c r="A65" s="55" t="inlineStr">
        <is>
          <t>GRAND TOTAL EXPENSES</t>
        </is>
      </c>
      <c r="B65" s="7" t="n"/>
      <c r="C65" s="56">
        <f>C15+C22+C29+C36+C43+C50+C57+C64</f>
        <v/>
      </c>
      <c r="D65" s="56">
        <f>D15+D22+D29+D36+D43+D50+D57+D64</f>
        <v/>
      </c>
      <c r="E65" s="56">
        <f>C65-D65</f>
        <v/>
      </c>
      <c r="F65" s="57" t="inlineStr"/>
      <c r="G65" s="57" t="inlineStr"/>
    </row>
    <row r="66" ht="26" customHeight="1">
      <c r="A66" s="58" t="inlineStr">
        <is>
          <t>NET CASH FLOW</t>
        </is>
      </c>
      <c r="B66" s="4" t="n"/>
      <c r="C66" s="59">
        <f>C8-C65</f>
        <v/>
      </c>
      <c r="D66" s="59">
        <f>D8-D65</f>
        <v/>
      </c>
      <c r="E66" s="59">
        <f>C66-D66</f>
        <v/>
      </c>
      <c r="F66" s="60" t="inlineStr"/>
      <c r="G66" s="60" t="inlineStr"/>
    </row>
    <row r="68" ht="18" customHeight="1">
      <c r="I68" s="12" t="inlineStr">
        <is>
          <t>Category</t>
        </is>
      </c>
      <c r="J68" s="12" t="inlineStr">
        <is>
          <t>Budgeted</t>
        </is>
      </c>
      <c r="K68" s="12" t="inlineStr">
        <is>
          <t>Actual</t>
        </is>
      </c>
    </row>
    <row r="69" ht="18" customHeight="1">
      <c r="I69" s="46" t="inlineStr">
        <is>
          <t>HOUSING</t>
        </is>
      </c>
      <c r="J69" s="47">
        <f>C15</f>
        <v/>
      </c>
      <c r="K69" s="47">
        <f>D15</f>
        <v/>
      </c>
    </row>
    <row r="70" ht="18" customHeight="1">
      <c r="I70" s="42" t="inlineStr">
        <is>
          <t>TRANSPORT</t>
        </is>
      </c>
      <c r="J70" s="28">
        <f>C22</f>
        <v/>
      </c>
      <c r="K70" s="28">
        <f>D22</f>
        <v/>
      </c>
    </row>
    <row r="71" ht="18" customHeight="1">
      <c r="I71" s="46" t="inlineStr">
        <is>
          <t>FOOD &amp; DINING</t>
        </is>
      </c>
      <c r="J71" s="47">
        <f>C29</f>
        <v/>
      </c>
      <c r="K71" s="47">
        <f>D29</f>
        <v/>
      </c>
    </row>
    <row r="72" ht="18" customHeight="1">
      <c r="I72" s="42" t="inlineStr">
        <is>
          <t>HEALTH &amp; WELLNESS</t>
        </is>
      </c>
      <c r="J72" s="28">
        <f>C36</f>
        <v/>
      </c>
      <c r="K72" s="28">
        <f>D36</f>
        <v/>
      </c>
    </row>
    <row r="73" ht="18" customHeight="1">
      <c r="I73" s="46" t="inlineStr">
        <is>
          <t>LIFESTYLE</t>
        </is>
      </c>
      <c r="J73" s="47">
        <f>C43</f>
        <v/>
      </c>
      <c r="K73" s="47">
        <f>D43</f>
        <v/>
      </c>
    </row>
    <row r="74" ht="18" customHeight="1">
      <c r="I74" s="42" t="inlineStr">
        <is>
          <t>PERSONAL</t>
        </is>
      </c>
      <c r="J74" s="28">
        <f>C50</f>
        <v/>
      </c>
      <c r="K74" s="28">
        <f>D50</f>
        <v/>
      </c>
    </row>
    <row r="75" ht="18" customHeight="1">
      <c r="I75" s="46" t="inlineStr">
        <is>
          <t>SAVINGS &amp; INVESTMENTS</t>
        </is>
      </c>
      <c r="J75" s="47">
        <f>C57</f>
        <v/>
      </c>
      <c r="K75" s="47">
        <f>D57</f>
        <v/>
      </c>
    </row>
    <row r="76" ht="18" customHeight="1">
      <c r="I76" s="42" t="inlineStr">
        <is>
          <t>DEBT PAYMENTS</t>
        </is>
      </c>
      <c r="J76" s="28">
        <f>C64</f>
        <v/>
      </c>
      <c r="K76" s="28">
        <f>D64</f>
        <v/>
      </c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5C8A52"/>
    <outlinePr summaryBelow="1" summaryRight="1"/>
    <pageSetUpPr/>
  </sheetPr>
  <dimension ref="A1:K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4" customWidth="1" min="5" max="5"/>
    <col width="11" customWidth="1" min="6" max="6"/>
    <col width="20" customWidth="1" min="7" max="7"/>
  </cols>
  <sheetData>
    <row r="1" ht="48" customHeight="1">
      <c r="A1" s="44" t="inlineStr">
        <is>
          <t>JULY  ·  MONTHLY BUDGET</t>
        </is>
      </c>
    </row>
    <row r="2" ht="20" customHeight="1">
      <c r="A2" s="2" t="inlineStr">
        <is>
          <t>Track your income and expenses for July</t>
        </is>
      </c>
    </row>
    <row r="3" ht="22" customHeight="1">
      <c r="A3" s="3" t="inlineStr">
        <is>
          <t>CATEGORY</t>
        </is>
      </c>
      <c r="B3" s="3" t="inlineStr">
        <is>
          <t>SUBCATEGORY</t>
        </is>
      </c>
      <c r="C3" s="3" t="inlineStr">
        <is>
          <t>BUDGETED</t>
        </is>
      </c>
      <c r="D3" s="3" t="inlineStr">
        <is>
          <t>ACTUAL</t>
        </is>
      </c>
      <c r="E3" s="3" t="inlineStr">
        <is>
          <t>DIFFERENCE</t>
        </is>
      </c>
      <c r="F3" s="3" t="inlineStr">
        <is>
          <t>% USED</t>
        </is>
      </c>
      <c r="G3" s="3" t="inlineStr">
        <is>
          <t>NOTES</t>
        </is>
      </c>
    </row>
    <row r="4" ht="22" customHeight="1">
      <c r="A4" s="45" t="inlineStr">
        <is>
          <t>INCOME</t>
        </is>
      </c>
    </row>
    <row r="5" ht="18" customHeight="1">
      <c r="A5" s="46" t="inlineStr">
        <is>
          <t>INCOME</t>
        </is>
      </c>
      <c r="B5" s="46" t="inlineStr">
        <is>
          <t>Primary Income</t>
        </is>
      </c>
      <c r="C5" s="22" t="n">
        <v>0</v>
      </c>
      <c r="D5" s="22" t="n">
        <v>0</v>
      </c>
      <c r="E5" s="47">
        <f>C5-D5</f>
        <v/>
      </c>
      <c r="F5" s="34">
        <f>IFERROR(D5/C5,0)</f>
        <v/>
      </c>
      <c r="G5" s="46" t="inlineStr"/>
    </row>
    <row r="6" ht="18" customHeight="1">
      <c r="A6" s="42" t="inlineStr">
        <is>
          <t>INCOME</t>
        </is>
      </c>
      <c r="B6" s="42" t="inlineStr">
        <is>
          <t>Side Income</t>
        </is>
      </c>
      <c r="C6" s="29" t="n">
        <v>0</v>
      </c>
      <c r="D6" s="29" t="n">
        <v>0</v>
      </c>
      <c r="E6" s="28">
        <f>C6-D6</f>
        <v/>
      </c>
      <c r="F6" s="48">
        <f>IFERROR(D6/C6,0)</f>
        <v/>
      </c>
      <c r="G6" s="42" t="inlineStr"/>
    </row>
    <row r="7" ht="18" customHeight="1">
      <c r="A7" s="46" t="inlineStr">
        <is>
          <t>INCOME</t>
        </is>
      </c>
      <c r="B7" s="46" t="inlineStr">
        <is>
          <t>Other Income</t>
        </is>
      </c>
      <c r="C7" s="22" t="n">
        <v>0</v>
      </c>
      <c r="D7" s="22" t="n">
        <v>0</v>
      </c>
      <c r="E7" s="47">
        <f>C7-D7</f>
        <v/>
      </c>
      <c r="F7" s="34">
        <f>IFERROR(D7/C7,0)</f>
        <v/>
      </c>
      <c r="G7" s="46" t="inlineStr"/>
    </row>
    <row r="8" ht="20" customHeight="1">
      <c r="A8" s="49" t="inlineStr">
        <is>
          <t>TOTAL INCOME</t>
        </is>
      </c>
      <c r="B8" s="50" t="n"/>
      <c r="C8" s="51">
        <f>SUM(C5:C7)</f>
        <v/>
      </c>
      <c r="D8" s="51">
        <f>SUM(D5:D7)</f>
        <v/>
      </c>
      <c r="E8" s="51">
        <f>C8-D8</f>
        <v/>
      </c>
      <c r="F8" s="52">
        <f>IFERROR(D8/C8,0)</f>
        <v/>
      </c>
      <c r="G8" s="53" t="inlineStr"/>
    </row>
    <row r="9" ht="22" customHeight="1">
      <c r="A9" s="54" t="inlineStr">
        <is>
          <t>HOUSING</t>
        </is>
      </c>
    </row>
    <row r="10" ht="18" customHeight="1">
      <c r="A10" s="46" t="inlineStr">
        <is>
          <t>HOUSING</t>
        </is>
      </c>
      <c r="B10" s="46" t="inlineStr">
        <is>
          <t>Rent/Mortgage</t>
        </is>
      </c>
      <c r="C10" s="22" t="n">
        <v>0</v>
      </c>
      <c r="D10" s="22" t="n">
        <v>0</v>
      </c>
      <c r="E10" s="47">
        <f>C10-D10</f>
        <v/>
      </c>
      <c r="F10" s="34">
        <f>IFERROR(D10/C10,0)</f>
        <v/>
      </c>
      <c r="G10" s="46" t="inlineStr"/>
    </row>
    <row r="11" ht="18" customHeight="1">
      <c r="A11" s="42" t="inlineStr">
        <is>
          <t>HOUSING</t>
        </is>
      </c>
      <c r="B11" s="42" t="inlineStr">
        <is>
          <t>Utilities</t>
        </is>
      </c>
      <c r="C11" s="29" t="n">
        <v>0</v>
      </c>
      <c r="D11" s="29" t="n">
        <v>0</v>
      </c>
      <c r="E11" s="28">
        <f>C11-D11</f>
        <v/>
      </c>
      <c r="F11" s="48">
        <f>IFERROR(D11/C11,0)</f>
        <v/>
      </c>
      <c r="G11" s="42" t="inlineStr"/>
    </row>
    <row r="12" ht="18" customHeight="1">
      <c r="A12" s="46" t="inlineStr">
        <is>
          <t>HOUSING</t>
        </is>
      </c>
      <c r="B12" s="46" t="inlineStr">
        <is>
          <t>Electricity</t>
        </is>
      </c>
      <c r="C12" s="22" t="n">
        <v>0</v>
      </c>
      <c r="D12" s="22" t="n">
        <v>0</v>
      </c>
      <c r="E12" s="47">
        <f>C12-D12</f>
        <v/>
      </c>
      <c r="F12" s="34">
        <f>IFERROR(D12/C12,0)</f>
        <v/>
      </c>
      <c r="G12" s="46" t="inlineStr"/>
    </row>
    <row r="13" ht="18" customHeight="1">
      <c r="A13" s="42" t="inlineStr">
        <is>
          <t>HOUSING</t>
        </is>
      </c>
      <c r="B13" s="42" t="inlineStr">
        <is>
          <t>Internet</t>
        </is>
      </c>
      <c r="C13" s="29" t="n">
        <v>0</v>
      </c>
      <c r="D13" s="29" t="n">
        <v>0</v>
      </c>
      <c r="E13" s="28">
        <f>C13-D13</f>
        <v/>
      </c>
      <c r="F13" s="48">
        <f>IFERROR(D13/C13,0)</f>
        <v/>
      </c>
      <c r="G13" s="42" t="inlineStr"/>
    </row>
    <row r="14" ht="18" customHeight="1">
      <c r="A14" s="46" t="inlineStr">
        <is>
          <t>HOUSING</t>
        </is>
      </c>
      <c r="B14" s="46" t="inlineStr">
        <is>
          <t>Home Insurance</t>
        </is>
      </c>
      <c r="C14" s="22" t="n">
        <v>0</v>
      </c>
      <c r="D14" s="22" t="n">
        <v>0</v>
      </c>
      <c r="E14" s="47">
        <f>C14-D14</f>
        <v/>
      </c>
      <c r="F14" s="34">
        <f>IFERROR(D14/C14,0)</f>
        <v/>
      </c>
      <c r="G14" s="46" t="inlineStr"/>
    </row>
    <row r="15" ht="20" customHeight="1">
      <c r="A15" s="49" t="inlineStr">
        <is>
          <t>Subtotal — HOUSING</t>
        </is>
      </c>
      <c r="B15" s="50" t="n"/>
      <c r="C15" s="51">
        <f>SUM(C10:C14)</f>
        <v/>
      </c>
      <c r="D15" s="51">
        <f>SUM(D10:D14)</f>
        <v/>
      </c>
      <c r="E15" s="51">
        <f>C15-D15</f>
        <v/>
      </c>
      <c r="F15" s="52">
        <f>IFERROR(D15/C15,0)</f>
        <v/>
      </c>
      <c r="G15" s="53" t="inlineStr"/>
    </row>
    <row r="16" ht="22" customHeight="1">
      <c r="A16" s="54" t="inlineStr">
        <is>
          <t>TRANSPORT</t>
        </is>
      </c>
    </row>
    <row r="17" ht="18" customHeight="1">
      <c r="A17" s="46" t="inlineStr">
        <is>
          <t>TRANSPORT</t>
        </is>
      </c>
      <c r="B17" s="46" t="inlineStr">
        <is>
          <t>Car Payment</t>
        </is>
      </c>
      <c r="C17" s="22" t="n">
        <v>0</v>
      </c>
      <c r="D17" s="22" t="n">
        <v>0</v>
      </c>
      <c r="E17" s="47">
        <f>C17-D17</f>
        <v/>
      </c>
      <c r="F17" s="34">
        <f>IFERROR(D17/C17,0)</f>
        <v/>
      </c>
      <c r="G17" s="46" t="inlineStr"/>
    </row>
    <row r="18" ht="18" customHeight="1">
      <c r="A18" s="42" t="inlineStr">
        <is>
          <t>TRANSPORT</t>
        </is>
      </c>
      <c r="B18" s="42" t="inlineStr">
        <is>
          <t>Fuel</t>
        </is>
      </c>
      <c r="C18" s="29" t="n">
        <v>0</v>
      </c>
      <c r="D18" s="29" t="n">
        <v>0</v>
      </c>
      <c r="E18" s="28">
        <f>C18-D18</f>
        <v/>
      </c>
      <c r="F18" s="48">
        <f>IFERROR(D18/C18,0)</f>
        <v/>
      </c>
      <c r="G18" s="42" t="inlineStr"/>
    </row>
    <row r="19" ht="18" customHeight="1">
      <c r="A19" s="46" t="inlineStr">
        <is>
          <t>TRANSPORT</t>
        </is>
      </c>
      <c r="B19" s="46" t="inlineStr">
        <is>
          <t>Car Insurance</t>
        </is>
      </c>
      <c r="C19" s="22" t="n">
        <v>0</v>
      </c>
      <c r="D19" s="22" t="n">
        <v>0</v>
      </c>
      <c r="E19" s="47">
        <f>C19-D19</f>
        <v/>
      </c>
      <c r="F19" s="34">
        <f>IFERROR(D19/C19,0)</f>
        <v/>
      </c>
      <c r="G19" s="46" t="inlineStr"/>
    </row>
    <row r="20" ht="18" customHeight="1">
      <c r="A20" s="42" t="inlineStr">
        <is>
          <t>TRANSPORT</t>
        </is>
      </c>
      <c r="B20" s="42" t="inlineStr">
        <is>
          <t>Parking</t>
        </is>
      </c>
      <c r="C20" s="29" t="n">
        <v>0</v>
      </c>
      <c r="D20" s="29" t="n">
        <v>0</v>
      </c>
      <c r="E20" s="28">
        <f>C20-D20</f>
        <v/>
      </c>
      <c r="F20" s="48">
        <f>IFERROR(D20/C20,0)</f>
        <v/>
      </c>
      <c r="G20" s="42" t="inlineStr"/>
    </row>
    <row r="21" ht="18" customHeight="1">
      <c r="A21" s="46" t="inlineStr">
        <is>
          <t>TRANSPORT</t>
        </is>
      </c>
      <c r="B21" s="46" t="inlineStr">
        <is>
          <t>Public Transport</t>
        </is>
      </c>
      <c r="C21" s="22" t="n">
        <v>0</v>
      </c>
      <c r="D21" s="22" t="n">
        <v>0</v>
      </c>
      <c r="E21" s="47">
        <f>C21-D21</f>
        <v/>
      </c>
      <c r="F21" s="34">
        <f>IFERROR(D21/C21,0)</f>
        <v/>
      </c>
      <c r="G21" s="46" t="inlineStr"/>
    </row>
    <row r="22" ht="20" customHeight="1">
      <c r="A22" s="49" t="inlineStr">
        <is>
          <t>Subtotal — TRANSPORT</t>
        </is>
      </c>
      <c r="B22" s="50" t="n"/>
      <c r="C22" s="51">
        <f>SUM(C17:C21)</f>
        <v/>
      </c>
      <c r="D22" s="51">
        <f>SUM(D17:D21)</f>
        <v/>
      </c>
      <c r="E22" s="51">
        <f>C22-D22</f>
        <v/>
      </c>
      <c r="F22" s="52">
        <f>IFERROR(D22/C22,0)</f>
        <v/>
      </c>
      <c r="G22" s="53" t="inlineStr"/>
    </row>
    <row r="23" ht="22" customHeight="1">
      <c r="A23" s="54" t="inlineStr">
        <is>
          <t>FOOD &amp; DINING</t>
        </is>
      </c>
    </row>
    <row r="24" ht="18" customHeight="1">
      <c r="A24" s="46" t="inlineStr">
        <is>
          <t>FOOD &amp; DINING</t>
        </is>
      </c>
      <c r="B24" s="46" t="inlineStr">
        <is>
          <t>Groceries</t>
        </is>
      </c>
      <c r="C24" s="22" t="n">
        <v>0</v>
      </c>
      <c r="D24" s="22" t="n">
        <v>0</v>
      </c>
      <c r="E24" s="47">
        <f>C24-D24</f>
        <v/>
      </c>
      <c r="F24" s="34">
        <f>IFERROR(D24/C24,0)</f>
        <v/>
      </c>
      <c r="G24" s="46" t="inlineStr"/>
    </row>
    <row r="25" ht="18" customHeight="1">
      <c r="A25" s="42" t="inlineStr">
        <is>
          <t>FOOD &amp; DINING</t>
        </is>
      </c>
      <c r="B25" s="42" t="inlineStr">
        <is>
          <t>Restaurants</t>
        </is>
      </c>
      <c r="C25" s="29" t="n">
        <v>0</v>
      </c>
      <c r="D25" s="29" t="n">
        <v>0</v>
      </c>
      <c r="E25" s="28">
        <f>C25-D25</f>
        <v/>
      </c>
      <c r="F25" s="48">
        <f>IFERROR(D25/C25,0)</f>
        <v/>
      </c>
      <c r="G25" s="42" t="inlineStr"/>
    </row>
    <row r="26" ht="18" customHeight="1">
      <c r="A26" s="46" t="inlineStr">
        <is>
          <t>FOOD &amp; DINING</t>
        </is>
      </c>
      <c r="B26" s="46" t="inlineStr">
        <is>
          <t>Coffee</t>
        </is>
      </c>
      <c r="C26" s="22" t="n">
        <v>0</v>
      </c>
      <c r="D26" s="22" t="n">
        <v>0</v>
      </c>
      <c r="E26" s="47">
        <f>C26-D26</f>
        <v/>
      </c>
      <c r="F26" s="34">
        <f>IFERROR(D26/C26,0)</f>
        <v/>
      </c>
      <c r="G26" s="46" t="inlineStr"/>
    </row>
    <row r="27" ht="18" customHeight="1">
      <c r="A27" s="42" t="inlineStr">
        <is>
          <t>FOOD &amp; DINING</t>
        </is>
      </c>
      <c r="B27" s="42" t="inlineStr">
        <is>
          <t>Food Delivery</t>
        </is>
      </c>
      <c r="C27" s="29" t="n">
        <v>0</v>
      </c>
      <c r="D27" s="29" t="n">
        <v>0</v>
      </c>
      <c r="E27" s="28">
        <f>C27-D27</f>
        <v/>
      </c>
      <c r="F27" s="48">
        <f>IFERROR(D27/C27,0)</f>
        <v/>
      </c>
      <c r="G27" s="42" t="inlineStr"/>
    </row>
    <row r="28" ht="18" customHeight="1">
      <c r="A28" s="46" t="inlineStr">
        <is>
          <t>FOOD &amp; DINING</t>
        </is>
      </c>
      <c r="B28" s="46" t="inlineStr">
        <is>
          <t>Work Lunch</t>
        </is>
      </c>
      <c r="C28" s="22" t="n">
        <v>0</v>
      </c>
      <c r="D28" s="22" t="n">
        <v>0</v>
      </c>
      <c r="E28" s="47">
        <f>C28-D28</f>
        <v/>
      </c>
      <c r="F28" s="34">
        <f>IFERROR(D28/C28,0)</f>
        <v/>
      </c>
      <c r="G28" s="46" t="inlineStr"/>
    </row>
    <row r="29" ht="20" customHeight="1">
      <c r="A29" s="49" t="inlineStr">
        <is>
          <t>Subtotal — FOOD &amp; DINING</t>
        </is>
      </c>
      <c r="B29" s="50" t="n"/>
      <c r="C29" s="51">
        <f>SUM(C24:C28)</f>
        <v/>
      </c>
      <c r="D29" s="51">
        <f>SUM(D24:D28)</f>
        <v/>
      </c>
      <c r="E29" s="51">
        <f>C29-D29</f>
        <v/>
      </c>
      <c r="F29" s="52">
        <f>IFERROR(D29/C29,0)</f>
        <v/>
      </c>
      <c r="G29" s="53" t="inlineStr"/>
    </row>
    <row r="30" ht="22" customHeight="1">
      <c r="A30" s="54" t="inlineStr">
        <is>
          <t>HEALTH &amp; WELLNESS</t>
        </is>
      </c>
    </row>
    <row r="31" ht="18" customHeight="1">
      <c r="A31" s="46" t="inlineStr">
        <is>
          <t>HEALTH &amp; WELLNESS</t>
        </is>
      </c>
      <c r="B31" s="46" t="inlineStr">
        <is>
          <t>Health Insurance</t>
        </is>
      </c>
      <c r="C31" s="22" t="n">
        <v>0</v>
      </c>
      <c r="D31" s="22" t="n">
        <v>0</v>
      </c>
      <c r="E31" s="47">
        <f>C31-D31</f>
        <v/>
      </c>
      <c r="F31" s="34">
        <f>IFERROR(D31/C31,0)</f>
        <v/>
      </c>
      <c r="G31" s="46" t="inlineStr"/>
    </row>
    <row r="32" ht="18" customHeight="1">
      <c r="A32" s="42" t="inlineStr">
        <is>
          <t>HEALTH &amp; WELLNESS</t>
        </is>
      </c>
      <c r="B32" s="42" t="inlineStr">
        <is>
          <t>Gym</t>
        </is>
      </c>
      <c r="C32" s="29" t="n">
        <v>0</v>
      </c>
      <c r="D32" s="29" t="n">
        <v>0</v>
      </c>
      <c r="E32" s="28">
        <f>C32-D32</f>
        <v/>
      </c>
      <c r="F32" s="48">
        <f>IFERROR(D32/C32,0)</f>
        <v/>
      </c>
      <c r="G32" s="42" t="inlineStr"/>
    </row>
    <row r="33" ht="18" customHeight="1">
      <c r="A33" s="46" t="inlineStr">
        <is>
          <t>HEALTH &amp; WELLNESS</t>
        </is>
      </c>
      <c r="B33" s="46" t="inlineStr">
        <is>
          <t>Pharmacy</t>
        </is>
      </c>
      <c r="C33" s="22" t="n">
        <v>0</v>
      </c>
      <c r="D33" s="22" t="n">
        <v>0</v>
      </c>
      <c r="E33" s="47">
        <f>C33-D33</f>
        <v/>
      </c>
      <c r="F33" s="34">
        <f>IFERROR(D33/C33,0)</f>
        <v/>
      </c>
      <c r="G33" s="46" t="inlineStr"/>
    </row>
    <row r="34" ht="18" customHeight="1">
      <c r="A34" s="42" t="inlineStr">
        <is>
          <t>HEALTH &amp; WELLNESS</t>
        </is>
      </c>
      <c r="B34" s="42" t="inlineStr">
        <is>
          <t>Doctor</t>
        </is>
      </c>
      <c r="C34" s="29" t="n">
        <v>0</v>
      </c>
      <c r="D34" s="29" t="n">
        <v>0</v>
      </c>
      <c r="E34" s="28">
        <f>C34-D34</f>
        <v/>
      </c>
      <c r="F34" s="48">
        <f>IFERROR(D34/C34,0)</f>
        <v/>
      </c>
      <c r="G34" s="42" t="inlineStr"/>
    </row>
    <row r="35" ht="18" customHeight="1">
      <c r="A35" s="46" t="inlineStr">
        <is>
          <t>HEALTH &amp; WELLNESS</t>
        </is>
      </c>
      <c r="B35" s="46" t="inlineStr">
        <is>
          <t>Dental</t>
        </is>
      </c>
      <c r="C35" s="22" t="n">
        <v>0</v>
      </c>
      <c r="D35" s="22" t="n">
        <v>0</v>
      </c>
      <c r="E35" s="47">
        <f>C35-D35</f>
        <v/>
      </c>
      <c r="F35" s="34">
        <f>IFERROR(D35/C35,0)</f>
        <v/>
      </c>
      <c r="G35" s="46" t="inlineStr"/>
    </row>
    <row r="36" ht="20" customHeight="1">
      <c r="A36" s="49" t="inlineStr">
        <is>
          <t>Subtotal — HEALTH &amp; WELLNESS</t>
        </is>
      </c>
      <c r="B36" s="50" t="n"/>
      <c r="C36" s="51">
        <f>SUM(C31:C35)</f>
        <v/>
      </c>
      <c r="D36" s="51">
        <f>SUM(D31:D35)</f>
        <v/>
      </c>
      <c r="E36" s="51">
        <f>C36-D36</f>
        <v/>
      </c>
      <c r="F36" s="52">
        <f>IFERROR(D36/C36,0)</f>
        <v/>
      </c>
      <c r="G36" s="53" t="inlineStr"/>
    </row>
    <row r="37" ht="22" customHeight="1">
      <c r="A37" s="54" t="inlineStr">
        <is>
          <t>LIFESTYLE</t>
        </is>
      </c>
    </row>
    <row r="38" ht="18" customHeight="1">
      <c r="A38" s="46" t="inlineStr">
        <is>
          <t>LIFESTYLE</t>
        </is>
      </c>
      <c r="B38" s="46" t="inlineStr">
        <is>
          <t>Streaming Services</t>
        </is>
      </c>
      <c r="C38" s="22" t="n">
        <v>0</v>
      </c>
      <c r="D38" s="22" t="n">
        <v>0</v>
      </c>
      <c r="E38" s="47">
        <f>C38-D38</f>
        <v/>
      </c>
      <c r="F38" s="34">
        <f>IFERROR(D38/C38,0)</f>
        <v/>
      </c>
      <c r="G38" s="46" t="inlineStr"/>
    </row>
    <row r="39" ht="18" customHeight="1">
      <c r="A39" s="42" t="inlineStr">
        <is>
          <t>LIFESTYLE</t>
        </is>
      </c>
      <c r="B39" s="42" t="inlineStr">
        <is>
          <t>Entertainment</t>
        </is>
      </c>
      <c r="C39" s="29" t="n">
        <v>0</v>
      </c>
      <c r="D39" s="29" t="n">
        <v>0</v>
      </c>
      <c r="E39" s="28">
        <f>C39-D39</f>
        <v/>
      </c>
      <c r="F39" s="48">
        <f>IFERROR(D39/C39,0)</f>
        <v/>
      </c>
      <c r="G39" s="42" t="inlineStr"/>
    </row>
    <row r="40" ht="18" customHeight="1">
      <c r="A40" s="46" t="inlineStr">
        <is>
          <t>LIFESTYLE</t>
        </is>
      </c>
      <c r="B40" s="46" t="inlineStr">
        <is>
          <t>Hobbies</t>
        </is>
      </c>
      <c r="C40" s="22" t="n">
        <v>0</v>
      </c>
      <c r="D40" s="22" t="n">
        <v>0</v>
      </c>
      <c r="E40" s="47">
        <f>C40-D40</f>
        <v/>
      </c>
      <c r="F40" s="34">
        <f>IFERROR(D40/C40,0)</f>
        <v/>
      </c>
      <c r="G40" s="46" t="inlineStr"/>
    </row>
    <row r="41" ht="18" customHeight="1">
      <c r="A41" s="42" t="inlineStr">
        <is>
          <t>LIFESTYLE</t>
        </is>
      </c>
      <c r="B41" s="42" t="inlineStr">
        <is>
          <t>Personal Care</t>
        </is>
      </c>
      <c r="C41" s="29" t="n">
        <v>0</v>
      </c>
      <c r="D41" s="29" t="n">
        <v>0</v>
      </c>
      <c r="E41" s="28">
        <f>C41-D41</f>
        <v/>
      </c>
      <c r="F41" s="48">
        <f>IFERROR(D41/C41,0)</f>
        <v/>
      </c>
      <c r="G41" s="42" t="inlineStr"/>
    </row>
    <row r="42" ht="18" customHeight="1">
      <c r="A42" s="46" t="inlineStr">
        <is>
          <t>LIFESTYLE</t>
        </is>
      </c>
      <c r="B42" s="46" t="inlineStr">
        <is>
          <t>Books</t>
        </is>
      </c>
      <c r="C42" s="22" t="n">
        <v>0</v>
      </c>
      <c r="D42" s="22" t="n">
        <v>0</v>
      </c>
      <c r="E42" s="47">
        <f>C42-D42</f>
        <v/>
      </c>
      <c r="F42" s="34">
        <f>IFERROR(D42/C42,0)</f>
        <v/>
      </c>
      <c r="G42" s="46" t="inlineStr"/>
    </row>
    <row r="43" ht="20" customHeight="1">
      <c r="A43" s="49" t="inlineStr">
        <is>
          <t>Subtotal — LIFESTYLE</t>
        </is>
      </c>
      <c r="B43" s="50" t="n"/>
      <c r="C43" s="51">
        <f>SUM(C38:C42)</f>
        <v/>
      </c>
      <c r="D43" s="51">
        <f>SUM(D38:D42)</f>
        <v/>
      </c>
      <c r="E43" s="51">
        <f>C43-D43</f>
        <v/>
      </c>
      <c r="F43" s="52">
        <f>IFERROR(D43/C43,0)</f>
        <v/>
      </c>
      <c r="G43" s="53" t="inlineStr"/>
    </row>
    <row r="44" ht="22" customHeight="1">
      <c r="A44" s="54" t="inlineStr">
        <is>
          <t>PERSONAL</t>
        </is>
      </c>
    </row>
    <row r="45" ht="18" customHeight="1">
      <c r="A45" s="46" t="inlineStr">
        <is>
          <t>PERSONAL</t>
        </is>
      </c>
      <c r="B45" s="46" t="inlineStr">
        <is>
          <t>Clothing</t>
        </is>
      </c>
      <c r="C45" s="22" t="n">
        <v>0</v>
      </c>
      <c r="D45" s="22" t="n">
        <v>0</v>
      </c>
      <c r="E45" s="47">
        <f>C45-D45</f>
        <v/>
      </c>
      <c r="F45" s="34">
        <f>IFERROR(D45/C45,0)</f>
        <v/>
      </c>
      <c r="G45" s="46" t="inlineStr"/>
    </row>
    <row r="46" ht="18" customHeight="1">
      <c r="A46" s="42" t="inlineStr">
        <is>
          <t>PERSONAL</t>
        </is>
      </c>
      <c r="B46" s="42" t="inlineStr">
        <is>
          <t>Gifts</t>
        </is>
      </c>
      <c r="C46" s="29" t="n">
        <v>0</v>
      </c>
      <c r="D46" s="29" t="n">
        <v>0</v>
      </c>
      <c r="E46" s="28">
        <f>C46-D46</f>
        <v/>
      </c>
      <c r="F46" s="48">
        <f>IFERROR(D46/C46,0)</f>
        <v/>
      </c>
      <c r="G46" s="42" t="inlineStr"/>
    </row>
    <row r="47" ht="18" customHeight="1">
      <c r="A47" s="46" t="inlineStr">
        <is>
          <t>PERSONAL</t>
        </is>
      </c>
      <c r="B47" s="46" t="inlineStr">
        <is>
          <t>Education</t>
        </is>
      </c>
      <c r="C47" s="22" t="n">
        <v>0</v>
      </c>
      <c r="D47" s="22" t="n">
        <v>0</v>
      </c>
      <c r="E47" s="47">
        <f>C47-D47</f>
        <v/>
      </c>
      <c r="F47" s="34">
        <f>IFERROR(D47/C47,0)</f>
        <v/>
      </c>
      <c r="G47" s="46" t="inlineStr"/>
    </row>
    <row r="48" ht="18" customHeight="1">
      <c r="A48" s="42" t="inlineStr">
        <is>
          <t>PERSONAL</t>
        </is>
      </c>
      <c r="B48" s="42" t="inlineStr">
        <is>
          <t>Pet Care</t>
        </is>
      </c>
      <c r="C48" s="29" t="n">
        <v>0</v>
      </c>
      <c r="D48" s="29" t="n">
        <v>0</v>
      </c>
      <c r="E48" s="28">
        <f>C48-D48</f>
        <v/>
      </c>
      <c r="F48" s="48">
        <f>IFERROR(D48/C48,0)</f>
        <v/>
      </c>
      <c r="G48" s="42" t="inlineStr"/>
    </row>
    <row r="49" ht="18" customHeight="1">
      <c r="A49" s="46" t="inlineStr">
        <is>
          <t>PERSONAL</t>
        </is>
      </c>
      <c r="B49" s="46" t="inlineStr">
        <is>
          <t>Miscellaneous</t>
        </is>
      </c>
      <c r="C49" s="22" t="n">
        <v>0</v>
      </c>
      <c r="D49" s="22" t="n">
        <v>0</v>
      </c>
      <c r="E49" s="47">
        <f>C49-D49</f>
        <v/>
      </c>
      <c r="F49" s="34">
        <f>IFERROR(D49/C49,0)</f>
        <v/>
      </c>
      <c r="G49" s="46" t="inlineStr"/>
    </row>
    <row r="50" ht="20" customHeight="1">
      <c r="A50" s="49" t="inlineStr">
        <is>
          <t>Subtotal — PERSONAL</t>
        </is>
      </c>
      <c r="B50" s="50" t="n"/>
      <c r="C50" s="51">
        <f>SUM(C45:C49)</f>
        <v/>
      </c>
      <c r="D50" s="51">
        <f>SUM(D45:D49)</f>
        <v/>
      </c>
      <c r="E50" s="51">
        <f>C50-D50</f>
        <v/>
      </c>
      <c r="F50" s="52">
        <f>IFERROR(D50/C50,0)</f>
        <v/>
      </c>
      <c r="G50" s="53" t="inlineStr"/>
    </row>
    <row r="51" ht="22" customHeight="1">
      <c r="A51" s="54" t="inlineStr">
        <is>
          <t>SAVINGS &amp; INVESTMENTS</t>
        </is>
      </c>
    </row>
    <row r="52" ht="18" customHeight="1">
      <c r="A52" s="46" t="inlineStr">
        <is>
          <t>SAVINGS &amp; INVESTMENTS</t>
        </is>
      </c>
      <c r="B52" s="46" t="inlineStr">
        <is>
          <t>Emergency Fund</t>
        </is>
      </c>
      <c r="C52" s="22" t="n">
        <v>0</v>
      </c>
      <c r="D52" s="22" t="n">
        <v>0</v>
      </c>
      <c r="E52" s="47">
        <f>C52-D52</f>
        <v/>
      </c>
      <c r="F52" s="34">
        <f>IFERROR(D52/C52,0)</f>
        <v/>
      </c>
      <c r="G52" s="46" t="inlineStr"/>
    </row>
    <row r="53" ht="18" customHeight="1">
      <c r="A53" s="42" t="inlineStr">
        <is>
          <t>SAVINGS &amp; INVESTMENTS</t>
        </is>
      </c>
      <c r="B53" s="42" t="inlineStr">
        <is>
          <t>Pension/IRA</t>
        </is>
      </c>
      <c r="C53" s="29" t="n">
        <v>0</v>
      </c>
      <c r="D53" s="29" t="n">
        <v>0</v>
      </c>
      <c r="E53" s="28">
        <f>C53-D53</f>
        <v/>
      </c>
      <c r="F53" s="48">
        <f>IFERROR(D53/C53,0)</f>
        <v/>
      </c>
      <c r="G53" s="42" t="inlineStr"/>
    </row>
    <row r="54" ht="18" customHeight="1">
      <c r="A54" s="46" t="inlineStr">
        <is>
          <t>SAVINGS &amp; INVESTMENTS</t>
        </is>
      </c>
      <c r="B54" s="46" t="inlineStr">
        <is>
          <t>Stocks</t>
        </is>
      </c>
      <c r="C54" s="22" t="n">
        <v>0</v>
      </c>
      <c r="D54" s="22" t="n">
        <v>0</v>
      </c>
      <c r="E54" s="47">
        <f>C54-D54</f>
        <v/>
      </c>
      <c r="F54" s="34">
        <f>IFERROR(D54/C54,0)</f>
        <v/>
      </c>
      <c r="G54" s="46" t="inlineStr"/>
    </row>
    <row r="55" ht="18" customHeight="1">
      <c r="A55" s="42" t="inlineStr">
        <is>
          <t>SAVINGS &amp; INVESTMENTS</t>
        </is>
      </c>
      <c r="B55" s="42" t="inlineStr">
        <is>
          <t>Vacation Fund</t>
        </is>
      </c>
      <c r="C55" s="29" t="n">
        <v>0</v>
      </c>
      <c r="D55" s="29" t="n">
        <v>0</v>
      </c>
      <c r="E55" s="28">
        <f>C55-D55</f>
        <v/>
      </c>
      <c r="F55" s="48">
        <f>IFERROR(D55/C55,0)</f>
        <v/>
      </c>
      <c r="G55" s="42" t="inlineStr"/>
    </row>
    <row r="56" ht="18" customHeight="1">
      <c r="A56" s="46" t="inlineStr">
        <is>
          <t>SAVINGS &amp; INVESTMENTS</t>
        </is>
      </c>
      <c r="B56" s="46" t="inlineStr">
        <is>
          <t>Other Savings</t>
        </is>
      </c>
      <c r="C56" s="22" t="n">
        <v>0</v>
      </c>
      <c r="D56" s="22" t="n">
        <v>0</v>
      </c>
      <c r="E56" s="47">
        <f>C56-D56</f>
        <v/>
      </c>
      <c r="F56" s="34">
        <f>IFERROR(D56/C56,0)</f>
        <v/>
      </c>
      <c r="G56" s="46" t="inlineStr"/>
    </row>
    <row r="57" ht="20" customHeight="1">
      <c r="A57" s="49" t="inlineStr">
        <is>
          <t>Subtotal — SAVINGS &amp; INVESTMENTS</t>
        </is>
      </c>
      <c r="B57" s="50" t="n"/>
      <c r="C57" s="51">
        <f>SUM(C52:C56)</f>
        <v/>
      </c>
      <c r="D57" s="51">
        <f>SUM(D52:D56)</f>
        <v/>
      </c>
      <c r="E57" s="51">
        <f>C57-D57</f>
        <v/>
      </c>
      <c r="F57" s="52">
        <f>IFERROR(D57/C57,0)</f>
        <v/>
      </c>
      <c r="G57" s="53" t="inlineStr"/>
    </row>
    <row r="58" ht="22" customHeight="1">
      <c r="A58" s="54" t="inlineStr">
        <is>
          <t>DEBT PAYMENTS</t>
        </is>
      </c>
    </row>
    <row r="59" ht="18" customHeight="1">
      <c r="A59" s="46" t="inlineStr">
        <is>
          <t>DEBT PAYMENTS</t>
        </is>
      </c>
      <c r="B59" s="46" t="inlineStr">
        <is>
          <t>Credit Card 1</t>
        </is>
      </c>
      <c r="C59" s="22" t="n">
        <v>0</v>
      </c>
      <c r="D59" s="22" t="n">
        <v>0</v>
      </c>
      <c r="E59" s="47">
        <f>C59-D59</f>
        <v/>
      </c>
      <c r="F59" s="34">
        <f>IFERROR(D59/C59,0)</f>
        <v/>
      </c>
      <c r="G59" s="46" t="inlineStr"/>
    </row>
    <row r="60" ht="18" customHeight="1">
      <c r="A60" s="42" t="inlineStr">
        <is>
          <t>DEBT PAYMENTS</t>
        </is>
      </c>
      <c r="B60" s="42" t="inlineStr">
        <is>
          <t>Credit Card 2</t>
        </is>
      </c>
      <c r="C60" s="29" t="n">
        <v>0</v>
      </c>
      <c r="D60" s="29" t="n">
        <v>0</v>
      </c>
      <c r="E60" s="28">
        <f>C60-D60</f>
        <v/>
      </c>
      <c r="F60" s="48">
        <f>IFERROR(D60/C60,0)</f>
        <v/>
      </c>
      <c r="G60" s="42" t="inlineStr"/>
    </row>
    <row r="61" ht="18" customHeight="1">
      <c r="A61" s="46" t="inlineStr">
        <is>
          <t>DEBT PAYMENTS</t>
        </is>
      </c>
      <c r="B61" s="46" t="inlineStr">
        <is>
          <t>Student Loan</t>
        </is>
      </c>
      <c r="C61" s="22" t="n">
        <v>0</v>
      </c>
      <c r="D61" s="22" t="n">
        <v>0</v>
      </c>
      <c r="E61" s="47">
        <f>C61-D61</f>
        <v/>
      </c>
      <c r="F61" s="34">
        <f>IFERROR(D61/C61,0)</f>
        <v/>
      </c>
      <c r="G61" s="46" t="inlineStr"/>
    </row>
    <row r="62" ht="18" customHeight="1">
      <c r="A62" s="42" t="inlineStr">
        <is>
          <t>DEBT PAYMENTS</t>
        </is>
      </c>
      <c r="B62" s="42" t="inlineStr">
        <is>
          <t>Car Loan</t>
        </is>
      </c>
      <c r="C62" s="29" t="n">
        <v>0</v>
      </c>
      <c r="D62" s="29" t="n">
        <v>0</v>
      </c>
      <c r="E62" s="28">
        <f>C62-D62</f>
        <v/>
      </c>
      <c r="F62" s="48">
        <f>IFERROR(D62/C62,0)</f>
        <v/>
      </c>
      <c r="G62" s="42" t="inlineStr"/>
    </row>
    <row r="63" ht="18" customHeight="1">
      <c r="A63" s="46" t="inlineStr">
        <is>
          <t>DEBT PAYMENTS</t>
        </is>
      </c>
      <c r="B63" s="46" t="inlineStr">
        <is>
          <t>Other</t>
        </is>
      </c>
      <c r="C63" s="22" t="n">
        <v>0</v>
      </c>
      <c r="D63" s="22" t="n">
        <v>0</v>
      </c>
      <c r="E63" s="47">
        <f>C63-D63</f>
        <v/>
      </c>
      <c r="F63" s="34">
        <f>IFERROR(D63/C63,0)</f>
        <v/>
      </c>
      <c r="G63" s="46" t="inlineStr"/>
    </row>
    <row r="64" ht="20" customHeight="1">
      <c r="A64" s="49" t="inlineStr">
        <is>
          <t>Subtotal — DEBT PAYMENTS</t>
        </is>
      </c>
      <c r="B64" s="50" t="n"/>
      <c r="C64" s="51">
        <f>SUM(C59:C63)</f>
        <v/>
      </c>
      <c r="D64" s="51">
        <f>SUM(D59:D63)</f>
        <v/>
      </c>
      <c r="E64" s="51">
        <f>C64-D64</f>
        <v/>
      </c>
      <c r="F64" s="52">
        <f>IFERROR(D64/C64,0)</f>
        <v/>
      </c>
      <c r="G64" s="53" t="inlineStr"/>
    </row>
    <row r="65" ht="24" customHeight="1">
      <c r="A65" s="55" t="inlineStr">
        <is>
          <t>GRAND TOTAL EXPENSES</t>
        </is>
      </c>
      <c r="B65" s="7" t="n"/>
      <c r="C65" s="56">
        <f>C15+C22+C29+C36+C43+C50+C57+C64</f>
        <v/>
      </c>
      <c r="D65" s="56">
        <f>D15+D22+D29+D36+D43+D50+D57+D64</f>
        <v/>
      </c>
      <c r="E65" s="56">
        <f>C65-D65</f>
        <v/>
      </c>
      <c r="F65" s="57" t="inlineStr"/>
      <c r="G65" s="57" t="inlineStr"/>
    </row>
    <row r="66" ht="26" customHeight="1">
      <c r="A66" s="58" t="inlineStr">
        <is>
          <t>NET CASH FLOW</t>
        </is>
      </c>
      <c r="B66" s="4" t="n"/>
      <c r="C66" s="59">
        <f>C8-C65</f>
        <v/>
      </c>
      <c r="D66" s="59">
        <f>D8-D65</f>
        <v/>
      </c>
      <c r="E66" s="59">
        <f>C66-D66</f>
        <v/>
      </c>
      <c r="F66" s="60" t="inlineStr"/>
      <c r="G66" s="60" t="inlineStr"/>
    </row>
    <row r="68" ht="18" customHeight="1">
      <c r="I68" s="12" t="inlineStr">
        <is>
          <t>Category</t>
        </is>
      </c>
      <c r="J68" s="12" t="inlineStr">
        <is>
          <t>Budgeted</t>
        </is>
      </c>
      <c r="K68" s="12" t="inlineStr">
        <is>
          <t>Actual</t>
        </is>
      </c>
    </row>
    <row r="69" ht="18" customHeight="1">
      <c r="I69" s="46" t="inlineStr">
        <is>
          <t>HOUSING</t>
        </is>
      </c>
      <c r="J69" s="47">
        <f>C15</f>
        <v/>
      </c>
      <c r="K69" s="47">
        <f>D15</f>
        <v/>
      </c>
    </row>
    <row r="70" ht="18" customHeight="1">
      <c r="I70" s="42" t="inlineStr">
        <is>
          <t>TRANSPORT</t>
        </is>
      </c>
      <c r="J70" s="28">
        <f>C22</f>
        <v/>
      </c>
      <c r="K70" s="28">
        <f>D22</f>
        <v/>
      </c>
    </row>
    <row r="71" ht="18" customHeight="1">
      <c r="I71" s="46" t="inlineStr">
        <is>
          <t>FOOD &amp; DINING</t>
        </is>
      </c>
      <c r="J71" s="47">
        <f>C29</f>
        <v/>
      </c>
      <c r="K71" s="47">
        <f>D29</f>
        <v/>
      </c>
    </row>
    <row r="72" ht="18" customHeight="1">
      <c r="I72" s="42" t="inlineStr">
        <is>
          <t>HEALTH &amp; WELLNESS</t>
        </is>
      </c>
      <c r="J72" s="28">
        <f>C36</f>
        <v/>
      </c>
      <c r="K72" s="28">
        <f>D36</f>
        <v/>
      </c>
    </row>
    <row r="73" ht="18" customHeight="1">
      <c r="I73" s="46" t="inlineStr">
        <is>
          <t>LIFESTYLE</t>
        </is>
      </c>
      <c r="J73" s="47">
        <f>C43</f>
        <v/>
      </c>
      <c r="K73" s="47">
        <f>D43</f>
        <v/>
      </c>
    </row>
    <row r="74" ht="18" customHeight="1">
      <c r="I74" s="42" t="inlineStr">
        <is>
          <t>PERSONAL</t>
        </is>
      </c>
      <c r="J74" s="28">
        <f>C50</f>
        <v/>
      </c>
      <c r="K74" s="28">
        <f>D50</f>
        <v/>
      </c>
    </row>
    <row r="75" ht="18" customHeight="1">
      <c r="I75" s="46" t="inlineStr">
        <is>
          <t>SAVINGS &amp; INVESTMENTS</t>
        </is>
      </c>
      <c r="J75" s="47">
        <f>C57</f>
        <v/>
      </c>
      <c r="K75" s="47">
        <f>D57</f>
        <v/>
      </c>
    </row>
    <row r="76" ht="18" customHeight="1">
      <c r="I76" s="42" t="inlineStr">
        <is>
          <t>DEBT PAYMENTS</t>
        </is>
      </c>
      <c r="J76" s="28">
        <f>C64</f>
        <v/>
      </c>
      <c r="K76" s="28">
        <f>D64</f>
        <v/>
      </c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5C8A52"/>
    <outlinePr summaryBelow="1" summaryRight="1"/>
    <pageSetUpPr/>
  </sheetPr>
  <dimension ref="A1:K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4" customWidth="1" min="5" max="5"/>
    <col width="11" customWidth="1" min="6" max="6"/>
    <col width="20" customWidth="1" min="7" max="7"/>
  </cols>
  <sheetData>
    <row r="1" ht="48" customHeight="1">
      <c r="A1" s="44" t="inlineStr">
        <is>
          <t>AUGUST  ·  MONTHLY BUDGET</t>
        </is>
      </c>
    </row>
    <row r="2" ht="20" customHeight="1">
      <c r="A2" s="2" t="inlineStr">
        <is>
          <t>Track your income and expenses for August</t>
        </is>
      </c>
    </row>
    <row r="3" ht="22" customHeight="1">
      <c r="A3" s="3" t="inlineStr">
        <is>
          <t>CATEGORY</t>
        </is>
      </c>
      <c r="B3" s="3" t="inlineStr">
        <is>
          <t>SUBCATEGORY</t>
        </is>
      </c>
      <c r="C3" s="3" t="inlineStr">
        <is>
          <t>BUDGETED</t>
        </is>
      </c>
      <c r="D3" s="3" t="inlineStr">
        <is>
          <t>ACTUAL</t>
        </is>
      </c>
      <c r="E3" s="3" t="inlineStr">
        <is>
          <t>DIFFERENCE</t>
        </is>
      </c>
      <c r="F3" s="3" t="inlineStr">
        <is>
          <t>% USED</t>
        </is>
      </c>
      <c r="G3" s="3" t="inlineStr">
        <is>
          <t>NOTES</t>
        </is>
      </c>
    </row>
    <row r="4" ht="22" customHeight="1">
      <c r="A4" s="45" t="inlineStr">
        <is>
          <t>INCOME</t>
        </is>
      </c>
    </row>
    <row r="5" ht="18" customHeight="1">
      <c r="A5" s="46" t="inlineStr">
        <is>
          <t>INCOME</t>
        </is>
      </c>
      <c r="B5" s="46" t="inlineStr">
        <is>
          <t>Primary Income</t>
        </is>
      </c>
      <c r="C5" s="22" t="n">
        <v>0</v>
      </c>
      <c r="D5" s="22" t="n">
        <v>0</v>
      </c>
      <c r="E5" s="47">
        <f>C5-D5</f>
        <v/>
      </c>
      <c r="F5" s="34">
        <f>IFERROR(D5/C5,0)</f>
        <v/>
      </c>
      <c r="G5" s="46" t="inlineStr"/>
    </row>
    <row r="6" ht="18" customHeight="1">
      <c r="A6" s="42" t="inlineStr">
        <is>
          <t>INCOME</t>
        </is>
      </c>
      <c r="B6" s="42" t="inlineStr">
        <is>
          <t>Side Income</t>
        </is>
      </c>
      <c r="C6" s="29" t="n">
        <v>0</v>
      </c>
      <c r="D6" s="29" t="n">
        <v>0</v>
      </c>
      <c r="E6" s="28">
        <f>C6-D6</f>
        <v/>
      </c>
      <c r="F6" s="48">
        <f>IFERROR(D6/C6,0)</f>
        <v/>
      </c>
      <c r="G6" s="42" t="inlineStr"/>
    </row>
    <row r="7" ht="18" customHeight="1">
      <c r="A7" s="46" t="inlineStr">
        <is>
          <t>INCOME</t>
        </is>
      </c>
      <c r="B7" s="46" t="inlineStr">
        <is>
          <t>Other Income</t>
        </is>
      </c>
      <c r="C7" s="22" t="n">
        <v>0</v>
      </c>
      <c r="D7" s="22" t="n">
        <v>0</v>
      </c>
      <c r="E7" s="47">
        <f>C7-D7</f>
        <v/>
      </c>
      <c r="F7" s="34">
        <f>IFERROR(D7/C7,0)</f>
        <v/>
      </c>
      <c r="G7" s="46" t="inlineStr"/>
    </row>
    <row r="8" ht="20" customHeight="1">
      <c r="A8" s="49" t="inlineStr">
        <is>
          <t>TOTAL INCOME</t>
        </is>
      </c>
      <c r="B8" s="50" t="n"/>
      <c r="C8" s="51">
        <f>SUM(C5:C7)</f>
        <v/>
      </c>
      <c r="D8" s="51">
        <f>SUM(D5:D7)</f>
        <v/>
      </c>
      <c r="E8" s="51">
        <f>C8-D8</f>
        <v/>
      </c>
      <c r="F8" s="52">
        <f>IFERROR(D8/C8,0)</f>
        <v/>
      </c>
      <c r="G8" s="53" t="inlineStr"/>
    </row>
    <row r="9" ht="22" customHeight="1">
      <c r="A9" s="54" t="inlineStr">
        <is>
          <t>HOUSING</t>
        </is>
      </c>
    </row>
    <row r="10" ht="18" customHeight="1">
      <c r="A10" s="46" t="inlineStr">
        <is>
          <t>HOUSING</t>
        </is>
      </c>
      <c r="B10" s="46" t="inlineStr">
        <is>
          <t>Rent/Mortgage</t>
        </is>
      </c>
      <c r="C10" s="22" t="n">
        <v>0</v>
      </c>
      <c r="D10" s="22" t="n">
        <v>0</v>
      </c>
      <c r="E10" s="47">
        <f>C10-D10</f>
        <v/>
      </c>
      <c r="F10" s="34">
        <f>IFERROR(D10/C10,0)</f>
        <v/>
      </c>
      <c r="G10" s="46" t="inlineStr"/>
    </row>
    <row r="11" ht="18" customHeight="1">
      <c r="A11" s="42" t="inlineStr">
        <is>
          <t>HOUSING</t>
        </is>
      </c>
      <c r="B11" s="42" t="inlineStr">
        <is>
          <t>Utilities</t>
        </is>
      </c>
      <c r="C11" s="29" t="n">
        <v>0</v>
      </c>
      <c r="D11" s="29" t="n">
        <v>0</v>
      </c>
      <c r="E11" s="28">
        <f>C11-D11</f>
        <v/>
      </c>
      <c r="F11" s="48">
        <f>IFERROR(D11/C11,0)</f>
        <v/>
      </c>
      <c r="G11" s="42" t="inlineStr"/>
    </row>
    <row r="12" ht="18" customHeight="1">
      <c r="A12" s="46" t="inlineStr">
        <is>
          <t>HOUSING</t>
        </is>
      </c>
      <c r="B12" s="46" t="inlineStr">
        <is>
          <t>Electricity</t>
        </is>
      </c>
      <c r="C12" s="22" t="n">
        <v>0</v>
      </c>
      <c r="D12" s="22" t="n">
        <v>0</v>
      </c>
      <c r="E12" s="47">
        <f>C12-D12</f>
        <v/>
      </c>
      <c r="F12" s="34">
        <f>IFERROR(D12/C12,0)</f>
        <v/>
      </c>
      <c r="G12" s="46" t="inlineStr"/>
    </row>
    <row r="13" ht="18" customHeight="1">
      <c r="A13" s="42" t="inlineStr">
        <is>
          <t>HOUSING</t>
        </is>
      </c>
      <c r="B13" s="42" t="inlineStr">
        <is>
          <t>Internet</t>
        </is>
      </c>
      <c r="C13" s="29" t="n">
        <v>0</v>
      </c>
      <c r="D13" s="29" t="n">
        <v>0</v>
      </c>
      <c r="E13" s="28">
        <f>C13-D13</f>
        <v/>
      </c>
      <c r="F13" s="48">
        <f>IFERROR(D13/C13,0)</f>
        <v/>
      </c>
      <c r="G13" s="42" t="inlineStr"/>
    </row>
    <row r="14" ht="18" customHeight="1">
      <c r="A14" s="46" t="inlineStr">
        <is>
          <t>HOUSING</t>
        </is>
      </c>
      <c r="B14" s="46" t="inlineStr">
        <is>
          <t>Home Insurance</t>
        </is>
      </c>
      <c r="C14" s="22" t="n">
        <v>0</v>
      </c>
      <c r="D14" s="22" t="n">
        <v>0</v>
      </c>
      <c r="E14" s="47">
        <f>C14-D14</f>
        <v/>
      </c>
      <c r="F14" s="34">
        <f>IFERROR(D14/C14,0)</f>
        <v/>
      </c>
      <c r="G14" s="46" t="inlineStr"/>
    </row>
    <row r="15" ht="20" customHeight="1">
      <c r="A15" s="49" t="inlineStr">
        <is>
          <t>Subtotal — HOUSING</t>
        </is>
      </c>
      <c r="B15" s="50" t="n"/>
      <c r="C15" s="51">
        <f>SUM(C10:C14)</f>
        <v/>
      </c>
      <c r="D15" s="51">
        <f>SUM(D10:D14)</f>
        <v/>
      </c>
      <c r="E15" s="51">
        <f>C15-D15</f>
        <v/>
      </c>
      <c r="F15" s="52">
        <f>IFERROR(D15/C15,0)</f>
        <v/>
      </c>
      <c r="G15" s="53" t="inlineStr"/>
    </row>
    <row r="16" ht="22" customHeight="1">
      <c r="A16" s="54" t="inlineStr">
        <is>
          <t>TRANSPORT</t>
        </is>
      </c>
    </row>
    <row r="17" ht="18" customHeight="1">
      <c r="A17" s="46" t="inlineStr">
        <is>
          <t>TRANSPORT</t>
        </is>
      </c>
      <c r="B17" s="46" t="inlineStr">
        <is>
          <t>Car Payment</t>
        </is>
      </c>
      <c r="C17" s="22" t="n">
        <v>0</v>
      </c>
      <c r="D17" s="22" t="n">
        <v>0</v>
      </c>
      <c r="E17" s="47">
        <f>C17-D17</f>
        <v/>
      </c>
      <c r="F17" s="34">
        <f>IFERROR(D17/C17,0)</f>
        <v/>
      </c>
      <c r="G17" s="46" t="inlineStr"/>
    </row>
    <row r="18" ht="18" customHeight="1">
      <c r="A18" s="42" t="inlineStr">
        <is>
          <t>TRANSPORT</t>
        </is>
      </c>
      <c r="B18" s="42" t="inlineStr">
        <is>
          <t>Fuel</t>
        </is>
      </c>
      <c r="C18" s="29" t="n">
        <v>0</v>
      </c>
      <c r="D18" s="29" t="n">
        <v>0</v>
      </c>
      <c r="E18" s="28">
        <f>C18-D18</f>
        <v/>
      </c>
      <c r="F18" s="48">
        <f>IFERROR(D18/C18,0)</f>
        <v/>
      </c>
      <c r="G18" s="42" t="inlineStr"/>
    </row>
    <row r="19" ht="18" customHeight="1">
      <c r="A19" s="46" t="inlineStr">
        <is>
          <t>TRANSPORT</t>
        </is>
      </c>
      <c r="B19" s="46" t="inlineStr">
        <is>
          <t>Car Insurance</t>
        </is>
      </c>
      <c r="C19" s="22" t="n">
        <v>0</v>
      </c>
      <c r="D19" s="22" t="n">
        <v>0</v>
      </c>
      <c r="E19" s="47">
        <f>C19-D19</f>
        <v/>
      </c>
      <c r="F19" s="34">
        <f>IFERROR(D19/C19,0)</f>
        <v/>
      </c>
      <c r="G19" s="46" t="inlineStr"/>
    </row>
    <row r="20" ht="18" customHeight="1">
      <c r="A20" s="42" t="inlineStr">
        <is>
          <t>TRANSPORT</t>
        </is>
      </c>
      <c r="B20" s="42" t="inlineStr">
        <is>
          <t>Parking</t>
        </is>
      </c>
      <c r="C20" s="29" t="n">
        <v>0</v>
      </c>
      <c r="D20" s="29" t="n">
        <v>0</v>
      </c>
      <c r="E20" s="28">
        <f>C20-D20</f>
        <v/>
      </c>
      <c r="F20" s="48">
        <f>IFERROR(D20/C20,0)</f>
        <v/>
      </c>
      <c r="G20" s="42" t="inlineStr"/>
    </row>
    <row r="21" ht="18" customHeight="1">
      <c r="A21" s="46" t="inlineStr">
        <is>
          <t>TRANSPORT</t>
        </is>
      </c>
      <c r="B21" s="46" t="inlineStr">
        <is>
          <t>Public Transport</t>
        </is>
      </c>
      <c r="C21" s="22" t="n">
        <v>0</v>
      </c>
      <c r="D21" s="22" t="n">
        <v>0</v>
      </c>
      <c r="E21" s="47">
        <f>C21-D21</f>
        <v/>
      </c>
      <c r="F21" s="34">
        <f>IFERROR(D21/C21,0)</f>
        <v/>
      </c>
      <c r="G21" s="46" t="inlineStr"/>
    </row>
    <row r="22" ht="20" customHeight="1">
      <c r="A22" s="49" t="inlineStr">
        <is>
          <t>Subtotal — TRANSPORT</t>
        </is>
      </c>
      <c r="B22" s="50" t="n"/>
      <c r="C22" s="51">
        <f>SUM(C17:C21)</f>
        <v/>
      </c>
      <c r="D22" s="51">
        <f>SUM(D17:D21)</f>
        <v/>
      </c>
      <c r="E22" s="51">
        <f>C22-D22</f>
        <v/>
      </c>
      <c r="F22" s="52">
        <f>IFERROR(D22/C22,0)</f>
        <v/>
      </c>
      <c r="G22" s="53" t="inlineStr"/>
    </row>
    <row r="23" ht="22" customHeight="1">
      <c r="A23" s="54" t="inlineStr">
        <is>
          <t>FOOD &amp; DINING</t>
        </is>
      </c>
    </row>
    <row r="24" ht="18" customHeight="1">
      <c r="A24" s="46" t="inlineStr">
        <is>
          <t>FOOD &amp; DINING</t>
        </is>
      </c>
      <c r="B24" s="46" t="inlineStr">
        <is>
          <t>Groceries</t>
        </is>
      </c>
      <c r="C24" s="22" t="n">
        <v>0</v>
      </c>
      <c r="D24" s="22" t="n">
        <v>0</v>
      </c>
      <c r="E24" s="47">
        <f>C24-D24</f>
        <v/>
      </c>
      <c r="F24" s="34">
        <f>IFERROR(D24/C24,0)</f>
        <v/>
      </c>
      <c r="G24" s="46" t="inlineStr"/>
    </row>
    <row r="25" ht="18" customHeight="1">
      <c r="A25" s="42" t="inlineStr">
        <is>
          <t>FOOD &amp; DINING</t>
        </is>
      </c>
      <c r="B25" s="42" t="inlineStr">
        <is>
          <t>Restaurants</t>
        </is>
      </c>
      <c r="C25" s="29" t="n">
        <v>0</v>
      </c>
      <c r="D25" s="29" t="n">
        <v>0</v>
      </c>
      <c r="E25" s="28">
        <f>C25-D25</f>
        <v/>
      </c>
      <c r="F25" s="48">
        <f>IFERROR(D25/C25,0)</f>
        <v/>
      </c>
      <c r="G25" s="42" t="inlineStr"/>
    </row>
    <row r="26" ht="18" customHeight="1">
      <c r="A26" s="46" t="inlineStr">
        <is>
          <t>FOOD &amp; DINING</t>
        </is>
      </c>
      <c r="B26" s="46" t="inlineStr">
        <is>
          <t>Coffee</t>
        </is>
      </c>
      <c r="C26" s="22" t="n">
        <v>0</v>
      </c>
      <c r="D26" s="22" t="n">
        <v>0</v>
      </c>
      <c r="E26" s="47">
        <f>C26-D26</f>
        <v/>
      </c>
      <c r="F26" s="34">
        <f>IFERROR(D26/C26,0)</f>
        <v/>
      </c>
      <c r="G26" s="46" t="inlineStr"/>
    </row>
    <row r="27" ht="18" customHeight="1">
      <c r="A27" s="42" t="inlineStr">
        <is>
          <t>FOOD &amp; DINING</t>
        </is>
      </c>
      <c r="B27" s="42" t="inlineStr">
        <is>
          <t>Food Delivery</t>
        </is>
      </c>
      <c r="C27" s="29" t="n">
        <v>0</v>
      </c>
      <c r="D27" s="29" t="n">
        <v>0</v>
      </c>
      <c r="E27" s="28">
        <f>C27-D27</f>
        <v/>
      </c>
      <c r="F27" s="48">
        <f>IFERROR(D27/C27,0)</f>
        <v/>
      </c>
      <c r="G27" s="42" t="inlineStr"/>
    </row>
    <row r="28" ht="18" customHeight="1">
      <c r="A28" s="46" t="inlineStr">
        <is>
          <t>FOOD &amp; DINING</t>
        </is>
      </c>
      <c r="B28" s="46" t="inlineStr">
        <is>
          <t>Work Lunch</t>
        </is>
      </c>
      <c r="C28" s="22" t="n">
        <v>0</v>
      </c>
      <c r="D28" s="22" t="n">
        <v>0</v>
      </c>
      <c r="E28" s="47">
        <f>C28-D28</f>
        <v/>
      </c>
      <c r="F28" s="34">
        <f>IFERROR(D28/C28,0)</f>
        <v/>
      </c>
      <c r="G28" s="46" t="inlineStr"/>
    </row>
    <row r="29" ht="20" customHeight="1">
      <c r="A29" s="49" t="inlineStr">
        <is>
          <t>Subtotal — FOOD &amp; DINING</t>
        </is>
      </c>
      <c r="B29" s="50" t="n"/>
      <c r="C29" s="51">
        <f>SUM(C24:C28)</f>
        <v/>
      </c>
      <c r="D29" s="51">
        <f>SUM(D24:D28)</f>
        <v/>
      </c>
      <c r="E29" s="51">
        <f>C29-D29</f>
        <v/>
      </c>
      <c r="F29" s="52">
        <f>IFERROR(D29/C29,0)</f>
        <v/>
      </c>
      <c r="G29" s="53" t="inlineStr"/>
    </row>
    <row r="30" ht="22" customHeight="1">
      <c r="A30" s="54" t="inlineStr">
        <is>
          <t>HEALTH &amp; WELLNESS</t>
        </is>
      </c>
    </row>
    <row r="31" ht="18" customHeight="1">
      <c r="A31" s="46" t="inlineStr">
        <is>
          <t>HEALTH &amp; WELLNESS</t>
        </is>
      </c>
      <c r="B31" s="46" t="inlineStr">
        <is>
          <t>Health Insurance</t>
        </is>
      </c>
      <c r="C31" s="22" t="n">
        <v>0</v>
      </c>
      <c r="D31" s="22" t="n">
        <v>0</v>
      </c>
      <c r="E31" s="47">
        <f>C31-D31</f>
        <v/>
      </c>
      <c r="F31" s="34">
        <f>IFERROR(D31/C31,0)</f>
        <v/>
      </c>
      <c r="G31" s="46" t="inlineStr"/>
    </row>
    <row r="32" ht="18" customHeight="1">
      <c r="A32" s="42" t="inlineStr">
        <is>
          <t>HEALTH &amp; WELLNESS</t>
        </is>
      </c>
      <c r="B32" s="42" t="inlineStr">
        <is>
          <t>Gym</t>
        </is>
      </c>
      <c r="C32" s="29" t="n">
        <v>0</v>
      </c>
      <c r="D32" s="29" t="n">
        <v>0</v>
      </c>
      <c r="E32" s="28">
        <f>C32-D32</f>
        <v/>
      </c>
      <c r="F32" s="48">
        <f>IFERROR(D32/C32,0)</f>
        <v/>
      </c>
      <c r="G32" s="42" t="inlineStr"/>
    </row>
    <row r="33" ht="18" customHeight="1">
      <c r="A33" s="46" t="inlineStr">
        <is>
          <t>HEALTH &amp; WELLNESS</t>
        </is>
      </c>
      <c r="B33" s="46" t="inlineStr">
        <is>
          <t>Pharmacy</t>
        </is>
      </c>
      <c r="C33" s="22" t="n">
        <v>0</v>
      </c>
      <c r="D33" s="22" t="n">
        <v>0</v>
      </c>
      <c r="E33" s="47">
        <f>C33-D33</f>
        <v/>
      </c>
      <c r="F33" s="34">
        <f>IFERROR(D33/C33,0)</f>
        <v/>
      </c>
      <c r="G33" s="46" t="inlineStr"/>
    </row>
    <row r="34" ht="18" customHeight="1">
      <c r="A34" s="42" t="inlineStr">
        <is>
          <t>HEALTH &amp; WELLNESS</t>
        </is>
      </c>
      <c r="B34" s="42" t="inlineStr">
        <is>
          <t>Doctor</t>
        </is>
      </c>
      <c r="C34" s="29" t="n">
        <v>0</v>
      </c>
      <c r="D34" s="29" t="n">
        <v>0</v>
      </c>
      <c r="E34" s="28">
        <f>C34-D34</f>
        <v/>
      </c>
      <c r="F34" s="48">
        <f>IFERROR(D34/C34,0)</f>
        <v/>
      </c>
      <c r="G34" s="42" t="inlineStr"/>
    </row>
    <row r="35" ht="18" customHeight="1">
      <c r="A35" s="46" t="inlineStr">
        <is>
          <t>HEALTH &amp; WELLNESS</t>
        </is>
      </c>
      <c r="B35" s="46" t="inlineStr">
        <is>
          <t>Dental</t>
        </is>
      </c>
      <c r="C35" s="22" t="n">
        <v>0</v>
      </c>
      <c r="D35" s="22" t="n">
        <v>0</v>
      </c>
      <c r="E35" s="47">
        <f>C35-D35</f>
        <v/>
      </c>
      <c r="F35" s="34">
        <f>IFERROR(D35/C35,0)</f>
        <v/>
      </c>
      <c r="G35" s="46" t="inlineStr"/>
    </row>
    <row r="36" ht="20" customHeight="1">
      <c r="A36" s="49" t="inlineStr">
        <is>
          <t>Subtotal — HEALTH &amp; WELLNESS</t>
        </is>
      </c>
      <c r="B36" s="50" t="n"/>
      <c r="C36" s="51">
        <f>SUM(C31:C35)</f>
        <v/>
      </c>
      <c r="D36" s="51">
        <f>SUM(D31:D35)</f>
        <v/>
      </c>
      <c r="E36" s="51">
        <f>C36-D36</f>
        <v/>
      </c>
      <c r="F36" s="52">
        <f>IFERROR(D36/C36,0)</f>
        <v/>
      </c>
      <c r="G36" s="53" t="inlineStr"/>
    </row>
    <row r="37" ht="22" customHeight="1">
      <c r="A37" s="54" t="inlineStr">
        <is>
          <t>LIFESTYLE</t>
        </is>
      </c>
    </row>
    <row r="38" ht="18" customHeight="1">
      <c r="A38" s="46" t="inlineStr">
        <is>
          <t>LIFESTYLE</t>
        </is>
      </c>
      <c r="B38" s="46" t="inlineStr">
        <is>
          <t>Streaming Services</t>
        </is>
      </c>
      <c r="C38" s="22" t="n">
        <v>0</v>
      </c>
      <c r="D38" s="22" t="n">
        <v>0</v>
      </c>
      <c r="E38" s="47">
        <f>C38-D38</f>
        <v/>
      </c>
      <c r="F38" s="34">
        <f>IFERROR(D38/C38,0)</f>
        <v/>
      </c>
      <c r="G38" s="46" t="inlineStr"/>
    </row>
    <row r="39" ht="18" customHeight="1">
      <c r="A39" s="42" t="inlineStr">
        <is>
          <t>LIFESTYLE</t>
        </is>
      </c>
      <c r="B39" s="42" t="inlineStr">
        <is>
          <t>Entertainment</t>
        </is>
      </c>
      <c r="C39" s="29" t="n">
        <v>0</v>
      </c>
      <c r="D39" s="29" t="n">
        <v>0</v>
      </c>
      <c r="E39" s="28">
        <f>C39-D39</f>
        <v/>
      </c>
      <c r="F39" s="48">
        <f>IFERROR(D39/C39,0)</f>
        <v/>
      </c>
      <c r="G39" s="42" t="inlineStr"/>
    </row>
    <row r="40" ht="18" customHeight="1">
      <c r="A40" s="46" t="inlineStr">
        <is>
          <t>LIFESTYLE</t>
        </is>
      </c>
      <c r="B40" s="46" t="inlineStr">
        <is>
          <t>Hobbies</t>
        </is>
      </c>
      <c r="C40" s="22" t="n">
        <v>0</v>
      </c>
      <c r="D40" s="22" t="n">
        <v>0</v>
      </c>
      <c r="E40" s="47">
        <f>C40-D40</f>
        <v/>
      </c>
      <c r="F40" s="34">
        <f>IFERROR(D40/C40,0)</f>
        <v/>
      </c>
      <c r="G40" s="46" t="inlineStr"/>
    </row>
    <row r="41" ht="18" customHeight="1">
      <c r="A41" s="42" t="inlineStr">
        <is>
          <t>LIFESTYLE</t>
        </is>
      </c>
      <c r="B41" s="42" t="inlineStr">
        <is>
          <t>Personal Care</t>
        </is>
      </c>
      <c r="C41" s="29" t="n">
        <v>0</v>
      </c>
      <c r="D41" s="29" t="n">
        <v>0</v>
      </c>
      <c r="E41" s="28">
        <f>C41-D41</f>
        <v/>
      </c>
      <c r="F41" s="48">
        <f>IFERROR(D41/C41,0)</f>
        <v/>
      </c>
      <c r="G41" s="42" t="inlineStr"/>
    </row>
    <row r="42" ht="18" customHeight="1">
      <c r="A42" s="46" t="inlineStr">
        <is>
          <t>LIFESTYLE</t>
        </is>
      </c>
      <c r="B42" s="46" t="inlineStr">
        <is>
          <t>Books</t>
        </is>
      </c>
      <c r="C42" s="22" t="n">
        <v>0</v>
      </c>
      <c r="D42" s="22" t="n">
        <v>0</v>
      </c>
      <c r="E42" s="47">
        <f>C42-D42</f>
        <v/>
      </c>
      <c r="F42" s="34">
        <f>IFERROR(D42/C42,0)</f>
        <v/>
      </c>
      <c r="G42" s="46" t="inlineStr"/>
    </row>
    <row r="43" ht="20" customHeight="1">
      <c r="A43" s="49" t="inlineStr">
        <is>
          <t>Subtotal — LIFESTYLE</t>
        </is>
      </c>
      <c r="B43" s="50" t="n"/>
      <c r="C43" s="51">
        <f>SUM(C38:C42)</f>
        <v/>
      </c>
      <c r="D43" s="51">
        <f>SUM(D38:D42)</f>
        <v/>
      </c>
      <c r="E43" s="51">
        <f>C43-D43</f>
        <v/>
      </c>
      <c r="F43" s="52">
        <f>IFERROR(D43/C43,0)</f>
        <v/>
      </c>
      <c r="G43" s="53" t="inlineStr"/>
    </row>
    <row r="44" ht="22" customHeight="1">
      <c r="A44" s="54" t="inlineStr">
        <is>
          <t>PERSONAL</t>
        </is>
      </c>
    </row>
    <row r="45" ht="18" customHeight="1">
      <c r="A45" s="46" t="inlineStr">
        <is>
          <t>PERSONAL</t>
        </is>
      </c>
      <c r="B45" s="46" t="inlineStr">
        <is>
          <t>Clothing</t>
        </is>
      </c>
      <c r="C45" s="22" t="n">
        <v>0</v>
      </c>
      <c r="D45" s="22" t="n">
        <v>0</v>
      </c>
      <c r="E45" s="47">
        <f>C45-D45</f>
        <v/>
      </c>
      <c r="F45" s="34">
        <f>IFERROR(D45/C45,0)</f>
        <v/>
      </c>
      <c r="G45" s="46" t="inlineStr"/>
    </row>
    <row r="46" ht="18" customHeight="1">
      <c r="A46" s="42" t="inlineStr">
        <is>
          <t>PERSONAL</t>
        </is>
      </c>
      <c r="B46" s="42" t="inlineStr">
        <is>
          <t>Gifts</t>
        </is>
      </c>
      <c r="C46" s="29" t="n">
        <v>0</v>
      </c>
      <c r="D46" s="29" t="n">
        <v>0</v>
      </c>
      <c r="E46" s="28">
        <f>C46-D46</f>
        <v/>
      </c>
      <c r="F46" s="48">
        <f>IFERROR(D46/C46,0)</f>
        <v/>
      </c>
      <c r="G46" s="42" t="inlineStr"/>
    </row>
    <row r="47" ht="18" customHeight="1">
      <c r="A47" s="46" t="inlineStr">
        <is>
          <t>PERSONAL</t>
        </is>
      </c>
      <c r="B47" s="46" t="inlineStr">
        <is>
          <t>Education</t>
        </is>
      </c>
      <c r="C47" s="22" t="n">
        <v>0</v>
      </c>
      <c r="D47" s="22" t="n">
        <v>0</v>
      </c>
      <c r="E47" s="47">
        <f>C47-D47</f>
        <v/>
      </c>
      <c r="F47" s="34">
        <f>IFERROR(D47/C47,0)</f>
        <v/>
      </c>
      <c r="G47" s="46" t="inlineStr"/>
    </row>
    <row r="48" ht="18" customHeight="1">
      <c r="A48" s="42" t="inlineStr">
        <is>
          <t>PERSONAL</t>
        </is>
      </c>
      <c r="B48" s="42" t="inlineStr">
        <is>
          <t>Pet Care</t>
        </is>
      </c>
      <c r="C48" s="29" t="n">
        <v>0</v>
      </c>
      <c r="D48" s="29" t="n">
        <v>0</v>
      </c>
      <c r="E48" s="28">
        <f>C48-D48</f>
        <v/>
      </c>
      <c r="F48" s="48">
        <f>IFERROR(D48/C48,0)</f>
        <v/>
      </c>
      <c r="G48" s="42" t="inlineStr"/>
    </row>
    <row r="49" ht="18" customHeight="1">
      <c r="A49" s="46" t="inlineStr">
        <is>
          <t>PERSONAL</t>
        </is>
      </c>
      <c r="B49" s="46" t="inlineStr">
        <is>
          <t>Miscellaneous</t>
        </is>
      </c>
      <c r="C49" s="22" t="n">
        <v>0</v>
      </c>
      <c r="D49" s="22" t="n">
        <v>0</v>
      </c>
      <c r="E49" s="47">
        <f>C49-D49</f>
        <v/>
      </c>
      <c r="F49" s="34">
        <f>IFERROR(D49/C49,0)</f>
        <v/>
      </c>
      <c r="G49" s="46" t="inlineStr"/>
    </row>
    <row r="50" ht="20" customHeight="1">
      <c r="A50" s="49" t="inlineStr">
        <is>
          <t>Subtotal — PERSONAL</t>
        </is>
      </c>
      <c r="B50" s="50" t="n"/>
      <c r="C50" s="51">
        <f>SUM(C45:C49)</f>
        <v/>
      </c>
      <c r="D50" s="51">
        <f>SUM(D45:D49)</f>
        <v/>
      </c>
      <c r="E50" s="51">
        <f>C50-D50</f>
        <v/>
      </c>
      <c r="F50" s="52">
        <f>IFERROR(D50/C50,0)</f>
        <v/>
      </c>
      <c r="G50" s="53" t="inlineStr"/>
    </row>
    <row r="51" ht="22" customHeight="1">
      <c r="A51" s="54" t="inlineStr">
        <is>
          <t>SAVINGS &amp; INVESTMENTS</t>
        </is>
      </c>
    </row>
    <row r="52" ht="18" customHeight="1">
      <c r="A52" s="46" t="inlineStr">
        <is>
          <t>SAVINGS &amp; INVESTMENTS</t>
        </is>
      </c>
      <c r="B52" s="46" t="inlineStr">
        <is>
          <t>Emergency Fund</t>
        </is>
      </c>
      <c r="C52" s="22" t="n">
        <v>0</v>
      </c>
      <c r="D52" s="22" t="n">
        <v>0</v>
      </c>
      <c r="E52" s="47">
        <f>C52-D52</f>
        <v/>
      </c>
      <c r="F52" s="34">
        <f>IFERROR(D52/C52,0)</f>
        <v/>
      </c>
      <c r="G52" s="46" t="inlineStr"/>
    </row>
    <row r="53" ht="18" customHeight="1">
      <c r="A53" s="42" t="inlineStr">
        <is>
          <t>SAVINGS &amp; INVESTMENTS</t>
        </is>
      </c>
      <c r="B53" s="42" t="inlineStr">
        <is>
          <t>Pension/IRA</t>
        </is>
      </c>
      <c r="C53" s="29" t="n">
        <v>0</v>
      </c>
      <c r="D53" s="29" t="n">
        <v>0</v>
      </c>
      <c r="E53" s="28">
        <f>C53-D53</f>
        <v/>
      </c>
      <c r="F53" s="48">
        <f>IFERROR(D53/C53,0)</f>
        <v/>
      </c>
      <c r="G53" s="42" t="inlineStr"/>
    </row>
    <row r="54" ht="18" customHeight="1">
      <c r="A54" s="46" t="inlineStr">
        <is>
          <t>SAVINGS &amp; INVESTMENTS</t>
        </is>
      </c>
      <c r="B54" s="46" t="inlineStr">
        <is>
          <t>Stocks</t>
        </is>
      </c>
      <c r="C54" s="22" t="n">
        <v>0</v>
      </c>
      <c r="D54" s="22" t="n">
        <v>0</v>
      </c>
      <c r="E54" s="47">
        <f>C54-D54</f>
        <v/>
      </c>
      <c r="F54" s="34">
        <f>IFERROR(D54/C54,0)</f>
        <v/>
      </c>
      <c r="G54" s="46" t="inlineStr"/>
    </row>
    <row r="55" ht="18" customHeight="1">
      <c r="A55" s="42" t="inlineStr">
        <is>
          <t>SAVINGS &amp; INVESTMENTS</t>
        </is>
      </c>
      <c r="B55" s="42" t="inlineStr">
        <is>
          <t>Vacation Fund</t>
        </is>
      </c>
      <c r="C55" s="29" t="n">
        <v>0</v>
      </c>
      <c r="D55" s="29" t="n">
        <v>0</v>
      </c>
      <c r="E55" s="28">
        <f>C55-D55</f>
        <v/>
      </c>
      <c r="F55" s="48">
        <f>IFERROR(D55/C55,0)</f>
        <v/>
      </c>
      <c r="G55" s="42" t="inlineStr"/>
    </row>
    <row r="56" ht="18" customHeight="1">
      <c r="A56" s="46" t="inlineStr">
        <is>
          <t>SAVINGS &amp; INVESTMENTS</t>
        </is>
      </c>
      <c r="B56" s="46" t="inlineStr">
        <is>
          <t>Other Savings</t>
        </is>
      </c>
      <c r="C56" s="22" t="n">
        <v>0</v>
      </c>
      <c r="D56" s="22" t="n">
        <v>0</v>
      </c>
      <c r="E56" s="47">
        <f>C56-D56</f>
        <v/>
      </c>
      <c r="F56" s="34">
        <f>IFERROR(D56/C56,0)</f>
        <v/>
      </c>
      <c r="G56" s="46" t="inlineStr"/>
    </row>
    <row r="57" ht="20" customHeight="1">
      <c r="A57" s="49" t="inlineStr">
        <is>
          <t>Subtotal — SAVINGS &amp; INVESTMENTS</t>
        </is>
      </c>
      <c r="B57" s="50" t="n"/>
      <c r="C57" s="51">
        <f>SUM(C52:C56)</f>
        <v/>
      </c>
      <c r="D57" s="51">
        <f>SUM(D52:D56)</f>
        <v/>
      </c>
      <c r="E57" s="51">
        <f>C57-D57</f>
        <v/>
      </c>
      <c r="F57" s="52">
        <f>IFERROR(D57/C57,0)</f>
        <v/>
      </c>
      <c r="G57" s="53" t="inlineStr"/>
    </row>
    <row r="58" ht="22" customHeight="1">
      <c r="A58" s="54" t="inlineStr">
        <is>
          <t>DEBT PAYMENTS</t>
        </is>
      </c>
    </row>
    <row r="59" ht="18" customHeight="1">
      <c r="A59" s="46" t="inlineStr">
        <is>
          <t>DEBT PAYMENTS</t>
        </is>
      </c>
      <c r="B59" s="46" t="inlineStr">
        <is>
          <t>Credit Card 1</t>
        </is>
      </c>
      <c r="C59" s="22" t="n">
        <v>0</v>
      </c>
      <c r="D59" s="22" t="n">
        <v>0</v>
      </c>
      <c r="E59" s="47">
        <f>C59-D59</f>
        <v/>
      </c>
      <c r="F59" s="34">
        <f>IFERROR(D59/C59,0)</f>
        <v/>
      </c>
      <c r="G59" s="46" t="inlineStr"/>
    </row>
    <row r="60" ht="18" customHeight="1">
      <c r="A60" s="42" t="inlineStr">
        <is>
          <t>DEBT PAYMENTS</t>
        </is>
      </c>
      <c r="B60" s="42" t="inlineStr">
        <is>
          <t>Credit Card 2</t>
        </is>
      </c>
      <c r="C60" s="29" t="n">
        <v>0</v>
      </c>
      <c r="D60" s="29" t="n">
        <v>0</v>
      </c>
      <c r="E60" s="28">
        <f>C60-D60</f>
        <v/>
      </c>
      <c r="F60" s="48">
        <f>IFERROR(D60/C60,0)</f>
        <v/>
      </c>
      <c r="G60" s="42" t="inlineStr"/>
    </row>
    <row r="61" ht="18" customHeight="1">
      <c r="A61" s="46" t="inlineStr">
        <is>
          <t>DEBT PAYMENTS</t>
        </is>
      </c>
      <c r="B61" s="46" t="inlineStr">
        <is>
          <t>Student Loan</t>
        </is>
      </c>
      <c r="C61" s="22" t="n">
        <v>0</v>
      </c>
      <c r="D61" s="22" t="n">
        <v>0</v>
      </c>
      <c r="E61" s="47">
        <f>C61-D61</f>
        <v/>
      </c>
      <c r="F61" s="34">
        <f>IFERROR(D61/C61,0)</f>
        <v/>
      </c>
      <c r="G61" s="46" t="inlineStr"/>
    </row>
    <row r="62" ht="18" customHeight="1">
      <c r="A62" s="42" t="inlineStr">
        <is>
          <t>DEBT PAYMENTS</t>
        </is>
      </c>
      <c r="B62" s="42" t="inlineStr">
        <is>
          <t>Car Loan</t>
        </is>
      </c>
      <c r="C62" s="29" t="n">
        <v>0</v>
      </c>
      <c r="D62" s="29" t="n">
        <v>0</v>
      </c>
      <c r="E62" s="28">
        <f>C62-D62</f>
        <v/>
      </c>
      <c r="F62" s="48">
        <f>IFERROR(D62/C62,0)</f>
        <v/>
      </c>
      <c r="G62" s="42" t="inlineStr"/>
    </row>
    <row r="63" ht="18" customHeight="1">
      <c r="A63" s="46" t="inlineStr">
        <is>
          <t>DEBT PAYMENTS</t>
        </is>
      </c>
      <c r="B63" s="46" t="inlineStr">
        <is>
          <t>Other</t>
        </is>
      </c>
      <c r="C63" s="22" t="n">
        <v>0</v>
      </c>
      <c r="D63" s="22" t="n">
        <v>0</v>
      </c>
      <c r="E63" s="47">
        <f>C63-D63</f>
        <v/>
      </c>
      <c r="F63" s="34">
        <f>IFERROR(D63/C63,0)</f>
        <v/>
      </c>
      <c r="G63" s="46" t="inlineStr"/>
    </row>
    <row r="64" ht="20" customHeight="1">
      <c r="A64" s="49" t="inlineStr">
        <is>
          <t>Subtotal — DEBT PAYMENTS</t>
        </is>
      </c>
      <c r="B64" s="50" t="n"/>
      <c r="C64" s="51">
        <f>SUM(C59:C63)</f>
        <v/>
      </c>
      <c r="D64" s="51">
        <f>SUM(D59:D63)</f>
        <v/>
      </c>
      <c r="E64" s="51">
        <f>C64-D64</f>
        <v/>
      </c>
      <c r="F64" s="52">
        <f>IFERROR(D64/C64,0)</f>
        <v/>
      </c>
      <c r="G64" s="53" t="inlineStr"/>
    </row>
    <row r="65" ht="24" customHeight="1">
      <c r="A65" s="55" t="inlineStr">
        <is>
          <t>GRAND TOTAL EXPENSES</t>
        </is>
      </c>
      <c r="B65" s="7" t="n"/>
      <c r="C65" s="56">
        <f>C15+C22+C29+C36+C43+C50+C57+C64</f>
        <v/>
      </c>
      <c r="D65" s="56">
        <f>D15+D22+D29+D36+D43+D50+D57+D64</f>
        <v/>
      </c>
      <c r="E65" s="56">
        <f>C65-D65</f>
        <v/>
      </c>
      <c r="F65" s="57" t="inlineStr"/>
      <c r="G65" s="57" t="inlineStr"/>
    </row>
    <row r="66" ht="26" customHeight="1">
      <c r="A66" s="58" t="inlineStr">
        <is>
          <t>NET CASH FLOW</t>
        </is>
      </c>
      <c r="B66" s="4" t="n"/>
      <c r="C66" s="59">
        <f>C8-C65</f>
        <v/>
      </c>
      <c r="D66" s="59">
        <f>D8-D65</f>
        <v/>
      </c>
      <c r="E66" s="59">
        <f>C66-D66</f>
        <v/>
      </c>
      <c r="F66" s="60" t="inlineStr"/>
      <c r="G66" s="60" t="inlineStr"/>
    </row>
    <row r="68" ht="18" customHeight="1">
      <c r="I68" s="12" t="inlineStr">
        <is>
          <t>Category</t>
        </is>
      </c>
      <c r="J68" s="12" t="inlineStr">
        <is>
          <t>Budgeted</t>
        </is>
      </c>
      <c r="K68" s="12" t="inlineStr">
        <is>
          <t>Actual</t>
        </is>
      </c>
    </row>
    <row r="69" ht="18" customHeight="1">
      <c r="I69" s="46" t="inlineStr">
        <is>
          <t>HOUSING</t>
        </is>
      </c>
      <c r="J69" s="47">
        <f>C15</f>
        <v/>
      </c>
      <c r="K69" s="47">
        <f>D15</f>
        <v/>
      </c>
    </row>
    <row r="70" ht="18" customHeight="1">
      <c r="I70" s="42" t="inlineStr">
        <is>
          <t>TRANSPORT</t>
        </is>
      </c>
      <c r="J70" s="28">
        <f>C22</f>
        <v/>
      </c>
      <c r="K70" s="28">
        <f>D22</f>
        <v/>
      </c>
    </row>
    <row r="71" ht="18" customHeight="1">
      <c r="I71" s="46" t="inlineStr">
        <is>
          <t>FOOD &amp; DINING</t>
        </is>
      </c>
      <c r="J71" s="47">
        <f>C29</f>
        <v/>
      </c>
      <c r="K71" s="47">
        <f>D29</f>
        <v/>
      </c>
    </row>
    <row r="72" ht="18" customHeight="1">
      <c r="I72" s="42" t="inlineStr">
        <is>
          <t>HEALTH &amp; WELLNESS</t>
        </is>
      </c>
      <c r="J72" s="28">
        <f>C36</f>
        <v/>
      </c>
      <c r="K72" s="28">
        <f>D36</f>
        <v/>
      </c>
    </row>
    <row r="73" ht="18" customHeight="1">
      <c r="I73" s="46" t="inlineStr">
        <is>
          <t>LIFESTYLE</t>
        </is>
      </c>
      <c r="J73" s="47">
        <f>C43</f>
        <v/>
      </c>
      <c r="K73" s="47">
        <f>D43</f>
        <v/>
      </c>
    </row>
    <row r="74" ht="18" customHeight="1">
      <c r="I74" s="42" t="inlineStr">
        <is>
          <t>PERSONAL</t>
        </is>
      </c>
      <c r="J74" s="28">
        <f>C50</f>
        <v/>
      </c>
      <c r="K74" s="28">
        <f>D50</f>
        <v/>
      </c>
    </row>
    <row r="75" ht="18" customHeight="1">
      <c r="I75" s="46" t="inlineStr">
        <is>
          <t>SAVINGS &amp; INVESTMENTS</t>
        </is>
      </c>
      <c r="J75" s="47">
        <f>C57</f>
        <v/>
      </c>
      <c r="K75" s="47">
        <f>D57</f>
        <v/>
      </c>
    </row>
    <row r="76" ht="18" customHeight="1">
      <c r="I76" s="42" t="inlineStr">
        <is>
          <t>DEBT PAYMENTS</t>
        </is>
      </c>
      <c r="J76" s="28">
        <f>C64</f>
        <v/>
      </c>
      <c r="K76" s="28">
        <f>D64</f>
        <v/>
      </c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5C8A52"/>
    <outlinePr summaryBelow="1" summaryRight="1"/>
    <pageSetUpPr/>
  </sheetPr>
  <dimension ref="A1:K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4" customWidth="1" min="5" max="5"/>
    <col width="11" customWidth="1" min="6" max="6"/>
    <col width="20" customWidth="1" min="7" max="7"/>
  </cols>
  <sheetData>
    <row r="1" ht="48" customHeight="1">
      <c r="A1" s="44" t="inlineStr">
        <is>
          <t>SEPTEMBER  ·  MONTHLY BUDGET</t>
        </is>
      </c>
    </row>
    <row r="2" ht="20" customHeight="1">
      <c r="A2" s="2" t="inlineStr">
        <is>
          <t>Track your income and expenses for September</t>
        </is>
      </c>
    </row>
    <row r="3" ht="22" customHeight="1">
      <c r="A3" s="3" t="inlineStr">
        <is>
          <t>CATEGORY</t>
        </is>
      </c>
      <c r="B3" s="3" t="inlineStr">
        <is>
          <t>SUBCATEGORY</t>
        </is>
      </c>
      <c r="C3" s="3" t="inlineStr">
        <is>
          <t>BUDGETED</t>
        </is>
      </c>
      <c r="D3" s="3" t="inlineStr">
        <is>
          <t>ACTUAL</t>
        </is>
      </c>
      <c r="E3" s="3" t="inlineStr">
        <is>
          <t>DIFFERENCE</t>
        </is>
      </c>
      <c r="F3" s="3" t="inlineStr">
        <is>
          <t>% USED</t>
        </is>
      </c>
      <c r="G3" s="3" t="inlineStr">
        <is>
          <t>NOTES</t>
        </is>
      </c>
    </row>
    <row r="4" ht="22" customHeight="1">
      <c r="A4" s="45" t="inlineStr">
        <is>
          <t>INCOME</t>
        </is>
      </c>
    </row>
    <row r="5" ht="18" customHeight="1">
      <c r="A5" s="46" t="inlineStr">
        <is>
          <t>INCOME</t>
        </is>
      </c>
      <c r="B5" s="46" t="inlineStr">
        <is>
          <t>Primary Income</t>
        </is>
      </c>
      <c r="C5" s="22" t="n">
        <v>0</v>
      </c>
      <c r="D5" s="22" t="n">
        <v>0</v>
      </c>
      <c r="E5" s="47">
        <f>C5-D5</f>
        <v/>
      </c>
      <c r="F5" s="34">
        <f>IFERROR(D5/C5,0)</f>
        <v/>
      </c>
      <c r="G5" s="46" t="inlineStr"/>
    </row>
    <row r="6" ht="18" customHeight="1">
      <c r="A6" s="42" t="inlineStr">
        <is>
          <t>INCOME</t>
        </is>
      </c>
      <c r="B6" s="42" t="inlineStr">
        <is>
          <t>Side Income</t>
        </is>
      </c>
      <c r="C6" s="29" t="n">
        <v>0</v>
      </c>
      <c r="D6" s="29" t="n">
        <v>0</v>
      </c>
      <c r="E6" s="28">
        <f>C6-D6</f>
        <v/>
      </c>
      <c r="F6" s="48">
        <f>IFERROR(D6/C6,0)</f>
        <v/>
      </c>
      <c r="G6" s="42" t="inlineStr"/>
    </row>
    <row r="7" ht="18" customHeight="1">
      <c r="A7" s="46" t="inlineStr">
        <is>
          <t>INCOME</t>
        </is>
      </c>
      <c r="B7" s="46" t="inlineStr">
        <is>
          <t>Other Income</t>
        </is>
      </c>
      <c r="C7" s="22" t="n">
        <v>0</v>
      </c>
      <c r="D7" s="22" t="n">
        <v>0</v>
      </c>
      <c r="E7" s="47">
        <f>C7-D7</f>
        <v/>
      </c>
      <c r="F7" s="34">
        <f>IFERROR(D7/C7,0)</f>
        <v/>
      </c>
      <c r="G7" s="46" t="inlineStr"/>
    </row>
    <row r="8" ht="20" customHeight="1">
      <c r="A8" s="49" t="inlineStr">
        <is>
          <t>TOTAL INCOME</t>
        </is>
      </c>
      <c r="B8" s="50" t="n"/>
      <c r="C8" s="51">
        <f>SUM(C5:C7)</f>
        <v/>
      </c>
      <c r="D8" s="51">
        <f>SUM(D5:D7)</f>
        <v/>
      </c>
      <c r="E8" s="51">
        <f>C8-D8</f>
        <v/>
      </c>
      <c r="F8" s="52">
        <f>IFERROR(D8/C8,0)</f>
        <v/>
      </c>
      <c r="G8" s="53" t="inlineStr"/>
    </row>
    <row r="9" ht="22" customHeight="1">
      <c r="A9" s="54" t="inlineStr">
        <is>
          <t>HOUSING</t>
        </is>
      </c>
    </row>
    <row r="10" ht="18" customHeight="1">
      <c r="A10" s="46" t="inlineStr">
        <is>
          <t>HOUSING</t>
        </is>
      </c>
      <c r="B10" s="46" t="inlineStr">
        <is>
          <t>Rent/Mortgage</t>
        </is>
      </c>
      <c r="C10" s="22" t="n">
        <v>0</v>
      </c>
      <c r="D10" s="22" t="n">
        <v>0</v>
      </c>
      <c r="E10" s="47">
        <f>C10-D10</f>
        <v/>
      </c>
      <c r="F10" s="34">
        <f>IFERROR(D10/C10,0)</f>
        <v/>
      </c>
      <c r="G10" s="46" t="inlineStr"/>
    </row>
    <row r="11" ht="18" customHeight="1">
      <c r="A11" s="42" t="inlineStr">
        <is>
          <t>HOUSING</t>
        </is>
      </c>
      <c r="B11" s="42" t="inlineStr">
        <is>
          <t>Utilities</t>
        </is>
      </c>
      <c r="C11" s="29" t="n">
        <v>0</v>
      </c>
      <c r="D11" s="29" t="n">
        <v>0</v>
      </c>
      <c r="E11" s="28">
        <f>C11-D11</f>
        <v/>
      </c>
      <c r="F11" s="48">
        <f>IFERROR(D11/C11,0)</f>
        <v/>
      </c>
      <c r="G11" s="42" t="inlineStr"/>
    </row>
    <row r="12" ht="18" customHeight="1">
      <c r="A12" s="46" t="inlineStr">
        <is>
          <t>HOUSING</t>
        </is>
      </c>
      <c r="B12" s="46" t="inlineStr">
        <is>
          <t>Electricity</t>
        </is>
      </c>
      <c r="C12" s="22" t="n">
        <v>0</v>
      </c>
      <c r="D12" s="22" t="n">
        <v>0</v>
      </c>
      <c r="E12" s="47">
        <f>C12-D12</f>
        <v/>
      </c>
      <c r="F12" s="34">
        <f>IFERROR(D12/C12,0)</f>
        <v/>
      </c>
      <c r="G12" s="46" t="inlineStr"/>
    </row>
    <row r="13" ht="18" customHeight="1">
      <c r="A13" s="42" t="inlineStr">
        <is>
          <t>HOUSING</t>
        </is>
      </c>
      <c r="B13" s="42" t="inlineStr">
        <is>
          <t>Internet</t>
        </is>
      </c>
      <c r="C13" s="29" t="n">
        <v>0</v>
      </c>
      <c r="D13" s="29" t="n">
        <v>0</v>
      </c>
      <c r="E13" s="28">
        <f>C13-D13</f>
        <v/>
      </c>
      <c r="F13" s="48">
        <f>IFERROR(D13/C13,0)</f>
        <v/>
      </c>
      <c r="G13" s="42" t="inlineStr"/>
    </row>
    <row r="14" ht="18" customHeight="1">
      <c r="A14" s="46" t="inlineStr">
        <is>
          <t>HOUSING</t>
        </is>
      </c>
      <c r="B14" s="46" t="inlineStr">
        <is>
          <t>Home Insurance</t>
        </is>
      </c>
      <c r="C14" s="22" t="n">
        <v>0</v>
      </c>
      <c r="D14" s="22" t="n">
        <v>0</v>
      </c>
      <c r="E14" s="47">
        <f>C14-D14</f>
        <v/>
      </c>
      <c r="F14" s="34">
        <f>IFERROR(D14/C14,0)</f>
        <v/>
      </c>
      <c r="G14" s="46" t="inlineStr"/>
    </row>
    <row r="15" ht="20" customHeight="1">
      <c r="A15" s="49" t="inlineStr">
        <is>
          <t>Subtotal — HOUSING</t>
        </is>
      </c>
      <c r="B15" s="50" t="n"/>
      <c r="C15" s="51">
        <f>SUM(C10:C14)</f>
        <v/>
      </c>
      <c r="D15" s="51">
        <f>SUM(D10:D14)</f>
        <v/>
      </c>
      <c r="E15" s="51">
        <f>C15-D15</f>
        <v/>
      </c>
      <c r="F15" s="52">
        <f>IFERROR(D15/C15,0)</f>
        <v/>
      </c>
      <c r="G15" s="53" t="inlineStr"/>
    </row>
    <row r="16" ht="22" customHeight="1">
      <c r="A16" s="54" t="inlineStr">
        <is>
          <t>TRANSPORT</t>
        </is>
      </c>
    </row>
    <row r="17" ht="18" customHeight="1">
      <c r="A17" s="46" t="inlineStr">
        <is>
          <t>TRANSPORT</t>
        </is>
      </c>
      <c r="B17" s="46" t="inlineStr">
        <is>
          <t>Car Payment</t>
        </is>
      </c>
      <c r="C17" s="22" t="n">
        <v>0</v>
      </c>
      <c r="D17" s="22" t="n">
        <v>0</v>
      </c>
      <c r="E17" s="47">
        <f>C17-D17</f>
        <v/>
      </c>
      <c r="F17" s="34">
        <f>IFERROR(D17/C17,0)</f>
        <v/>
      </c>
      <c r="G17" s="46" t="inlineStr"/>
    </row>
    <row r="18" ht="18" customHeight="1">
      <c r="A18" s="42" t="inlineStr">
        <is>
          <t>TRANSPORT</t>
        </is>
      </c>
      <c r="B18" s="42" t="inlineStr">
        <is>
          <t>Fuel</t>
        </is>
      </c>
      <c r="C18" s="29" t="n">
        <v>0</v>
      </c>
      <c r="D18" s="29" t="n">
        <v>0</v>
      </c>
      <c r="E18" s="28">
        <f>C18-D18</f>
        <v/>
      </c>
      <c r="F18" s="48">
        <f>IFERROR(D18/C18,0)</f>
        <v/>
      </c>
      <c r="G18" s="42" t="inlineStr"/>
    </row>
    <row r="19" ht="18" customHeight="1">
      <c r="A19" s="46" t="inlineStr">
        <is>
          <t>TRANSPORT</t>
        </is>
      </c>
      <c r="B19" s="46" t="inlineStr">
        <is>
          <t>Car Insurance</t>
        </is>
      </c>
      <c r="C19" s="22" t="n">
        <v>0</v>
      </c>
      <c r="D19" s="22" t="n">
        <v>0</v>
      </c>
      <c r="E19" s="47">
        <f>C19-D19</f>
        <v/>
      </c>
      <c r="F19" s="34">
        <f>IFERROR(D19/C19,0)</f>
        <v/>
      </c>
      <c r="G19" s="46" t="inlineStr"/>
    </row>
    <row r="20" ht="18" customHeight="1">
      <c r="A20" s="42" t="inlineStr">
        <is>
          <t>TRANSPORT</t>
        </is>
      </c>
      <c r="B20" s="42" t="inlineStr">
        <is>
          <t>Parking</t>
        </is>
      </c>
      <c r="C20" s="29" t="n">
        <v>0</v>
      </c>
      <c r="D20" s="29" t="n">
        <v>0</v>
      </c>
      <c r="E20" s="28">
        <f>C20-D20</f>
        <v/>
      </c>
      <c r="F20" s="48">
        <f>IFERROR(D20/C20,0)</f>
        <v/>
      </c>
      <c r="G20" s="42" t="inlineStr"/>
    </row>
    <row r="21" ht="18" customHeight="1">
      <c r="A21" s="46" t="inlineStr">
        <is>
          <t>TRANSPORT</t>
        </is>
      </c>
      <c r="B21" s="46" t="inlineStr">
        <is>
          <t>Public Transport</t>
        </is>
      </c>
      <c r="C21" s="22" t="n">
        <v>0</v>
      </c>
      <c r="D21" s="22" t="n">
        <v>0</v>
      </c>
      <c r="E21" s="47">
        <f>C21-D21</f>
        <v/>
      </c>
      <c r="F21" s="34">
        <f>IFERROR(D21/C21,0)</f>
        <v/>
      </c>
      <c r="G21" s="46" t="inlineStr"/>
    </row>
    <row r="22" ht="20" customHeight="1">
      <c r="A22" s="49" t="inlineStr">
        <is>
          <t>Subtotal — TRANSPORT</t>
        </is>
      </c>
      <c r="B22" s="50" t="n"/>
      <c r="C22" s="51">
        <f>SUM(C17:C21)</f>
        <v/>
      </c>
      <c r="D22" s="51">
        <f>SUM(D17:D21)</f>
        <v/>
      </c>
      <c r="E22" s="51">
        <f>C22-D22</f>
        <v/>
      </c>
      <c r="F22" s="52">
        <f>IFERROR(D22/C22,0)</f>
        <v/>
      </c>
      <c r="G22" s="53" t="inlineStr"/>
    </row>
    <row r="23" ht="22" customHeight="1">
      <c r="A23" s="54" t="inlineStr">
        <is>
          <t>FOOD &amp; DINING</t>
        </is>
      </c>
    </row>
    <row r="24" ht="18" customHeight="1">
      <c r="A24" s="46" t="inlineStr">
        <is>
          <t>FOOD &amp; DINING</t>
        </is>
      </c>
      <c r="B24" s="46" t="inlineStr">
        <is>
          <t>Groceries</t>
        </is>
      </c>
      <c r="C24" s="22" t="n">
        <v>0</v>
      </c>
      <c r="D24" s="22" t="n">
        <v>0</v>
      </c>
      <c r="E24" s="47">
        <f>C24-D24</f>
        <v/>
      </c>
      <c r="F24" s="34">
        <f>IFERROR(D24/C24,0)</f>
        <v/>
      </c>
      <c r="G24" s="46" t="inlineStr"/>
    </row>
    <row r="25" ht="18" customHeight="1">
      <c r="A25" s="42" t="inlineStr">
        <is>
          <t>FOOD &amp; DINING</t>
        </is>
      </c>
      <c r="B25" s="42" t="inlineStr">
        <is>
          <t>Restaurants</t>
        </is>
      </c>
      <c r="C25" s="29" t="n">
        <v>0</v>
      </c>
      <c r="D25" s="29" t="n">
        <v>0</v>
      </c>
      <c r="E25" s="28">
        <f>C25-D25</f>
        <v/>
      </c>
      <c r="F25" s="48">
        <f>IFERROR(D25/C25,0)</f>
        <v/>
      </c>
      <c r="G25" s="42" t="inlineStr"/>
    </row>
    <row r="26" ht="18" customHeight="1">
      <c r="A26" s="46" t="inlineStr">
        <is>
          <t>FOOD &amp; DINING</t>
        </is>
      </c>
      <c r="B26" s="46" t="inlineStr">
        <is>
          <t>Coffee</t>
        </is>
      </c>
      <c r="C26" s="22" t="n">
        <v>0</v>
      </c>
      <c r="D26" s="22" t="n">
        <v>0</v>
      </c>
      <c r="E26" s="47">
        <f>C26-D26</f>
        <v/>
      </c>
      <c r="F26" s="34">
        <f>IFERROR(D26/C26,0)</f>
        <v/>
      </c>
      <c r="G26" s="46" t="inlineStr"/>
    </row>
    <row r="27" ht="18" customHeight="1">
      <c r="A27" s="42" t="inlineStr">
        <is>
          <t>FOOD &amp; DINING</t>
        </is>
      </c>
      <c r="B27" s="42" t="inlineStr">
        <is>
          <t>Food Delivery</t>
        </is>
      </c>
      <c r="C27" s="29" t="n">
        <v>0</v>
      </c>
      <c r="D27" s="29" t="n">
        <v>0</v>
      </c>
      <c r="E27" s="28">
        <f>C27-D27</f>
        <v/>
      </c>
      <c r="F27" s="48">
        <f>IFERROR(D27/C27,0)</f>
        <v/>
      </c>
      <c r="G27" s="42" t="inlineStr"/>
    </row>
    <row r="28" ht="18" customHeight="1">
      <c r="A28" s="46" t="inlineStr">
        <is>
          <t>FOOD &amp; DINING</t>
        </is>
      </c>
      <c r="B28" s="46" t="inlineStr">
        <is>
          <t>Work Lunch</t>
        </is>
      </c>
      <c r="C28" s="22" t="n">
        <v>0</v>
      </c>
      <c r="D28" s="22" t="n">
        <v>0</v>
      </c>
      <c r="E28" s="47">
        <f>C28-D28</f>
        <v/>
      </c>
      <c r="F28" s="34">
        <f>IFERROR(D28/C28,0)</f>
        <v/>
      </c>
      <c r="G28" s="46" t="inlineStr"/>
    </row>
    <row r="29" ht="20" customHeight="1">
      <c r="A29" s="49" t="inlineStr">
        <is>
          <t>Subtotal — FOOD &amp; DINING</t>
        </is>
      </c>
      <c r="B29" s="50" t="n"/>
      <c r="C29" s="51">
        <f>SUM(C24:C28)</f>
        <v/>
      </c>
      <c r="D29" s="51">
        <f>SUM(D24:D28)</f>
        <v/>
      </c>
      <c r="E29" s="51">
        <f>C29-D29</f>
        <v/>
      </c>
      <c r="F29" s="52">
        <f>IFERROR(D29/C29,0)</f>
        <v/>
      </c>
      <c r="G29" s="53" t="inlineStr"/>
    </row>
    <row r="30" ht="22" customHeight="1">
      <c r="A30" s="54" t="inlineStr">
        <is>
          <t>HEALTH &amp; WELLNESS</t>
        </is>
      </c>
    </row>
    <row r="31" ht="18" customHeight="1">
      <c r="A31" s="46" t="inlineStr">
        <is>
          <t>HEALTH &amp; WELLNESS</t>
        </is>
      </c>
      <c r="B31" s="46" t="inlineStr">
        <is>
          <t>Health Insurance</t>
        </is>
      </c>
      <c r="C31" s="22" t="n">
        <v>0</v>
      </c>
      <c r="D31" s="22" t="n">
        <v>0</v>
      </c>
      <c r="E31" s="47">
        <f>C31-D31</f>
        <v/>
      </c>
      <c r="F31" s="34">
        <f>IFERROR(D31/C31,0)</f>
        <v/>
      </c>
      <c r="G31" s="46" t="inlineStr"/>
    </row>
    <row r="32" ht="18" customHeight="1">
      <c r="A32" s="42" t="inlineStr">
        <is>
          <t>HEALTH &amp; WELLNESS</t>
        </is>
      </c>
      <c r="B32" s="42" t="inlineStr">
        <is>
          <t>Gym</t>
        </is>
      </c>
      <c r="C32" s="29" t="n">
        <v>0</v>
      </c>
      <c r="D32" s="29" t="n">
        <v>0</v>
      </c>
      <c r="E32" s="28">
        <f>C32-D32</f>
        <v/>
      </c>
      <c r="F32" s="48">
        <f>IFERROR(D32/C32,0)</f>
        <v/>
      </c>
      <c r="G32" s="42" t="inlineStr"/>
    </row>
    <row r="33" ht="18" customHeight="1">
      <c r="A33" s="46" t="inlineStr">
        <is>
          <t>HEALTH &amp; WELLNESS</t>
        </is>
      </c>
      <c r="B33" s="46" t="inlineStr">
        <is>
          <t>Pharmacy</t>
        </is>
      </c>
      <c r="C33" s="22" t="n">
        <v>0</v>
      </c>
      <c r="D33" s="22" t="n">
        <v>0</v>
      </c>
      <c r="E33" s="47">
        <f>C33-D33</f>
        <v/>
      </c>
      <c r="F33" s="34">
        <f>IFERROR(D33/C33,0)</f>
        <v/>
      </c>
      <c r="G33" s="46" t="inlineStr"/>
    </row>
    <row r="34" ht="18" customHeight="1">
      <c r="A34" s="42" t="inlineStr">
        <is>
          <t>HEALTH &amp; WELLNESS</t>
        </is>
      </c>
      <c r="B34" s="42" t="inlineStr">
        <is>
          <t>Doctor</t>
        </is>
      </c>
      <c r="C34" s="29" t="n">
        <v>0</v>
      </c>
      <c r="D34" s="29" t="n">
        <v>0</v>
      </c>
      <c r="E34" s="28">
        <f>C34-D34</f>
        <v/>
      </c>
      <c r="F34" s="48">
        <f>IFERROR(D34/C34,0)</f>
        <v/>
      </c>
      <c r="G34" s="42" t="inlineStr"/>
    </row>
    <row r="35" ht="18" customHeight="1">
      <c r="A35" s="46" t="inlineStr">
        <is>
          <t>HEALTH &amp; WELLNESS</t>
        </is>
      </c>
      <c r="B35" s="46" t="inlineStr">
        <is>
          <t>Dental</t>
        </is>
      </c>
      <c r="C35" s="22" t="n">
        <v>0</v>
      </c>
      <c r="D35" s="22" t="n">
        <v>0</v>
      </c>
      <c r="E35" s="47">
        <f>C35-D35</f>
        <v/>
      </c>
      <c r="F35" s="34">
        <f>IFERROR(D35/C35,0)</f>
        <v/>
      </c>
      <c r="G35" s="46" t="inlineStr"/>
    </row>
    <row r="36" ht="20" customHeight="1">
      <c r="A36" s="49" t="inlineStr">
        <is>
          <t>Subtotal — HEALTH &amp; WELLNESS</t>
        </is>
      </c>
      <c r="B36" s="50" t="n"/>
      <c r="C36" s="51">
        <f>SUM(C31:C35)</f>
        <v/>
      </c>
      <c r="D36" s="51">
        <f>SUM(D31:D35)</f>
        <v/>
      </c>
      <c r="E36" s="51">
        <f>C36-D36</f>
        <v/>
      </c>
      <c r="F36" s="52">
        <f>IFERROR(D36/C36,0)</f>
        <v/>
      </c>
      <c r="G36" s="53" t="inlineStr"/>
    </row>
    <row r="37" ht="22" customHeight="1">
      <c r="A37" s="54" t="inlineStr">
        <is>
          <t>LIFESTYLE</t>
        </is>
      </c>
    </row>
    <row r="38" ht="18" customHeight="1">
      <c r="A38" s="46" t="inlineStr">
        <is>
          <t>LIFESTYLE</t>
        </is>
      </c>
      <c r="B38" s="46" t="inlineStr">
        <is>
          <t>Streaming Services</t>
        </is>
      </c>
      <c r="C38" s="22" t="n">
        <v>0</v>
      </c>
      <c r="D38" s="22" t="n">
        <v>0</v>
      </c>
      <c r="E38" s="47">
        <f>C38-D38</f>
        <v/>
      </c>
      <c r="F38" s="34">
        <f>IFERROR(D38/C38,0)</f>
        <v/>
      </c>
      <c r="G38" s="46" t="inlineStr"/>
    </row>
    <row r="39" ht="18" customHeight="1">
      <c r="A39" s="42" t="inlineStr">
        <is>
          <t>LIFESTYLE</t>
        </is>
      </c>
      <c r="B39" s="42" t="inlineStr">
        <is>
          <t>Entertainment</t>
        </is>
      </c>
      <c r="C39" s="29" t="n">
        <v>0</v>
      </c>
      <c r="D39" s="29" t="n">
        <v>0</v>
      </c>
      <c r="E39" s="28">
        <f>C39-D39</f>
        <v/>
      </c>
      <c r="F39" s="48">
        <f>IFERROR(D39/C39,0)</f>
        <v/>
      </c>
      <c r="G39" s="42" t="inlineStr"/>
    </row>
    <row r="40" ht="18" customHeight="1">
      <c r="A40" s="46" t="inlineStr">
        <is>
          <t>LIFESTYLE</t>
        </is>
      </c>
      <c r="B40" s="46" t="inlineStr">
        <is>
          <t>Hobbies</t>
        </is>
      </c>
      <c r="C40" s="22" t="n">
        <v>0</v>
      </c>
      <c r="D40" s="22" t="n">
        <v>0</v>
      </c>
      <c r="E40" s="47">
        <f>C40-D40</f>
        <v/>
      </c>
      <c r="F40" s="34">
        <f>IFERROR(D40/C40,0)</f>
        <v/>
      </c>
      <c r="G40" s="46" t="inlineStr"/>
    </row>
    <row r="41" ht="18" customHeight="1">
      <c r="A41" s="42" t="inlineStr">
        <is>
          <t>LIFESTYLE</t>
        </is>
      </c>
      <c r="B41" s="42" t="inlineStr">
        <is>
          <t>Personal Care</t>
        </is>
      </c>
      <c r="C41" s="29" t="n">
        <v>0</v>
      </c>
      <c r="D41" s="29" t="n">
        <v>0</v>
      </c>
      <c r="E41" s="28">
        <f>C41-D41</f>
        <v/>
      </c>
      <c r="F41" s="48">
        <f>IFERROR(D41/C41,0)</f>
        <v/>
      </c>
      <c r="G41" s="42" t="inlineStr"/>
    </row>
    <row r="42" ht="18" customHeight="1">
      <c r="A42" s="46" t="inlineStr">
        <is>
          <t>LIFESTYLE</t>
        </is>
      </c>
      <c r="B42" s="46" t="inlineStr">
        <is>
          <t>Books</t>
        </is>
      </c>
      <c r="C42" s="22" t="n">
        <v>0</v>
      </c>
      <c r="D42" s="22" t="n">
        <v>0</v>
      </c>
      <c r="E42" s="47">
        <f>C42-D42</f>
        <v/>
      </c>
      <c r="F42" s="34">
        <f>IFERROR(D42/C42,0)</f>
        <v/>
      </c>
      <c r="G42" s="46" t="inlineStr"/>
    </row>
    <row r="43" ht="20" customHeight="1">
      <c r="A43" s="49" t="inlineStr">
        <is>
          <t>Subtotal — LIFESTYLE</t>
        </is>
      </c>
      <c r="B43" s="50" t="n"/>
      <c r="C43" s="51">
        <f>SUM(C38:C42)</f>
        <v/>
      </c>
      <c r="D43" s="51">
        <f>SUM(D38:D42)</f>
        <v/>
      </c>
      <c r="E43" s="51">
        <f>C43-D43</f>
        <v/>
      </c>
      <c r="F43" s="52">
        <f>IFERROR(D43/C43,0)</f>
        <v/>
      </c>
      <c r="G43" s="53" t="inlineStr"/>
    </row>
    <row r="44" ht="22" customHeight="1">
      <c r="A44" s="54" t="inlineStr">
        <is>
          <t>PERSONAL</t>
        </is>
      </c>
    </row>
    <row r="45" ht="18" customHeight="1">
      <c r="A45" s="46" t="inlineStr">
        <is>
          <t>PERSONAL</t>
        </is>
      </c>
      <c r="B45" s="46" t="inlineStr">
        <is>
          <t>Clothing</t>
        </is>
      </c>
      <c r="C45" s="22" t="n">
        <v>0</v>
      </c>
      <c r="D45" s="22" t="n">
        <v>0</v>
      </c>
      <c r="E45" s="47">
        <f>C45-D45</f>
        <v/>
      </c>
      <c r="F45" s="34">
        <f>IFERROR(D45/C45,0)</f>
        <v/>
      </c>
      <c r="G45" s="46" t="inlineStr"/>
    </row>
    <row r="46" ht="18" customHeight="1">
      <c r="A46" s="42" t="inlineStr">
        <is>
          <t>PERSONAL</t>
        </is>
      </c>
      <c r="B46" s="42" t="inlineStr">
        <is>
          <t>Gifts</t>
        </is>
      </c>
      <c r="C46" s="29" t="n">
        <v>0</v>
      </c>
      <c r="D46" s="29" t="n">
        <v>0</v>
      </c>
      <c r="E46" s="28">
        <f>C46-D46</f>
        <v/>
      </c>
      <c r="F46" s="48">
        <f>IFERROR(D46/C46,0)</f>
        <v/>
      </c>
      <c r="G46" s="42" t="inlineStr"/>
    </row>
    <row r="47" ht="18" customHeight="1">
      <c r="A47" s="46" t="inlineStr">
        <is>
          <t>PERSONAL</t>
        </is>
      </c>
      <c r="B47" s="46" t="inlineStr">
        <is>
          <t>Education</t>
        </is>
      </c>
      <c r="C47" s="22" t="n">
        <v>0</v>
      </c>
      <c r="D47" s="22" t="n">
        <v>0</v>
      </c>
      <c r="E47" s="47">
        <f>C47-D47</f>
        <v/>
      </c>
      <c r="F47" s="34">
        <f>IFERROR(D47/C47,0)</f>
        <v/>
      </c>
      <c r="G47" s="46" t="inlineStr"/>
    </row>
    <row r="48" ht="18" customHeight="1">
      <c r="A48" s="42" t="inlineStr">
        <is>
          <t>PERSONAL</t>
        </is>
      </c>
      <c r="B48" s="42" t="inlineStr">
        <is>
          <t>Pet Care</t>
        </is>
      </c>
      <c r="C48" s="29" t="n">
        <v>0</v>
      </c>
      <c r="D48" s="29" t="n">
        <v>0</v>
      </c>
      <c r="E48" s="28">
        <f>C48-D48</f>
        <v/>
      </c>
      <c r="F48" s="48">
        <f>IFERROR(D48/C48,0)</f>
        <v/>
      </c>
      <c r="G48" s="42" t="inlineStr"/>
    </row>
    <row r="49" ht="18" customHeight="1">
      <c r="A49" s="46" t="inlineStr">
        <is>
          <t>PERSONAL</t>
        </is>
      </c>
      <c r="B49" s="46" t="inlineStr">
        <is>
          <t>Miscellaneous</t>
        </is>
      </c>
      <c r="C49" s="22" t="n">
        <v>0</v>
      </c>
      <c r="D49" s="22" t="n">
        <v>0</v>
      </c>
      <c r="E49" s="47">
        <f>C49-D49</f>
        <v/>
      </c>
      <c r="F49" s="34">
        <f>IFERROR(D49/C49,0)</f>
        <v/>
      </c>
      <c r="G49" s="46" t="inlineStr"/>
    </row>
    <row r="50" ht="20" customHeight="1">
      <c r="A50" s="49" t="inlineStr">
        <is>
          <t>Subtotal — PERSONAL</t>
        </is>
      </c>
      <c r="B50" s="50" t="n"/>
      <c r="C50" s="51">
        <f>SUM(C45:C49)</f>
        <v/>
      </c>
      <c r="D50" s="51">
        <f>SUM(D45:D49)</f>
        <v/>
      </c>
      <c r="E50" s="51">
        <f>C50-D50</f>
        <v/>
      </c>
      <c r="F50" s="52">
        <f>IFERROR(D50/C50,0)</f>
        <v/>
      </c>
      <c r="G50" s="53" t="inlineStr"/>
    </row>
    <row r="51" ht="22" customHeight="1">
      <c r="A51" s="54" t="inlineStr">
        <is>
          <t>SAVINGS &amp; INVESTMENTS</t>
        </is>
      </c>
    </row>
    <row r="52" ht="18" customHeight="1">
      <c r="A52" s="46" t="inlineStr">
        <is>
          <t>SAVINGS &amp; INVESTMENTS</t>
        </is>
      </c>
      <c r="B52" s="46" t="inlineStr">
        <is>
          <t>Emergency Fund</t>
        </is>
      </c>
      <c r="C52" s="22" t="n">
        <v>0</v>
      </c>
      <c r="D52" s="22" t="n">
        <v>0</v>
      </c>
      <c r="E52" s="47">
        <f>C52-D52</f>
        <v/>
      </c>
      <c r="F52" s="34">
        <f>IFERROR(D52/C52,0)</f>
        <v/>
      </c>
      <c r="G52" s="46" t="inlineStr"/>
    </row>
    <row r="53" ht="18" customHeight="1">
      <c r="A53" s="42" t="inlineStr">
        <is>
          <t>SAVINGS &amp; INVESTMENTS</t>
        </is>
      </c>
      <c r="B53" s="42" t="inlineStr">
        <is>
          <t>Pension/IRA</t>
        </is>
      </c>
      <c r="C53" s="29" t="n">
        <v>0</v>
      </c>
      <c r="D53" s="29" t="n">
        <v>0</v>
      </c>
      <c r="E53" s="28">
        <f>C53-D53</f>
        <v/>
      </c>
      <c r="F53" s="48">
        <f>IFERROR(D53/C53,0)</f>
        <v/>
      </c>
      <c r="G53" s="42" t="inlineStr"/>
    </row>
    <row r="54" ht="18" customHeight="1">
      <c r="A54" s="46" t="inlineStr">
        <is>
          <t>SAVINGS &amp; INVESTMENTS</t>
        </is>
      </c>
      <c r="B54" s="46" t="inlineStr">
        <is>
          <t>Stocks</t>
        </is>
      </c>
      <c r="C54" s="22" t="n">
        <v>0</v>
      </c>
      <c r="D54" s="22" t="n">
        <v>0</v>
      </c>
      <c r="E54" s="47">
        <f>C54-D54</f>
        <v/>
      </c>
      <c r="F54" s="34">
        <f>IFERROR(D54/C54,0)</f>
        <v/>
      </c>
      <c r="G54" s="46" t="inlineStr"/>
    </row>
    <row r="55" ht="18" customHeight="1">
      <c r="A55" s="42" t="inlineStr">
        <is>
          <t>SAVINGS &amp; INVESTMENTS</t>
        </is>
      </c>
      <c r="B55" s="42" t="inlineStr">
        <is>
          <t>Vacation Fund</t>
        </is>
      </c>
      <c r="C55" s="29" t="n">
        <v>0</v>
      </c>
      <c r="D55" s="29" t="n">
        <v>0</v>
      </c>
      <c r="E55" s="28">
        <f>C55-D55</f>
        <v/>
      </c>
      <c r="F55" s="48">
        <f>IFERROR(D55/C55,0)</f>
        <v/>
      </c>
      <c r="G55" s="42" t="inlineStr"/>
    </row>
    <row r="56" ht="18" customHeight="1">
      <c r="A56" s="46" t="inlineStr">
        <is>
          <t>SAVINGS &amp; INVESTMENTS</t>
        </is>
      </c>
      <c r="B56" s="46" t="inlineStr">
        <is>
          <t>Other Savings</t>
        </is>
      </c>
      <c r="C56" s="22" t="n">
        <v>0</v>
      </c>
      <c r="D56" s="22" t="n">
        <v>0</v>
      </c>
      <c r="E56" s="47">
        <f>C56-D56</f>
        <v/>
      </c>
      <c r="F56" s="34">
        <f>IFERROR(D56/C56,0)</f>
        <v/>
      </c>
      <c r="G56" s="46" t="inlineStr"/>
    </row>
    <row r="57" ht="20" customHeight="1">
      <c r="A57" s="49" t="inlineStr">
        <is>
          <t>Subtotal — SAVINGS &amp; INVESTMENTS</t>
        </is>
      </c>
      <c r="B57" s="50" t="n"/>
      <c r="C57" s="51">
        <f>SUM(C52:C56)</f>
        <v/>
      </c>
      <c r="D57" s="51">
        <f>SUM(D52:D56)</f>
        <v/>
      </c>
      <c r="E57" s="51">
        <f>C57-D57</f>
        <v/>
      </c>
      <c r="F57" s="52">
        <f>IFERROR(D57/C57,0)</f>
        <v/>
      </c>
      <c r="G57" s="53" t="inlineStr"/>
    </row>
    <row r="58" ht="22" customHeight="1">
      <c r="A58" s="54" t="inlineStr">
        <is>
          <t>DEBT PAYMENTS</t>
        </is>
      </c>
    </row>
    <row r="59" ht="18" customHeight="1">
      <c r="A59" s="46" t="inlineStr">
        <is>
          <t>DEBT PAYMENTS</t>
        </is>
      </c>
      <c r="B59" s="46" t="inlineStr">
        <is>
          <t>Credit Card 1</t>
        </is>
      </c>
      <c r="C59" s="22" t="n">
        <v>0</v>
      </c>
      <c r="D59" s="22" t="n">
        <v>0</v>
      </c>
      <c r="E59" s="47">
        <f>C59-D59</f>
        <v/>
      </c>
      <c r="F59" s="34">
        <f>IFERROR(D59/C59,0)</f>
        <v/>
      </c>
      <c r="G59" s="46" t="inlineStr"/>
    </row>
    <row r="60" ht="18" customHeight="1">
      <c r="A60" s="42" t="inlineStr">
        <is>
          <t>DEBT PAYMENTS</t>
        </is>
      </c>
      <c r="B60" s="42" t="inlineStr">
        <is>
          <t>Credit Card 2</t>
        </is>
      </c>
      <c r="C60" s="29" t="n">
        <v>0</v>
      </c>
      <c r="D60" s="29" t="n">
        <v>0</v>
      </c>
      <c r="E60" s="28">
        <f>C60-D60</f>
        <v/>
      </c>
      <c r="F60" s="48">
        <f>IFERROR(D60/C60,0)</f>
        <v/>
      </c>
      <c r="G60" s="42" t="inlineStr"/>
    </row>
    <row r="61" ht="18" customHeight="1">
      <c r="A61" s="46" t="inlineStr">
        <is>
          <t>DEBT PAYMENTS</t>
        </is>
      </c>
      <c r="B61" s="46" t="inlineStr">
        <is>
          <t>Student Loan</t>
        </is>
      </c>
      <c r="C61" s="22" t="n">
        <v>0</v>
      </c>
      <c r="D61" s="22" t="n">
        <v>0</v>
      </c>
      <c r="E61" s="47">
        <f>C61-D61</f>
        <v/>
      </c>
      <c r="F61" s="34">
        <f>IFERROR(D61/C61,0)</f>
        <v/>
      </c>
      <c r="G61" s="46" t="inlineStr"/>
    </row>
    <row r="62" ht="18" customHeight="1">
      <c r="A62" s="42" t="inlineStr">
        <is>
          <t>DEBT PAYMENTS</t>
        </is>
      </c>
      <c r="B62" s="42" t="inlineStr">
        <is>
          <t>Car Loan</t>
        </is>
      </c>
      <c r="C62" s="29" t="n">
        <v>0</v>
      </c>
      <c r="D62" s="29" t="n">
        <v>0</v>
      </c>
      <c r="E62" s="28">
        <f>C62-D62</f>
        <v/>
      </c>
      <c r="F62" s="48">
        <f>IFERROR(D62/C62,0)</f>
        <v/>
      </c>
      <c r="G62" s="42" t="inlineStr"/>
    </row>
    <row r="63" ht="18" customHeight="1">
      <c r="A63" s="46" t="inlineStr">
        <is>
          <t>DEBT PAYMENTS</t>
        </is>
      </c>
      <c r="B63" s="46" t="inlineStr">
        <is>
          <t>Other</t>
        </is>
      </c>
      <c r="C63" s="22" t="n">
        <v>0</v>
      </c>
      <c r="D63" s="22" t="n">
        <v>0</v>
      </c>
      <c r="E63" s="47">
        <f>C63-D63</f>
        <v/>
      </c>
      <c r="F63" s="34">
        <f>IFERROR(D63/C63,0)</f>
        <v/>
      </c>
      <c r="G63" s="46" t="inlineStr"/>
    </row>
    <row r="64" ht="20" customHeight="1">
      <c r="A64" s="49" t="inlineStr">
        <is>
          <t>Subtotal — DEBT PAYMENTS</t>
        </is>
      </c>
      <c r="B64" s="50" t="n"/>
      <c r="C64" s="51">
        <f>SUM(C59:C63)</f>
        <v/>
      </c>
      <c r="D64" s="51">
        <f>SUM(D59:D63)</f>
        <v/>
      </c>
      <c r="E64" s="51">
        <f>C64-D64</f>
        <v/>
      </c>
      <c r="F64" s="52">
        <f>IFERROR(D64/C64,0)</f>
        <v/>
      </c>
      <c r="G64" s="53" t="inlineStr"/>
    </row>
    <row r="65" ht="24" customHeight="1">
      <c r="A65" s="55" t="inlineStr">
        <is>
          <t>GRAND TOTAL EXPENSES</t>
        </is>
      </c>
      <c r="B65" s="7" t="n"/>
      <c r="C65" s="56">
        <f>C15+C22+C29+C36+C43+C50+C57+C64</f>
        <v/>
      </c>
      <c r="D65" s="56">
        <f>D15+D22+D29+D36+D43+D50+D57+D64</f>
        <v/>
      </c>
      <c r="E65" s="56">
        <f>C65-D65</f>
        <v/>
      </c>
      <c r="F65" s="57" t="inlineStr"/>
      <c r="G65" s="57" t="inlineStr"/>
    </row>
    <row r="66" ht="26" customHeight="1">
      <c r="A66" s="58" t="inlineStr">
        <is>
          <t>NET CASH FLOW</t>
        </is>
      </c>
      <c r="B66" s="4" t="n"/>
      <c r="C66" s="59">
        <f>C8-C65</f>
        <v/>
      </c>
      <c r="D66" s="59">
        <f>D8-D65</f>
        <v/>
      </c>
      <c r="E66" s="59">
        <f>C66-D66</f>
        <v/>
      </c>
      <c r="F66" s="60" t="inlineStr"/>
      <c r="G66" s="60" t="inlineStr"/>
    </row>
    <row r="68" ht="18" customHeight="1">
      <c r="I68" s="12" t="inlineStr">
        <is>
          <t>Category</t>
        </is>
      </c>
      <c r="J68" s="12" t="inlineStr">
        <is>
          <t>Budgeted</t>
        </is>
      </c>
      <c r="K68" s="12" t="inlineStr">
        <is>
          <t>Actual</t>
        </is>
      </c>
    </row>
    <row r="69" ht="18" customHeight="1">
      <c r="I69" s="46" t="inlineStr">
        <is>
          <t>HOUSING</t>
        </is>
      </c>
      <c r="J69" s="47">
        <f>C15</f>
        <v/>
      </c>
      <c r="K69" s="47">
        <f>D15</f>
        <v/>
      </c>
    </row>
    <row r="70" ht="18" customHeight="1">
      <c r="I70" s="42" t="inlineStr">
        <is>
          <t>TRANSPORT</t>
        </is>
      </c>
      <c r="J70" s="28">
        <f>C22</f>
        <v/>
      </c>
      <c r="K70" s="28">
        <f>D22</f>
        <v/>
      </c>
    </row>
    <row r="71" ht="18" customHeight="1">
      <c r="I71" s="46" t="inlineStr">
        <is>
          <t>FOOD &amp; DINING</t>
        </is>
      </c>
      <c r="J71" s="47">
        <f>C29</f>
        <v/>
      </c>
      <c r="K71" s="47">
        <f>D29</f>
        <v/>
      </c>
    </row>
    <row r="72" ht="18" customHeight="1">
      <c r="I72" s="42" t="inlineStr">
        <is>
          <t>HEALTH &amp; WELLNESS</t>
        </is>
      </c>
      <c r="J72" s="28">
        <f>C36</f>
        <v/>
      </c>
      <c r="K72" s="28">
        <f>D36</f>
        <v/>
      </c>
    </row>
    <row r="73" ht="18" customHeight="1">
      <c r="I73" s="46" t="inlineStr">
        <is>
          <t>LIFESTYLE</t>
        </is>
      </c>
      <c r="J73" s="47">
        <f>C43</f>
        <v/>
      </c>
      <c r="K73" s="47">
        <f>D43</f>
        <v/>
      </c>
    </row>
    <row r="74" ht="18" customHeight="1">
      <c r="I74" s="42" t="inlineStr">
        <is>
          <t>PERSONAL</t>
        </is>
      </c>
      <c r="J74" s="28">
        <f>C50</f>
        <v/>
      </c>
      <c r="K74" s="28">
        <f>D50</f>
        <v/>
      </c>
    </row>
    <row r="75" ht="18" customHeight="1">
      <c r="I75" s="46" t="inlineStr">
        <is>
          <t>SAVINGS &amp; INVESTMENTS</t>
        </is>
      </c>
      <c r="J75" s="47">
        <f>C57</f>
        <v/>
      </c>
      <c r="K75" s="47">
        <f>D57</f>
        <v/>
      </c>
    </row>
    <row r="76" ht="18" customHeight="1">
      <c r="I76" s="42" t="inlineStr">
        <is>
          <t>DEBT PAYMENTS</t>
        </is>
      </c>
      <c r="J76" s="28">
        <f>C64</f>
        <v/>
      </c>
      <c r="K76" s="28">
        <f>D64</f>
        <v/>
      </c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5C8A52"/>
    <outlinePr summaryBelow="1" summaryRight="1"/>
    <pageSetUpPr/>
  </sheetPr>
  <dimension ref="A1:K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4" customWidth="1" min="5" max="5"/>
    <col width="11" customWidth="1" min="6" max="6"/>
    <col width="20" customWidth="1" min="7" max="7"/>
  </cols>
  <sheetData>
    <row r="1" ht="48" customHeight="1">
      <c r="A1" s="44" t="inlineStr">
        <is>
          <t>OCTOBER  ·  MONTHLY BUDGET</t>
        </is>
      </c>
    </row>
    <row r="2" ht="20" customHeight="1">
      <c r="A2" s="2" t="inlineStr">
        <is>
          <t>Track your income and expenses for October</t>
        </is>
      </c>
    </row>
    <row r="3" ht="22" customHeight="1">
      <c r="A3" s="3" t="inlineStr">
        <is>
          <t>CATEGORY</t>
        </is>
      </c>
      <c r="B3" s="3" t="inlineStr">
        <is>
          <t>SUBCATEGORY</t>
        </is>
      </c>
      <c r="C3" s="3" t="inlineStr">
        <is>
          <t>BUDGETED</t>
        </is>
      </c>
      <c r="D3" s="3" t="inlineStr">
        <is>
          <t>ACTUAL</t>
        </is>
      </c>
      <c r="E3" s="3" t="inlineStr">
        <is>
          <t>DIFFERENCE</t>
        </is>
      </c>
      <c r="F3" s="3" t="inlineStr">
        <is>
          <t>% USED</t>
        </is>
      </c>
      <c r="G3" s="3" t="inlineStr">
        <is>
          <t>NOTES</t>
        </is>
      </c>
    </row>
    <row r="4" ht="22" customHeight="1">
      <c r="A4" s="45" t="inlineStr">
        <is>
          <t>INCOME</t>
        </is>
      </c>
    </row>
    <row r="5" ht="18" customHeight="1">
      <c r="A5" s="46" t="inlineStr">
        <is>
          <t>INCOME</t>
        </is>
      </c>
      <c r="B5" s="46" t="inlineStr">
        <is>
          <t>Primary Income</t>
        </is>
      </c>
      <c r="C5" s="22" t="n">
        <v>0</v>
      </c>
      <c r="D5" s="22" t="n">
        <v>0</v>
      </c>
      <c r="E5" s="47">
        <f>C5-D5</f>
        <v/>
      </c>
      <c r="F5" s="34">
        <f>IFERROR(D5/C5,0)</f>
        <v/>
      </c>
      <c r="G5" s="46" t="inlineStr"/>
    </row>
    <row r="6" ht="18" customHeight="1">
      <c r="A6" s="42" t="inlineStr">
        <is>
          <t>INCOME</t>
        </is>
      </c>
      <c r="B6" s="42" t="inlineStr">
        <is>
          <t>Side Income</t>
        </is>
      </c>
      <c r="C6" s="29" t="n">
        <v>0</v>
      </c>
      <c r="D6" s="29" t="n">
        <v>0</v>
      </c>
      <c r="E6" s="28">
        <f>C6-D6</f>
        <v/>
      </c>
      <c r="F6" s="48">
        <f>IFERROR(D6/C6,0)</f>
        <v/>
      </c>
      <c r="G6" s="42" t="inlineStr"/>
    </row>
    <row r="7" ht="18" customHeight="1">
      <c r="A7" s="46" t="inlineStr">
        <is>
          <t>INCOME</t>
        </is>
      </c>
      <c r="B7" s="46" t="inlineStr">
        <is>
          <t>Other Income</t>
        </is>
      </c>
      <c r="C7" s="22" t="n">
        <v>0</v>
      </c>
      <c r="D7" s="22" t="n">
        <v>0</v>
      </c>
      <c r="E7" s="47">
        <f>C7-D7</f>
        <v/>
      </c>
      <c r="F7" s="34">
        <f>IFERROR(D7/C7,0)</f>
        <v/>
      </c>
      <c r="G7" s="46" t="inlineStr"/>
    </row>
    <row r="8" ht="20" customHeight="1">
      <c r="A8" s="49" t="inlineStr">
        <is>
          <t>TOTAL INCOME</t>
        </is>
      </c>
      <c r="B8" s="50" t="n"/>
      <c r="C8" s="51">
        <f>SUM(C5:C7)</f>
        <v/>
      </c>
      <c r="D8" s="51">
        <f>SUM(D5:D7)</f>
        <v/>
      </c>
      <c r="E8" s="51">
        <f>C8-D8</f>
        <v/>
      </c>
      <c r="F8" s="52">
        <f>IFERROR(D8/C8,0)</f>
        <v/>
      </c>
      <c r="G8" s="53" t="inlineStr"/>
    </row>
    <row r="9" ht="22" customHeight="1">
      <c r="A9" s="54" t="inlineStr">
        <is>
          <t>HOUSING</t>
        </is>
      </c>
    </row>
    <row r="10" ht="18" customHeight="1">
      <c r="A10" s="46" t="inlineStr">
        <is>
          <t>HOUSING</t>
        </is>
      </c>
      <c r="B10" s="46" t="inlineStr">
        <is>
          <t>Rent/Mortgage</t>
        </is>
      </c>
      <c r="C10" s="22" t="n">
        <v>0</v>
      </c>
      <c r="D10" s="22" t="n">
        <v>0</v>
      </c>
      <c r="E10" s="47">
        <f>C10-D10</f>
        <v/>
      </c>
      <c r="F10" s="34">
        <f>IFERROR(D10/C10,0)</f>
        <v/>
      </c>
      <c r="G10" s="46" t="inlineStr"/>
    </row>
    <row r="11" ht="18" customHeight="1">
      <c r="A11" s="42" t="inlineStr">
        <is>
          <t>HOUSING</t>
        </is>
      </c>
      <c r="B11" s="42" t="inlineStr">
        <is>
          <t>Utilities</t>
        </is>
      </c>
      <c r="C11" s="29" t="n">
        <v>0</v>
      </c>
      <c r="D11" s="29" t="n">
        <v>0</v>
      </c>
      <c r="E11" s="28">
        <f>C11-D11</f>
        <v/>
      </c>
      <c r="F11" s="48">
        <f>IFERROR(D11/C11,0)</f>
        <v/>
      </c>
      <c r="G11" s="42" t="inlineStr"/>
    </row>
    <row r="12" ht="18" customHeight="1">
      <c r="A12" s="46" t="inlineStr">
        <is>
          <t>HOUSING</t>
        </is>
      </c>
      <c r="B12" s="46" t="inlineStr">
        <is>
          <t>Electricity</t>
        </is>
      </c>
      <c r="C12" s="22" t="n">
        <v>0</v>
      </c>
      <c r="D12" s="22" t="n">
        <v>0</v>
      </c>
      <c r="E12" s="47">
        <f>C12-D12</f>
        <v/>
      </c>
      <c r="F12" s="34">
        <f>IFERROR(D12/C12,0)</f>
        <v/>
      </c>
      <c r="G12" s="46" t="inlineStr"/>
    </row>
    <row r="13" ht="18" customHeight="1">
      <c r="A13" s="42" t="inlineStr">
        <is>
          <t>HOUSING</t>
        </is>
      </c>
      <c r="B13" s="42" t="inlineStr">
        <is>
          <t>Internet</t>
        </is>
      </c>
      <c r="C13" s="29" t="n">
        <v>0</v>
      </c>
      <c r="D13" s="29" t="n">
        <v>0</v>
      </c>
      <c r="E13" s="28">
        <f>C13-D13</f>
        <v/>
      </c>
      <c r="F13" s="48">
        <f>IFERROR(D13/C13,0)</f>
        <v/>
      </c>
      <c r="G13" s="42" t="inlineStr"/>
    </row>
    <row r="14" ht="18" customHeight="1">
      <c r="A14" s="46" t="inlineStr">
        <is>
          <t>HOUSING</t>
        </is>
      </c>
      <c r="B14" s="46" t="inlineStr">
        <is>
          <t>Home Insurance</t>
        </is>
      </c>
      <c r="C14" s="22" t="n">
        <v>0</v>
      </c>
      <c r="D14" s="22" t="n">
        <v>0</v>
      </c>
      <c r="E14" s="47">
        <f>C14-D14</f>
        <v/>
      </c>
      <c r="F14" s="34">
        <f>IFERROR(D14/C14,0)</f>
        <v/>
      </c>
      <c r="G14" s="46" t="inlineStr"/>
    </row>
    <row r="15" ht="20" customHeight="1">
      <c r="A15" s="49" t="inlineStr">
        <is>
          <t>Subtotal — HOUSING</t>
        </is>
      </c>
      <c r="B15" s="50" t="n"/>
      <c r="C15" s="51">
        <f>SUM(C10:C14)</f>
        <v/>
      </c>
      <c r="D15" s="51">
        <f>SUM(D10:D14)</f>
        <v/>
      </c>
      <c r="E15" s="51">
        <f>C15-D15</f>
        <v/>
      </c>
      <c r="F15" s="52">
        <f>IFERROR(D15/C15,0)</f>
        <v/>
      </c>
      <c r="G15" s="53" t="inlineStr"/>
    </row>
    <row r="16" ht="22" customHeight="1">
      <c r="A16" s="54" t="inlineStr">
        <is>
          <t>TRANSPORT</t>
        </is>
      </c>
    </row>
    <row r="17" ht="18" customHeight="1">
      <c r="A17" s="46" t="inlineStr">
        <is>
          <t>TRANSPORT</t>
        </is>
      </c>
      <c r="B17" s="46" t="inlineStr">
        <is>
          <t>Car Payment</t>
        </is>
      </c>
      <c r="C17" s="22" t="n">
        <v>0</v>
      </c>
      <c r="D17" s="22" t="n">
        <v>0</v>
      </c>
      <c r="E17" s="47">
        <f>C17-D17</f>
        <v/>
      </c>
      <c r="F17" s="34">
        <f>IFERROR(D17/C17,0)</f>
        <v/>
      </c>
      <c r="G17" s="46" t="inlineStr"/>
    </row>
    <row r="18" ht="18" customHeight="1">
      <c r="A18" s="42" t="inlineStr">
        <is>
          <t>TRANSPORT</t>
        </is>
      </c>
      <c r="B18" s="42" t="inlineStr">
        <is>
          <t>Fuel</t>
        </is>
      </c>
      <c r="C18" s="29" t="n">
        <v>0</v>
      </c>
      <c r="D18" s="29" t="n">
        <v>0</v>
      </c>
      <c r="E18" s="28">
        <f>C18-D18</f>
        <v/>
      </c>
      <c r="F18" s="48">
        <f>IFERROR(D18/C18,0)</f>
        <v/>
      </c>
      <c r="G18" s="42" t="inlineStr"/>
    </row>
    <row r="19" ht="18" customHeight="1">
      <c r="A19" s="46" t="inlineStr">
        <is>
          <t>TRANSPORT</t>
        </is>
      </c>
      <c r="B19" s="46" t="inlineStr">
        <is>
          <t>Car Insurance</t>
        </is>
      </c>
      <c r="C19" s="22" t="n">
        <v>0</v>
      </c>
      <c r="D19" s="22" t="n">
        <v>0</v>
      </c>
      <c r="E19" s="47">
        <f>C19-D19</f>
        <v/>
      </c>
      <c r="F19" s="34">
        <f>IFERROR(D19/C19,0)</f>
        <v/>
      </c>
      <c r="G19" s="46" t="inlineStr"/>
    </row>
    <row r="20" ht="18" customHeight="1">
      <c r="A20" s="42" t="inlineStr">
        <is>
          <t>TRANSPORT</t>
        </is>
      </c>
      <c r="B20" s="42" t="inlineStr">
        <is>
          <t>Parking</t>
        </is>
      </c>
      <c r="C20" s="29" t="n">
        <v>0</v>
      </c>
      <c r="D20" s="29" t="n">
        <v>0</v>
      </c>
      <c r="E20" s="28">
        <f>C20-D20</f>
        <v/>
      </c>
      <c r="F20" s="48">
        <f>IFERROR(D20/C20,0)</f>
        <v/>
      </c>
      <c r="G20" s="42" t="inlineStr"/>
    </row>
    <row r="21" ht="18" customHeight="1">
      <c r="A21" s="46" t="inlineStr">
        <is>
          <t>TRANSPORT</t>
        </is>
      </c>
      <c r="B21" s="46" t="inlineStr">
        <is>
          <t>Public Transport</t>
        </is>
      </c>
      <c r="C21" s="22" t="n">
        <v>0</v>
      </c>
      <c r="D21" s="22" t="n">
        <v>0</v>
      </c>
      <c r="E21" s="47">
        <f>C21-D21</f>
        <v/>
      </c>
      <c r="F21" s="34">
        <f>IFERROR(D21/C21,0)</f>
        <v/>
      </c>
      <c r="G21" s="46" t="inlineStr"/>
    </row>
    <row r="22" ht="20" customHeight="1">
      <c r="A22" s="49" t="inlineStr">
        <is>
          <t>Subtotal — TRANSPORT</t>
        </is>
      </c>
      <c r="B22" s="50" t="n"/>
      <c r="C22" s="51">
        <f>SUM(C17:C21)</f>
        <v/>
      </c>
      <c r="D22" s="51">
        <f>SUM(D17:D21)</f>
        <v/>
      </c>
      <c r="E22" s="51">
        <f>C22-D22</f>
        <v/>
      </c>
      <c r="F22" s="52">
        <f>IFERROR(D22/C22,0)</f>
        <v/>
      </c>
      <c r="G22" s="53" t="inlineStr"/>
    </row>
    <row r="23" ht="22" customHeight="1">
      <c r="A23" s="54" t="inlineStr">
        <is>
          <t>FOOD &amp; DINING</t>
        </is>
      </c>
    </row>
    <row r="24" ht="18" customHeight="1">
      <c r="A24" s="46" t="inlineStr">
        <is>
          <t>FOOD &amp; DINING</t>
        </is>
      </c>
      <c r="B24" s="46" t="inlineStr">
        <is>
          <t>Groceries</t>
        </is>
      </c>
      <c r="C24" s="22" t="n">
        <v>0</v>
      </c>
      <c r="D24" s="22" t="n">
        <v>0</v>
      </c>
      <c r="E24" s="47">
        <f>C24-D24</f>
        <v/>
      </c>
      <c r="F24" s="34">
        <f>IFERROR(D24/C24,0)</f>
        <v/>
      </c>
      <c r="G24" s="46" t="inlineStr"/>
    </row>
    <row r="25" ht="18" customHeight="1">
      <c r="A25" s="42" t="inlineStr">
        <is>
          <t>FOOD &amp; DINING</t>
        </is>
      </c>
      <c r="B25" s="42" t="inlineStr">
        <is>
          <t>Restaurants</t>
        </is>
      </c>
      <c r="C25" s="29" t="n">
        <v>0</v>
      </c>
      <c r="D25" s="29" t="n">
        <v>0</v>
      </c>
      <c r="E25" s="28">
        <f>C25-D25</f>
        <v/>
      </c>
      <c r="F25" s="48">
        <f>IFERROR(D25/C25,0)</f>
        <v/>
      </c>
      <c r="G25" s="42" t="inlineStr"/>
    </row>
    <row r="26" ht="18" customHeight="1">
      <c r="A26" s="46" t="inlineStr">
        <is>
          <t>FOOD &amp; DINING</t>
        </is>
      </c>
      <c r="B26" s="46" t="inlineStr">
        <is>
          <t>Coffee</t>
        </is>
      </c>
      <c r="C26" s="22" t="n">
        <v>0</v>
      </c>
      <c r="D26" s="22" t="n">
        <v>0</v>
      </c>
      <c r="E26" s="47">
        <f>C26-D26</f>
        <v/>
      </c>
      <c r="F26" s="34">
        <f>IFERROR(D26/C26,0)</f>
        <v/>
      </c>
      <c r="G26" s="46" t="inlineStr"/>
    </row>
    <row r="27" ht="18" customHeight="1">
      <c r="A27" s="42" t="inlineStr">
        <is>
          <t>FOOD &amp; DINING</t>
        </is>
      </c>
      <c r="B27" s="42" t="inlineStr">
        <is>
          <t>Food Delivery</t>
        </is>
      </c>
      <c r="C27" s="29" t="n">
        <v>0</v>
      </c>
      <c r="D27" s="29" t="n">
        <v>0</v>
      </c>
      <c r="E27" s="28">
        <f>C27-D27</f>
        <v/>
      </c>
      <c r="F27" s="48">
        <f>IFERROR(D27/C27,0)</f>
        <v/>
      </c>
      <c r="G27" s="42" t="inlineStr"/>
    </row>
    <row r="28" ht="18" customHeight="1">
      <c r="A28" s="46" t="inlineStr">
        <is>
          <t>FOOD &amp; DINING</t>
        </is>
      </c>
      <c r="B28" s="46" t="inlineStr">
        <is>
          <t>Work Lunch</t>
        </is>
      </c>
      <c r="C28" s="22" t="n">
        <v>0</v>
      </c>
      <c r="D28" s="22" t="n">
        <v>0</v>
      </c>
      <c r="E28" s="47">
        <f>C28-D28</f>
        <v/>
      </c>
      <c r="F28" s="34">
        <f>IFERROR(D28/C28,0)</f>
        <v/>
      </c>
      <c r="G28" s="46" t="inlineStr"/>
    </row>
    <row r="29" ht="20" customHeight="1">
      <c r="A29" s="49" t="inlineStr">
        <is>
          <t>Subtotal — FOOD &amp; DINING</t>
        </is>
      </c>
      <c r="B29" s="50" t="n"/>
      <c r="C29" s="51">
        <f>SUM(C24:C28)</f>
        <v/>
      </c>
      <c r="D29" s="51">
        <f>SUM(D24:D28)</f>
        <v/>
      </c>
      <c r="E29" s="51">
        <f>C29-D29</f>
        <v/>
      </c>
      <c r="F29" s="52">
        <f>IFERROR(D29/C29,0)</f>
        <v/>
      </c>
      <c r="G29" s="53" t="inlineStr"/>
    </row>
    <row r="30" ht="22" customHeight="1">
      <c r="A30" s="54" t="inlineStr">
        <is>
          <t>HEALTH &amp; WELLNESS</t>
        </is>
      </c>
    </row>
    <row r="31" ht="18" customHeight="1">
      <c r="A31" s="46" t="inlineStr">
        <is>
          <t>HEALTH &amp; WELLNESS</t>
        </is>
      </c>
      <c r="B31" s="46" t="inlineStr">
        <is>
          <t>Health Insurance</t>
        </is>
      </c>
      <c r="C31" s="22" t="n">
        <v>0</v>
      </c>
      <c r="D31" s="22" t="n">
        <v>0</v>
      </c>
      <c r="E31" s="47">
        <f>C31-D31</f>
        <v/>
      </c>
      <c r="F31" s="34">
        <f>IFERROR(D31/C31,0)</f>
        <v/>
      </c>
      <c r="G31" s="46" t="inlineStr"/>
    </row>
    <row r="32" ht="18" customHeight="1">
      <c r="A32" s="42" t="inlineStr">
        <is>
          <t>HEALTH &amp; WELLNESS</t>
        </is>
      </c>
      <c r="B32" s="42" t="inlineStr">
        <is>
          <t>Gym</t>
        </is>
      </c>
      <c r="C32" s="29" t="n">
        <v>0</v>
      </c>
      <c r="D32" s="29" t="n">
        <v>0</v>
      </c>
      <c r="E32" s="28">
        <f>C32-D32</f>
        <v/>
      </c>
      <c r="F32" s="48">
        <f>IFERROR(D32/C32,0)</f>
        <v/>
      </c>
      <c r="G32" s="42" t="inlineStr"/>
    </row>
    <row r="33" ht="18" customHeight="1">
      <c r="A33" s="46" t="inlineStr">
        <is>
          <t>HEALTH &amp; WELLNESS</t>
        </is>
      </c>
      <c r="B33" s="46" t="inlineStr">
        <is>
          <t>Pharmacy</t>
        </is>
      </c>
      <c r="C33" s="22" t="n">
        <v>0</v>
      </c>
      <c r="D33" s="22" t="n">
        <v>0</v>
      </c>
      <c r="E33" s="47">
        <f>C33-D33</f>
        <v/>
      </c>
      <c r="F33" s="34">
        <f>IFERROR(D33/C33,0)</f>
        <v/>
      </c>
      <c r="G33" s="46" t="inlineStr"/>
    </row>
    <row r="34" ht="18" customHeight="1">
      <c r="A34" s="42" t="inlineStr">
        <is>
          <t>HEALTH &amp; WELLNESS</t>
        </is>
      </c>
      <c r="B34" s="42" t="inlineStr">
        <is>
          <t>Doctor</t>
        </is>
      </c>
      <c r="C34" s="29" t="n">
        <v>0</v>
      </c>
      <c r="D34" s="29" t="n">
        <v>0</v>
      </c>
      <c r="E34" s="28">
        <f>C34-D34</f>
        <v/>
      </c>
      <c r="F34" s="48">
        <f>IFERROR(D34/C34,0)</f>
        <v/>
      </c>
      <c r="G34" s="42" t="inlineStr"/>
    </row>
    <row r="35" ht="18" customHeight="1">
      <c r="A35" s="46" t="inlineStr">
        <is>
          <t>HEALTH &amp; WELLNESS</t>
        </is>
      </c>
      <c r="B35" s="46" t="inlineStr">
        <is>
          <t>Dental</t>
        </is>
      </c>
      <c r="C35" s="22" t="n">
        <v>0</v>
      </c>
      <c r="D35" s="22" t="n">
        <v>0</v>
      </c>
      <c r="E35" s="47">
        <f>C35-D35</f>
        <v/>
      </c>
      <c r="F35" s="34">
        <f>IFERROR(D35/C35,0)</f>
        <v/>
      </c>
      <c r="G35" s="46" t="inlineStr"/>
    </row>
    <row r="36" ht="20" customHeight="1">
      <c r="A36" s="49" t="inlineStr">
        <is>
          <t>Subtotal — HEALTH &amp; WELLNESS</t>
        </is>
      </c>
      <c r="B36" s="50" t="n"/>
      <c r="C36" s="51">
        <f>SUM(C31:C35)</f>
        <v/>
      </c>
      <c r="D36" s="51">
        <f>SUM(D31:D35)</f>
        <v/>
      </c>
      <c r="E36" s="51">
        <f>C36-D36</f>
        <v/>
      </c>
      <c r="F36" s="52">
        <f>IFERROR(D36/C36,0)</f>
        <v/>
      </c>
      <c r="G36" s="53" t="inlineStr"/>
    </row>
    <row r="37" ht="22" customHeight="1">
      <c r="A37" s="54" t="inlineStr">
        <is>
          <t>LIFESTYLE</t>
        </is>
      </c>
    </row>
    <row r="38" ht="18" customHeight="1">
      <c r="A38" s="46" t="inlineStr">
        <is>
          <t>LIFESTYLE</t>
        </is>
      </c>
      <c r="B38" s="46" t="inlineStr">
        <is>
          <t>Streaming Services</t>
        </is>
      </c>
      <c r="C38" s="22" t="n">
        <v>0</v>
      </c>
      <c r="D38" s="22" t="n">
        <v>0</v>
      </c>
      <c r="E38" s="47">
        <f>C38-D38</f>
        <v/>
      </c>
      <c r="F38" s="34">
        <f>IFERROR(D38/C38,0)</f>
        <v/>
      </c>
      <c r="G38" s="46" t="inlineStr"/>
    </row>
    <row r="39" ht="18" customHeight="1">
      <c r="A39" s="42" t="inlineStr">
        <is>
          <t>LIFESTYLE</t>
        </is>
      </c>
      <c r="B39" s="42" t="inlineStr">
        <is>
          <t>Entertainment</t>
        </is>
      </c>
      <c r="C39" s="29" t="n">
        <v>0</v>
      </c>
      <c r="D39" s="29" t="n">
        <v>0</v>
      </c>
      <c r="E39" s="28">
        <f>C39-D39</f>
        <v/>
      </c>
      <c r="F39" s="48">
        <f>IFERROR(D39/C39,0)</f>
        <v/>
      </c>
      <c r="G39" s="42" t="inlineStr"/>
    </row>
    <row r="40" ht="18" customHeight="1">
      <c r="A40" s="46" t="inlineStr">
        <is>
          <t>LIFESTYLE</t>
        </is>
      </c>
      <c r="B40" s="46" t="inlineStr">
        <is>
          <t>Hobbies</t>
        </is>
      </c>
      <c r="C40" s="22" t="n">
        <v>0</v>
      </c>
      <c r="D40" s="22" t="n">
        <v>0</v>
      </c>
      <c r="E40" s="47">
        <f>C40-D40</f>
        <v/>
      </c>
      <c r="F40" s="34">
        <f>IFERROR(D40/C40,0)</f>
        <v/>
      </c>
      <c r="G40" s="46" t="inlineStr"/>
    </row>
    <row r="41" ht="18" customHeight="1">
      <c r="A41" s="42" t="inlineStr">
        <is>
          <t>LIFESTYLE</t>
        </is>
      </c>
      <c r="B41" s="42" t="inlineStr">
        <is>
          <t>Personal Care</t>
        </is>
      </c>
      <c r="C41" s="29" t="n">
        <v>0</v>
      </c>
      <c r="D41" s="29" t="n">
        <v>0</v>
      </c>
      <c r="E41" s="28">
        <f>C41-D41</f>
        <v/>
      </c>
      <c r="F41" s="48">
        <f>IFERROR(D41/C41,0)</f>
        <v/>
      </c>
      <c r="G41" s="42" t="inlineStr"/>
    </row>
    <row r="42" ht="18" customHeight="1">
      <c r="A42" s="46" t="inlineStr">
        <is>
          <t>LIFESTYLE</t>
        </is>
      </c>
      <c r="B42" s="46" t="inlineStr">
        <is>
          <t>Books</t>
        </is>
      </c>
      <c r="C42" s="22" t="n">
        <v>0</v>
      </c>
      <c r="D42" s="22" t="n">
        <v>0</v>
      </c>
      <c r="E42" s="47">
        <f>C42-D42</f>
        <v/>
      </c>
      <c r="F42" s="34">
        <f>IFERROR(D42/C42,0)</f>
        <v/>
      </c>
      <c r="G42" s="46" t="inlineStr"/>
    </row>
    <row r="43" ht="20" customHeight="1">
      <c r="A43" s="49" t="inlineStr">
        <is>
          <t>Subtotal — LIFESTYLE</t>
        </is>
      </c>
      <c r="B43" s="50" t="n"/>
      <c r="C43" s="51">
        <f>SUM(C38:C42)</f>
        <v/>
      </c>
      <c r="D43" s="51">
        <f>SUM(D38:D42)</f>
        <v/>
      </c>
      <c r="E43" s="51">
        <f>C43-D43</f>
        <v/>
      </c>
      <c r="F43" s="52">
        <f>IFERROR(D43/C43,0)</f>
        <v/>
      </c>
      <c r="G43" s="53" t="inlineStr"/>
    </row>
    <row r="44" ht="22" customHeight="1">
      <c r="A44" s="54" t="inlineStr">
        <is>
          <t>PERSONAL</t>
        </is>
      </c>
    </row>
    <row r="45" ht="18" customHeight="1">
      <c r="A45" s="46" t="inlineStr">
        <is>
          <t>PERSONAL</t>
        </is>
      </c>
      <c r="B45" s="46" t="inlineStr">
        <is>
          <t>Clothing</t>
        </is>
      </c>
      <c r="C45" s="22" t="n">
        <v>0</v>
      </c>
      <c r="D45" s="22" t="n">
        <v>0</v>
      </c>
      <c r="E45" s="47">
        <f>C45-D45</f>
        <v/>
      </c>
      <c r="F45" s="34">
        <f>IFERROR(D45/C45,0)</f>
        <v/>
      </c>
      <c r="G45" s="46" t="inlineStr"/>
    </row>
    <row r="46" ht="18" customHeight="1">
      <c r="A46" s="42" t="inlineStr">
        <is>
          <t>PERSONAL</t>
        </is>
      </c>
      <c r="B46" s="42" t="inlineStr">
        <is>
          <t>Gifts</t>
        </is>
      </c>
      <c r="C46" s="29" t="n">
        <v>0</v>
      </c>
      <c r="D46" s="29" t="n">
        <v>0</v>
      </c>
      <c r="E46" s="28">
        <f>C46-D46</f>
        <v/>
      </c>
      <c r="F46" s="48">
        <f>IFERROR(D46/C46,0)</f>
        <v/>
      </c>
      <c r="G46" s="42" t="inlineStr"/>
    </row>
    <row r="47" ht="18" customHeight="1">
      <c r="A47" s="46" t="inlineStr">
        <is>
          <t>PERSONAL</t>
        </is>
      </c>
      <c r="B47" s="46" t="inlineStr">
        <is>
          <t>Education</t>
        </is>
      </c>
      <c r="C47" s="22" t="n">
        <v>0</v>
      </c>
      <c r="D47" s="22" t="n">
        <v>0</v>
      </c>
      <c r="E47" s="47">
        <f>C47-D47</f>
        <v/>
      </c>
      <c r="F47" s="34">
        <f>IFERROR(D47/C47,0)</f>
        <v/>
      </c>
      <c r="G47" s="46" t="inlineStr"/>
    </row>
    <row r="48" ht="18" customHeight="1">
      <c r="A48" s="42" t="inlineStr">
        <is>
          <t>PERSONAL</t>
        </is>
      </c>
      <c r="B48" s="42" t="inlineStr">
        <is>
          <t>Pet Care</t>
        </is>
      </c>
      <c r="C48" s="29" t="n">
        <v>0</v>
      </c>
      <c r="D48" s="29" t="n">
        <v>0</v>
      </c>
      <c r="E48" s="28">
        <f>C48-D48</f>
        <v/>
      </c>
      <c r="F48" s="48">
        <f>IFERROR(D48/C48,0)</f>
        <v/>
      </c>
      <c r="G48" s="42" t="inlineStr"/>
    </row>
    <row r="49" ht="18" customHeight="1">
      <c r="A49" s="46" t="inlineStr">
        <is>
          <t>PERSONAL</t>
        </is>
      </c>
      <c r="B49" s="46" t="inlineStr">
        <is>
          <t>Miscellaneous</t>
        </is>
      </c>
      <c r="C49" s="22" t="n">
        <v>0</v>
      </c>
      <c r="D49" s="22" t="n">
        <v>0</v>
      </c>
      <c r="E49" s="47">
        <f>C49-D49</f>
        <v/>
      </c>
      <c r="F49" s="34">
        <f>IFERROR(D49/C49,0)</f>
        <v/>
      </c>
      <c r="G49" s="46" t="inlineStr"/>
    </row>
    <row r="50" ht="20" customHeight="1">
      <c r="A50" s="49" t="inlineStr">
        <is>
          <t>Subtotal — PERSONAL</t>
        </is>
      </c>
      <c r="B50" s="50" t="n"/>
      <c r="C50" s="51">
        <f>SUM(C45:C49)</f>
        <v/>
      </c>
      <c r="D50" s="51">
        <f>SUM(D45:D49)</f>
        <v/>
      </c>
      <c r="E50" s="51">
        <f>C50-D50</f>
        <v/>
      </c>
      <c r="F50" s="52">
        <f>IFERROR(D50/C50,0)</f>
        <v/>
      </c>
      <c r="G50" s="53" t="inlineStr"/>
    </row>
    <row r="51" ht="22" customHeight="1">
      <c r="A51" s="54" t="inlineStr">
        <is>
          <t>SAVINGS &amp; INVESTMENTS</t>
        </is>
      </c>
    </row>
    <row r="52" ht="18" customHeight="1">
      <c r="A52" s="46" t="inlineStr">
        <is>
          <t>SAVINGS &amp; INVESTMENTS</t>
        </is>
      </c>
      <c r="B52" s="46" t="inlineStr">
        <is>
          <t>Emergency Fund</t>
        </is>
      </c>
      <c r="C52" s="22" t="n">
        <v>0</v>
      </c>
      <c r="D52" s="22" t="n">
        <v>0</v>
      </c>
      <c r="E52" s="47">
        <f>C52-D52</f>
        <v/>
      </c>
      <c r="F52" s="34">
        <f>IFERROR(D52/C52,0)</f>
        <v/>
      </c>
      <c r="G52" s="46" t="inlineStr"/>
    </row>
    <row r="53" ht="18" customHeight="1">
      <c r="A53" s="42" t="inlineStr">
        <is>
          <t>SAVINGS &amp; INVESTMENTS</t>
        </is>
      </c>
      <c r="B53" s="42" t="inlineStr">
        <is>
          <t>Pension/IRA</t>
        </is>
      </c>
      <c r="C53" s="29" t="n">
        <v>0</v>
      </c>
      <c r="D53" s="29" t="n">
        <v>0</v>
      </c>
      <c r="E53" s="28">
        <f>C53-D53</f>
        <v/>
      </c>
      <c r="F53" s="48">
        <f>IFERROR(D53/C53,0)</f>
        <v/>
      </c>
      <c r="G53" s="42" t="inlineStr"/>
    </row>
    <row r="54" ht="18" customHeight="1">
      <c r="A54" s="46" t="inlineStr">
        <is>
          <t>SAVINGS &amp; INVESTMENTS</t>
        </is>
      </c>
      <c r="B54" s="46" t="inlineStr">
        <is>
          <t>Stocks</t>
        </is>
      </c>
      <c r="C54" s="22" t="n">
        <v>0</v>
      </c>
      <c r="D54" s="22" t="n">
        <v>0</v>
      </c>
      <c r="E54" s="47">
        <f>C54-D54</f>
        <v/>
      </c>
      <c r="F54" s="34">
        <f>IFERROR(D54/C54,0)</f>
        <v/>
      </c>
      <c r="G54" s="46" t="inlineStr"/>
    </row>
    <row r="55" ht="18" customHeight="1">
      <c r="A55" s="42" t="inlineStr">
        <is>
          <t>SAVINGS &amp; INVESTMENTS</t>
        </is>
      </c>
      <c r="B55" s="42" t="inlineStr">
        <is>
          <t>Vacation Fund</t>
        </is>
      </c>
      <c r="C55" s="29" t="n">
        <v>0</v>
      </c>
      <c r="D55" s="29" t="n">
        <v>0</v>
      </c>
      <c r="E55" s="28">
        <f>C55-D55</f>
        <v/>
      </c>
      <c r="F55" s="48">
        <f>IFERROR(D55/C55,0)</f>
        <v/>
      </c>
      <c r="G55" s="42" t="inlineStr"/>
    </row>
    <row r="56" ht="18" customHeight="1">
      <c r="A56" s="46" t="inlineStr">
        <is>
          <t>SAVINGS &amp; INVESTMENTS</t>
        </is>
      </c>
      <c r="B56" s="46" t="inlineStr">
        <is>
          <t>Other Savings</t>
        </is>
      </c>
      <c r="C56" s="22" t="n">
        <v>0</v>
      </c>
      <c r="D56" s="22" t="n">
        <v>0</v>
      </c>
      <c r="E56" s="47">
        <f>C56-D56</f>
        <v/>
      </c>
      <c r="F56" s="34">
        <f>IFERROR(D56/C56,0)</f>
        <v/>
      </c>
      <c r="G56" s="46" t="inlineStr"/>
    </row>
    <row r="57" ht="20" customHeight="1">
      <c r="A57" s="49" t="inlineStr">
        <is>
          <t>Subtotal — SAVINGS &amp; INVESTMENTS</t>
        </is>
      </c>
      <c r="B57" s="50" t="n"/>
      <c r="C57" s="51">
        <f>SUM(C52:C56)</f>
        <v/>
      </c>
      <c r="D57" s="51">
        <f>SUM(D52:D56)</f>
        <v/>
      </c>
      <c r="E57" s="51">
        <f>C57-D57</f>
        <v/>
      </c>
      <c r="F57" s="52">
        <f>IFERROR(D57/C57,0)</f>
        <v/>
      </c>
      <c r="G57" s="53" t="inlineStr"/>
    </row>
    <row r="58" ht="22" customHeight="1">
      <c r="A58" s="54" t="inlineStr">
        <is>
          <t>DEBT PAYMENTS</t>
        </is>
      </c>
    </row>
    <row r="59" ht="18" customHeight="1">
      <c r="A59" s="46" t="inlineStr">
        <is>
          <t>DEBT PAYMENTS</t>
        </is>
      </c>
      <c r="B59" s="46" t="inlineStr">
        <is>
          <t>Credit Card 1</t>
        </is>
      </c>
      <c r="C59" s="22" t="n">
        <v>0</v>
      </c>
      <c r="D59" s="22" t="n">
        <v>0</v>
      </c>
      <c r="E59" s="47">
        <f>C59-D59</f>
        <v/>
      </c>
      <c r="F59" s="34">
        <f>IFERROR(D59/C59,0)</f>
        <v/>
      </c>
      <c r="G59" s="46" t="inlineStr"/>
    </row>
    <row r="60" ht="18" customHeight="1">
      <c r="A60" s="42" t="inlineStr">
        <is>
          <t>DEBT PAYMENTS</t>
        </is>
      </c>
      <c r="B60" s="42" t="inlineStr">
        <is>
          <t>Credit Card 2</t>
        </is>
      </c>
      <c r="C60" s="29" t="n">
        <v>0</v>
      </c>
      <c r="D60" s="29" t="n">
        <v>0</v>
      </c>
      <c r="E60" s="28">
        <f>C60-D60</f>
        <v/>
      </c>
      <c r="F60" s="48">
        <f>IFERROR(D60/C60,0)</f>
        <v/>
      </c>
      <c r="G60" s="42" t="inlineStr"/>
    </row>
    <row r="61" ht="18" customHeight="1">
      <c r="A61" s="46" t="inlineStr">
        <is>
          <t>DEBT PAYMENTS</t>
        </is>
      </c>
      <c r="B61" s="46" t="inlineStr">
        <is>
          <t>Student Loan</t>
        </is>
      </c>
      <c r="C61" s="22" t="n">
        <v>0</v>
      </c>
      <c r="D61" s="22" t="n">
        <v>0</v>
      </c>
      <c r="E61" s="47">
        <f>C61-D61</f>
        <v/>
      </c>
      <c r="F61" s="34">
        <f>IFERROR(D61/C61,0)</f>
        <v/>
      </c>
      <c r="G61" s="46" t="inlineStr"/>
    </row>
    <row r="62" ht="18" customHeight="1">
      <c r="A62" s="42" t="inlineStr">
        <is>
          <t>DEBT PAYMENTS</t>
        </is>
      </c>
      <c r="B62" s="42" t="inlineStr">
        <is>
          <t>Car Loan</t>
        </is>
      </c>
      <c r="C62" s="29" t="n">
        <v>0</v>
      </c>
      <c r="D62" s="29" t="n">
        <v>0</v>
      </c>
      <c r="E62" s="28">
        <f>C62-D62</f>
        <v/>
      </c>
      <c r="F62" s="48">
        <f>IFERROR(D62/C62,0)</f>
        <v/>
      </c>
      <c r="G62" s="42" t="inlineStr"/>
    </row>
    <row r="63" ht="18" customHeight="1">
      <c r="A63" s="46" t="inlineStr">
        <is>
          <t>DEBT PAYMENTS</t>
        </is>
      </c>
      <c r="B63" s="46" t="inlineStr">
        <is>
          <t>Other</t>
        </is>
      </c>
      <c r="C63" s="22" t="n">
        <v>0</v>
      </c>
      <c r="D63" s="22" t="n">
        <v>0</v>
      </c>
      <c r="E63" s="47">
        <f>C63-D63</f>
        <v/>
      </c>
      <c r="F63" s="34">
        <f>IFERROR(D63/C63,0)</f>
        <v/>
      </c>
      <c r="G63" s="46" t="inlineStr"/>
    </row>
    <row r="64" ht="20" customHeight="1">
      <c r="A64" s="49" t="inlineStr">
        <is>
          <t>Subtotal — DEBT PAYMENTS</t>
        </is>
      </c>
      <c r="B64" s="50" t="n"/>
      <c r="C64" s="51">
        <f>SUM(C59:C63)</f>
        <v/>
      </c>
      <c r="D64" s="51">
        <f>SUM(D59:D63)</f>
        <v/>
      </c>
      <c r="E64" s="51">
        <f>C64-D64</f>
        <v/>
      </c>
      <c r="F64" s="52">
        <f>IFERROR(D64/C64,0)</f>
        <v/>
      </c>
      <c r="G64" s="53" t="inlineStr"/>
    </row>
    <row r="65" ht="24" customHeight="1">
      <c r="A65" s="55" t="inlineStr">
        <is>
          <t>GRAND TOTAL EXPENSES</t>
        </is>
      </c>
      <c r="B65" s="7" t="n"/>
      <c r="C65" s="56">
        <f>C15+C22+C29+C36+C43+C50+C57+C64</f>
        <v/>
      </c>
      <c r="D65" s="56">
        <f>D15+D22+D29+D36+D43+D50+D57+D64</f>
        <v/>
      </c>
      <c r="E65" s="56">
        <f>C65-D65</f>
        <v/>
      </c>
      <c r="F65" s="57" t="inlineStr"/>
      <c r="G65" s="57" t="inlineStr"/>
    </row>
    <row r="66" ht="26" customHeight="1">
      <c r="A66" s="58" t="inlineStr">
        <is>
          <t>NET CASH FLOW</t>
        </is>
      </c>
      <c r="B66" s="4" t="n"/>
      <c r="C66" s="59">
        <f>C8-C65</f>
        <v/>
      </c>
      <c r="D66" s="59">
        <f>D8-D65</f>
        <v/>
      </c>
      <c r="E66" s="59">
        <f>C66-D66</f>
        <v/>
      </c>
      <c r="F66" s="60" t="inlineStr"/>
      <c r="G66" s="60" t="inlineStr"/>
    </row>
    <row r="68" ht="18" customHeight="1">
      <c r="I68" s="12" t="inlineStr">
        <is>
          <t>Category</t>
        </is>
      </c>
      <c r="J68" s="12" t="inlineStr">
        <is>
          <t>Budgeted</t>
        </is>
      </c>
      <c r="K68" s="12" t="inlineStr">
        <is>
          <t>Actual</t>
        </is>
      </c>
    </row>
    <row r="69" ht="18" customHeight="1">
      <c r="I69" s="46" t="inlineStr">
        <is>
          <t>HOUSING</t>
        </is>
      </c>
      <c r="J69" s="47">
        <f>C15</f>
        <v/>
      </c>
      <c r="K69" s="47">
        <f>D15</f>
        <v/>
      </c>
    </row>
    <row r="70" ht="18" customHeight="1">
      <c r="I70" s="42" t="inlineStr">
        <is>
          <t>TRANSPORT</t>
        </is>
      </c>
      <c r="J70" s="28">
        <f>C22</f>
        <v/>
      </c>
      <c r="K70" s="28">
        <f>D22</f>
        <v/>
      </c>
    </row>
    <row r="71" ht="18" customHeight="1">
      <c r="I71" s="46" t="inlineStr">
        <is>
          <t>FOOD &amp; DINING</t>
        </is>
      </c>
      <c r="J71" s="47">
        <f>C29</f>
        <v/>
      </c>
      <c r="K71" s="47">
        <f>D29</f>
        <v/>
      </c>
    </row>
    <row r="72" ht="18" customHeight="1">
      <c r="I72" s="42" t="inlineStr">
        <is>
          <t>HEALTH &amp; WELLNESS</t>
        </is>
      </c>
      <c r="J72" s="28">
        <f>C36</f>
        <v/>
      </c>
      <c r="K72" s="28">
        <f>D36</f>
        <v/>
      </c>
    </row>
    <row r="73" ht="18" customHeight="1">
      <c r="I73" s="46" t="inlineStr">
        <is>
          <t>LIFESTYLE</t>
        </is>
      </c>
      <c r="J73" s="47">
        <f>C43</f>
        <v/>
      </c>
      <c r="K73" s="47">
        <f>D43</f>
        <v/>
      </c>
    </row>
    <row r="74" ht="18" customHeight="1">
      <c r="I74" s="42" t="inlineStr">
        <is>
          <t>PERSONAL</t>
        </is>
      </c>
      <c r="J74" s="28">
        <f>C50</f>
        <v/>
      </c>
      <c r="K74" s="28">
        <f>D50</f>
        <v/>
      </c>
    </row>
    <row r="75" ht="18" customHeight="1">
      <c r="I75" s="46" t="inlineStr">
        <is>
          <t>SAVINGS &amp; INVESTMENTS</t>
        </is>
      </c>
      <c r="J75" s="47">
        <f>C57</f>
        <v/>
      </c>
      <c r="K75" s="47">
        <f>D57</f>
        <v/>
      </c>
    </row>
    <row r="76" ht="18" customHeight="1">
      <c r="I76" s="42" t="inlineStr">
        <is>
          <t>DEBT PAYMENTS</t>
        </is>
      </c>
      <c r="J76" s="28">
        <f>C64</f>
        <v/>
      </c>
      <c r="K76" s="28">
        <f>D64</f>
        <v/>
      </c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5C8A52"/>
    <outlinePr summaryBelow="1" summaryRight="1"/>
    <pageSetUpPr/>
  </sheetPr>
  <dimension ref="A1:K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4" customWidth="1" min="5" max="5"/>
    <col width="11" customWidth="1" min="6" max="6"/>
    <col width="20" customWidth="1" min="7" max="7"/>
  </cols>
  <sheetData>
    <row r="1" ht="48" customHeight="1">
      <c r="A1" s="44" t="inlineStr">
        <is>
          <t>NOVEMBER  ·  MONTHLY BUDGET</t>
        </is>
      </c>
    </row>
    <row r="2" ht="20" customHeight="1">
      <c r="A2" s="2" t="inlineStr">
        <is>
          <t>Track your income and expenses for November</t>
        </is>
      </c>
    </row>
    <row r="3" ht="22" customHeight="1">
      <c r="A3" s="3" t="inlineStr">
        <is>
          <t>CATEGORY</t>
        </is>
      </c>
      <c r="B3" s="3" t="inlineStr">
        <is>
          <t>SUBCATEGORY</t>
        </is>
      </c>
      <c r="C3" s="3" t="inlineStr">
        <is>
          <t>BUDGETED</t>
        </is>
      </c>
      <c r="D3" s="3" t="inlineStr">
        <is>
          <t>ACTUAL</t>
        </is>
      </c>
      <c r="E3" s="3" t="inlineStr">
        <is>
          <t>DIFFERENCE</t>
        </is>
      </c>
      <c r="F3" s="3" t="inlineStr">
        <is>
          <t>% USED</t>
        </is>
      </c>
      <c r="G3" s="3" t="inlineStr">
        <is>
          <t>NOTES</t>
        </is>
      </c>
    </row>
    <row r="4" ht="22" customHeight="1">
      <c r="A4" s="45" t="inlineStr">
        <is>
          <t>INCOME</t>
        </is>
      </c>
    </row>
    <row r="5" ht="18" customHeight="1">
      <c r="A5" s="46" t="inlineStr">
        <is>
          <t>INCOME</t>
        </is>
      </c>
      <c r="B5" s="46" t="inlineStr">
        <is>
          <t>Primary Income</t>
        </is>
      </c>
      <c r="C5" s="22" t="n">
        <v>0</v>
      </c>
      <c r="D5" s="22" t="n">
        <v>0</v>
      </c>
      <c r="E5" s="47">
        <f>C5-D5</f>
        <v/>
      </c>
      <c r="F5" s="34">
        <f>IFERROR(D5/C5,0)</f>
        <v/>
      </c>
      <c r="G5" s="46" t="inlineStr"/>
    </row>
    <row r="6" ht="18" customHeight="1">
      <c r="A6" s="42" t="inlineStr">
        <is>
          <t>INCOME</t>
        </is>
      </c>
      <c r="B6" s="42" t="inlineStr">
        <is>
          <t>Side Income</t>
        </is>
      </c>
      <c r="C6" s="29" t="n">
        <v>0</v>
      </c>
      <c r="D6" s="29" t="n">
        <v>0</v>
      </c>
      <c r="E6" s="28">
        <f>C6-D6</f>
        <v/>
      </c>
      <c r="F6" s="48">
        <f>IFERROR(D6/C6,0)</f>
        <v/>
      </c>
      <c r="G6" s="42" t="inlineStr"/>
    </row>
    <row r="7" ht="18" customHeight="1">
      <c r="A7" s="46" t="inlineStr">
        <is>
          <t>INCOME</t>
        </is>
      </c>
      <c r="B7" s="46" t="inlineStr">
        <is>
          <t>Other Income</t>
        </is>
      </c>
      <c r="C7" s="22" t="n">
        <v>0</v>
      </c>
      <c r="D7" s="22" t="n">
        <v>0</v>
      </c>
      <c r="E7" s="47">
        <f>C7-D7</f>
        <v/>
      </c>
      <c r="F7" s="34">
        <f>IFERROR(D7/C7,0)</f>
        <v/>
      </c>
      <c r="G7" s="46" t="inlineStr"/>
    </row>
    <row r="8" ht="20" customHeight="1">
      <c r="A8" s="49" t="inlineStr">
        <is>
          <t>TOTAL INCOME</t>
        </is>
      </c>
      <c r="B8" s="50" t="n"/>
      <c r="C8" s="51">
        <f>SUM(C5:C7)</f>
        <v/>
      </c>
      <c r="D8" s="51">
        <f>SUM(D5:D7)</f>
        <v/>
      </c>
      <c r="E8" s="51">
        <f>C8-D8</f>
        <v/>
      </c>
      <c r="F8" s="52">
        <f>IFERROR(D8/C8,0)</f>
        <v/>
      </c>
      <c r="G8" s="53" t="inlineStr"/>
    </row>
    <row r="9" ht="22" customHeight="1">
      <c r="A9" s="54" t="inlineStr">
        <is>
          <t>HOUSING</t>
        </is>
      </c>
    </row>
    <row r="10" ht="18" customHeight="1">
      <c r="A10" s="46" t="inlineStr">
        <is>
          <t>HOUSING</t>
        </is>
      </c>
      <c r="B10" s="46" t="inlineStr">
        <is>
          <t>Rent/Mortgage</t>
        </is>
      </c>
      <c r="C10" s="22" t="n">
        <v>0</v>
      </c>
      <c r="D10" s="22" t="n">
        <v>0</v>
      </c>
      <c r="E10" s="47">
        <f>C10-D10</f>
        <v/>
      </c>
      <c r="F10" s="34">
        <f>IFERROR(D10/C10,0)</f>
        <v/>
      </c>
      <c r="G10" s="46" t="inlineStr"/>
    </row>
    <row r="11" ht="18" customHeight="1">
      <c r="A11" s="42" t="inlineStr">
        <is>
          <t>HOUSING</t>
        </is>
      </c>
      <c r="B11" s="42" t="inlineStr">
        <is>
          <t>Utilities</t>
        </is>
      </c>
      <c r="C11" s="29" t="n">
        <v>0</v>
      </c>
      <c r="D11" s="29" t="n">
        <v>0</v>
      </c>
      <c r="E11" s="28">
        <f>C11-D11</f>
        <v/>
      </c>
      <c r="F11" s="48">
        <f>IFERROR(D11/C11,0)</f>
        <v/>
      </c>
      <c r="G11" s="42" t="inlineStr"/>
    </row>
    <row r="12" ht="18" customHeight="1">
      <c r="A12" s="46" t="inlineStr">
        <is>
          <t>HOUSING</t>
        </is>
      </c>
      <c r="B12" s="46" t="inlineStr">
        <is>
          <t>Electricity</t>
        </is>
      </c>
      <c r="C12" s="22" t="n">
        <v>0</v>
      </c>
      <c r="D12" s="22" t="n">
        <v>0</v>
      </c>
      <c r="E12" s="47">
        <f>C12-D12</f>
        <v/>
      </c>
      <c r="F12" s="34">
        <f>IFERROR(D12/C12,0)</f>
        <v/>
      </c>
      <c r="G12" s="46" t="inlineStr"/>
    </row>
    <row r="13" ht="18" customHeight="1">
      <c r="A13" s="42" t="inlineStr">
        <is>
          <t>HOUSING</t>
        </is>
      </c>
      <c r="B13" s="42" t="inlineStr">
        <is>
          <t>Internet</t>
        </is>
      </c>
      <c r="C13" s="29" t="n">
        <v>0</v>
      </c>
      <c r="D13" s="29" t="n">
        <v>0</v>
      </c>
      <c r="E13" s="28">
        <f>C13-D13</f>
        <v/>
      </c>
      <c r="F13" s="48">
        <f>IFERROR(D13/C13,0)</f>
        <v/>
      </c>
      <c r="G13" s="42" t="inlineStr"/>
    </row>
    <row r="14" ht="18" customHeight="1">
      <c r="A14" s="46" t="inlineStr">
        <is>
          <t>HOUSING</t>
        </is>
      </c>
      <c r="B14" s="46" t="inlineStr">
        <is>
          <t>Home Insurance</t>
        </is>
      </c>
      <c r="C14" s="22" t="n">
        <v>0</v>
      </c>
      <c r="D14" s="22" t="n">
        <v>0</v>
      </c>
      <c r="E14" s="47">
        <f>C14-D14</f>
        <v/>
      </c>
      <c r="F14" s="34">
        <f>IFERROR(D14/C14,0)</f>
        <v/>
      </c>
      <c r="G14" s="46" t="inlineStr"/>
    </row>
    <row r="15" ht="20" customHeight="1">
      <c r="A15" s="49" t="inlineStr">
        <is>
          <t>Subtotal — HOUSING</t>
        </is>
      </c>
      <c r="B15" s="50" t="n"/>
      <c r="C15" s="51">
        <f>SUM(C10:C14)</f>
        <v/>
      </c>
      <c r="D15" s="51">
        <f>SUM(D10:D14)</f>
        <v/>
      </c>
      <c r="E15" s="51">
        <f>C15-D15</f>
        <v/>
      </c>
      <c r="F15" s="52">
        <f>IFERROR(D15/C15,0)</f>
        <v/>
      </c>
      <c r="G15" s="53" t="inlineStr"/>
    </row>
    <row r="16" ht="22" customHeight="1">
      <c r="A16" s="54" t="inlineStr">
        <is>
          <t>TRANSPORT</t>
        </is>
      </c>
    </row>
    <row r="17" ht="18" customHeight="1">
      <c r="A17" s="46" t="inlineStr">
        <is>
          <t>TRANSPORT</t>
        </is>
      </c>
      <c r="B17" s="46" t="inlineStr">
        <is>
          <t>Car Payment</t>
        </is>
      </c>
      <c r="C17" s="22" t="n">
        <v>0</v>
      </c>
      <c r="D17" s="22" t="n">
        <v>0</v>
      </c>
      <c r="E17" s="47">
        <f>C17-D17</f>
        <v/>
      </c>
      <c r="F17" s="34">
        <f>IFERROR(D17/C17,0)</f>
        <v/>
      </c>
      <c r="G17" s="46" t="inlineStr"/>
    </row>
    <row r="18" ht="18" customHeight="1">
      <c r="A18" s="42" t="inlineStr">
        <is>
          <t>TRANSPORT</t>
        </is>
      </c>
      <c r="B18" s="42" t="inlineStr">
        <is>
          <t>Fuel</t>
        </is>
      </c>
      <c r="C18" s="29" t="n">
        <v>0</v>
      </c>
      <c r="D18" s="29" t="n">
        <v>0</v>
      </c>
      <c r="E18" s="28">
        <f>C18-D18</f>
        <v/>
      </c>
      <c r="F18" s="48">
        <f>IFERROR(D18/C18,0)</f>
        <v/>
      </c>
      <c r="G18" s="42" t="inlineStr"/>
    </row>
    <row r="19" ht="18" customHeight="1">
      <c r="A19" s="46" t="inlineStr">
        <is>
          <t>TRANSPORT</t>
        </is>
      </c>
      <c r="B19" s="46" t="inlineStr">
        <is>
          <t>Car Insurance</t>
        </is>
      </c>
      <c r="C19" s="22" t="n">
        <v>0</v>
      </c>
      <c r="D19" s="22" t="n">
        <v>0</v>
      </c>
      <c r="E19" s="47">
        <f>C19-D19</f>
        <v/>
      </c>
      <c r="F19" s="34">
        <f>IFERROR(D19/C19,0)</f>
        <v/>
      </c>
      <c r="G19" s="46" t="inlineStr"/>
    </row>
    <row r="20" ht="18" customHeight="1">
      <c r="A20" s="42" t="inlineStr">
        <is>
          <t>TRANSPORT</t>
        </is>
      </c>
      <c r="B20" s="42" t="inlineStr">
        <is>
          <t>Parking</t>
        </is>
      </c>
      <c r="C20" s="29" t="n">
        <v>0</v>
      </c>
      <c r="D20" s="29" t="n">
        <v>0</v>
      </c>
      <c r="E20" s="28">
        <f>C20-D20</f>
        <v/>
      </c>
      <c r="F20" s="48">
        <f>IFERROR(D20/C20,0)</f>
        <v/>
      </c>
      <c r="G20" s="42" t="inlineStr"/>
    </row>
    <row r="21" ht="18" customHeight="1">
      <c r="A21" s="46" t="inlineStr">
        <is>
          <t>TRANSPORT</t>
        </is>
      </c>
      <c r="B21" s="46" t="inlineStr">
        <is>
          <t>Public Transport</t>
        </is>
      </c>
      <c r="C21" s="22" t="n">
        <v>0</v>
      </c>
      <c r="D21" s="22" t="n">
        <v>0</v>
      </c>
      <c r="E21" s="47">
        <f>C21-D21</f>
        <v/>
      </c>
      <c r="F21" s="34">
        <f>IFERROR(D21/C21,0)</f>
        <v/>
      </c>
      <c r="G21" s="46" t="inlineStr"/>
    </row>
    <row r="22" ht="20" customHeight="1">
      <c r="A22" s="49" t="inlineStr">
        <is>
          <t>Subtotal — TRANSPORT</t>
        </is>
      </c>
      <c r="B22" s="50" t="n"/>
      <c r="C22" s="51">
        <f>SUM(C17:C21)</f>
        <v/>
      </c>
      <c r="D22" s="51">
        <f>SUM(D17:D21)</f>
        <v/>
      </c>
      <c r="E22" s="51">
        <f>C22-D22</f>
        <v/>
      </c>
      <c r="F22" s="52">
        <f>IFERROR(D22/C22,0)</f>
        <v/>
      </c>
      <c r="G22" s="53" t="inlineStr"/>
    </row>
    <row r="23" ht="22" customHeight="1">
      <c r="A23" s="54" t="inlineStr">
        <is>
          <t>FOOD &amp; DINING</t>
        </is>
      </c>
    </row>
    <row r="24" ht="18" customHeight="1">
      <c r="A24" s="46" t="inlineStr">
        <is>
          <t>FOOD &amp; DINING</t>
        </is>
      </c>
      <c r="B24" s="46" t="inlineStr">
        <is>
          <t>Groceries</t>
        </is>
      </c>
      <c r="C24" s="22" t="n">
        <v>0</v>
      </c>
      <c r="D24" s="22" t="n">
        <v>0</v>
      </c>
      <c r="E24" s="47">
        <f>C24-D24</f>
        <v/>
      </c>
      <c r="F24" s="34">
        <f>IFERROR(D24/C24,0)</f>
        <v/>
      </c>
      <c r="G24" s="46" t="inlineStr"/>
    </row>
    <row r="25" ht="18" customHeight="1">
      <c r="A25" s="42" t="inlineStr">
        <is>
          <t>FOOD &amp; DINING</t>
        </is>
      </c>
      <c r="B25" s="42" t="inlineStr">
        <is>
          <t>Restaurants</t>
        </is>
      </c>
      <c r="C25" s="29" t="n">
        <v>0</v>
      </c>
      <c r="D25" s="29" t="n">
        <v>0</v>
      </c>
      <c r="E25" s="28">
        <f>C25-D25</f>
        <v/>
      </c>
      <c r="F25" s="48">
        <f>IFERROR(D25/C25,0)</f>
        <v/>
      </c>
      <c r="G25" s="42" t="inlineStr"/>
    </row>
    <row r="26" ht="18" customHeight="1">
      <c r="A26" s="46" t="inlineStr">
        <is>
          <t>FOOD &amp; DINING</t>
        </is>
      </c>
      <c r="B26" s="46" t="inlineStr">
        <is>
          <t>Coffee</t>
        </is>
      </c>
      <c r="C26" s="22" t="n">
        <v>0</v>
      </c>
      <c r="D26" s="22" t="n">
        <v>0</v>
      </c>
      <c r="E26" s="47">
        <f>C26-D26</f>
        <v/>
      </c>
      <c r="F26" s="34">
        <f>IFERROR(D26/C26,0)</f>
        <v/>
      </c>
      <c r="G26" s="46" t="inlineStr"/>
    </row>
    <row r="27" ht="18" customHeight="1">
      <c r="A27" s="42" t="inlineStr">
        <is>
          <t>FOOD &amp; DINING</t>
        </is>
      </c>
      <c r="B27" s="42" t="inlineStr">
        <is>
          <t>Food Delivery</t>
        </is>
      </c>
      <c r="C27" s="29" t="n">
        <v>0</v>
      </c>
      <c r="D27" s="29" t="n">
        <v>0</v>
      </c>
      <c r="E27" s="28">
        <f>C27-D27</f>
        <v/>
      </c>
      <c r="F27" s="48">
        <f>IFERROR(D27/C27,0)</f>
        <v/>
      </c>
      <c r="G27" s="42" t="inlineStr"/>
    </row>
    <row r="28" ht="18" customHeight="1">
      <c r="A28" s="46" t="inlineStr">
        <is>
          <t>FOOD &amp; DINING</t>
        </is>
      </c>
      <c r="B28" s="46" t="inlineStr">
        <is>
          <t>Work Lunch</t>
        </is>
      </c>
      <c r="C28" s="22" t="n">
        <v>0</v>
      </c>
      <c r="D28" s="22" t="n">
        <v>0</v>
      </c>
      <c r="E28" s="47">
        <f>C28-D28</f>
        <v/>
      </c>
      <c r="F28" s="34">
        <f>IFERROR(D28/C28,0)</f>
        <v/>
      </c>
      <c r="G28" s="46" t="inlineStr"/>
    </row>
    <row r="29" ht="20" customHeight="1">
      <c r="A29" s="49" t="inlineStr">
        <is>
          <t>Subtotal — FOOD &amp; DINING</t>
        </is>
      </c>
      <c r="B29" s="50" t="n"/>
      <c r="C29" s="51">
        <f>SUM(C24:C28)</f>
        <v/>
      </c>
      <c r="D29" s="51">
        <f>SUM(D24:D28)</f>
        <v/>
      </c>
      <c r="E29" s="51">
        <f>C29-D29</f>
        <v/>
      </c>
      <c r="F29" s="52">
        <f>IFERROR(D29/C29,0)</f>
        <v/>
      </c>
      <c r="G29" s="53" t="inlineStr"/>
    </row>
    <row r="30" ht="22" customHeight="1">
      <c r="A30" s="54" t="inlineStr">
        <is>
          <t>HEALTH &amp; WELLNESS</t>
        </is>
      </c>
    </row>
    <row r="31" ht="18" customHeight="1">
      <c r="A31" s="46" t="inlineStr">
        <is>
          <t>HEALTH &amp; WELLNESS</t>
        </is>
      </c>
      <c r="B31" s="46" t="inlineStr">
        <is>
          <t>Health Insurance</t>
        </is>
      </c>
      <c r="C31" s="22" t="n">
        <v>0</v>
      </c>
      <c r="D31" s="22" t="n">
        <v>0</v>
      </c>
      <c r="E31" s="47">
        <f>C31-D31</f>
        <v/>
      </c>
      <c r="F31" s="34">
        <f>IFERROR(D31/C31,0)</f>
        <v/>
      </c>
      <c r="G31" s="46" t="inlineStr"/>
    </row>
    <row r="32" ht="18" customHeight="1">
      <c r="A32" s="42" t="inlineStr">
        <is>
          <t>HEALTH &amp; WELLNESS</t>
        </is>
      </c>
      <c r="B32" s="42" t="inlineStr">
        <is>
          <t>Gym</t>
        </is>
      </c>
      <c r="C32" s="29" t="n">
        <v>0</v>
      </c>
      <c r="D32" s="29" t="n">
        <v>0</v>
      </c>
      <c r="E32" s="28">
        <f>C32-D32</f>
        <v/>
      </c>
      <c r="F32" s="48">
        <f>IFERROR(D32/C32,0)</f>
        <v/>
      </c>
      <c r="G32" s="42" t="inlineStr"/>
    </row>
    <row r="33" ht="18" customHeight="1">
      <c r="A33" s="46" t="inlineStr">
        <is>
          <t>HEALTH &amp; WELLNESS</t>
        </is>
      </c>
      <c r="B33" s="46" t="inlineStr">
        <is>
          <t>Pharmacy</t>
        </is>
      </c>
      <c r="C33" s="22" t="n">
        <v>0</v>
      </c>
      <c r="D33" s="22" t="n">
        <v>0</v>
      </c>
      <c r="E33" s="47">
        <f>C33-D33</f>
        <v/>
      </c>
      <c r="F33" s="34">
        <f>IFERROR(D33/C33,0)</f>
        <v/>
      </c>
      <c r="G33" s="46" t="inlineStr"/>
    </row>
    <row r="34" ht="18" customHeight="1">
      <c r="A34" s="42" t="inlineStr">
        <is>
          <t>HEALTH &amp; WELLNESS</t>
        </is>
      </c>
      <c r="B34" s="42" t="inlineStr">
        <is>
          <t>Doctor</t>
        </is>
      </c>
      <c r="C34" s="29" t="n">
        <v>0</v>
      </c>
      <c r="D34" s="29" t="n">
        <v>0</v>
      </c>
      <c r="E34" s="28">
        <f>C34-D34</f>
        <v/>
      </c>
      <c r="F34" s="48">
        <f>IFERROR(D34/C34,0)</f>
        <v/>
      </c>
      <c r="G34" s="42" t="inlineStr"/>
    </row>
    <row r="35" ht="18" customHeight="1">
      <c r="A35" s="46" t="inlineStr">
        <is>
          <t>HEALTH &amp; WELLNESS</t>
        </is>
      </c>
      <c r="B35" s="46" t="inlineStr">
        <is>
          <t>Dental</t>
        </is>
      </c>
      <c r="C35" s="22" t="n">
        <v>0</v>
      </c>
      <c r="D35" s="22" t="n">
        <v>0</v>
      </c>
      <c r="E35" s="47">
        <f>C35-D35</f>
        <v/>
      </c>
      <c r="F35" s="34">
        <f>IFERROR(D35/C35,0)</f>
        <v/>
      </c>
      <c r="G35" s="46" t="inlineStr"/>
    </row>
    <row r="36" ht="20" customHeight="1">
      <c r="A36" s="49" t="inlineStr">
        <is>
          <t>Subtotal — HEALTH &amp; WELLNESS</t>
        </is>
      </c>
      <c r="B36" s="50" t="n"/>
      <c r="C36" s="51">
        <f>SUM(C31:C35)</f>
        <v/>
      </c>
      <c r="D36" s="51">
        <f>SUM(D31:D35)</f>
        <v/>
      </c>
      <c r="E36" s="51">
        <f>C36-D36</f>
        <v/>
      </c>
      <c r="F36" s="52">
        <f>IFERROR(D36/C36,0)</f>
        <v/>
      </c>
      <c r="G36" s="53" t="inlineStr"/>
    </row>
    <row r="37" ht="22" customHeight="1">
      <c r="A37" s="54" t="inlineStr">
        <is>
          <t>LIFESTYLE</t>
        </is>
      </c>
    </row>
    <row r="38" ht="18" customHeight="1">
      <c r="A38" s="46" t="inlineStr">
        <is>
          <t>LIFESTYLE</t>
        </is>
      </c>
      <c r="B38" s="46" t="inlineStr">
        <is>
          <t>Streaming Services</t>
        </is>
      </c>
      <c r="C38" s="22" t="n">
        <v>0</v>
      </c>
      <c r="D38" s="22" t="n">
        <v>0</v>
      </c>
      <c r="E38" s="47">
        <f>C38-D38</f>
        <v/>
      </c>
      <c r="F38" s="34">
        <f>IFERROR(D38/C38,0)</f>
        <v/>
      </c>
      <c r="G38" s="46" t="inlineStr"/>
    </row>
    <row r="39" ht="18" customHeight="1">
      <c r="A39" s="42" t="inlineStr">
        <is>
          <t>LIFESTYLE</t>
        </is>
      </c>
      <c r="B39" s="42" t="inlineStr">
        <is>
          <t>Entertainment</t>
        </is>
      </c>
      <c r="C39" s="29" t="n">
        <v>0</v>
      </c>
      <c r="D39" s="29" t="n">
        <v>0</v>
      </c>
      <c r="E39" s="28">
        <f>C39-D39</f>
        <v/>
      </c>
      <c r="F39" s="48">
        <f>IFERROR(D39/C39,0)</f>
        <v/>
      </c>
      <c r="G39" s="42" t="inlineStr"/>
    </row>
    <row r="40" ht="18" customHeight="1">
      <c r="A40" s="46" t="inlineStr">
        <is>
          <t>LIFESTYLE</t>
        </is>
      </c>
      <c r="B40" s="46" t="inlineStr">
        <is>
          <t>Hobbies</t>
        </is>
      </c>
      <c r="C40" s="22" t="n">
        <v>0</v>
      </c>
      <c r="D40" s="22" t="n">
        <v>0</v>
      </c>
      <c r="E40" s="47">
        <f>C40-D40</f>
        <v/>
      </c>
      <c r="F40" s="34">
        <f>IFERROR(D40/C40,0)</f>
        <v/>
      </c>
      <c r="G40" s="46" t="inlineStr"/>
    </row>
    <row r="41" ht="18" customHeight="1">
      <c r="A41" s="42" t="inlineStr">
        <is>
          <t>LIFESTYLE</t>
        </is>
      </c>
      <c r="B41" s="42" t="inlineStr">
        <is>
          <t>Personal Care</t>
        </is>
      </c>
      <c r="C41" s="29" t="n">
        <v>0</v>
      </c>
      <c r="D41" s="29" t="n">
        <v>0</v>
      </c>
      <c r="E41" s="28">
        <f>C41-D41</f>
        <v/>
      </c>
      <c r="F41" s="48">
        <f>IFERROR(D41/C41,0)</f>
        <v/>
      </c>
      <c r="G41" s="42" t="inlineStr"/>
    </row>
    <row r="42" ht="18" customHeight="1">
      <c r="A42" s="46" t="inlineStr">
        <is>
          <t>LIFESTYLE</t>
        </is>
      </c>
      <c r="B42" s="46" t="inlineStr">
        <is>
          <t>Books</t>
        </is>
      </c>
      <c r="C42" s="22" t="n">
        <v>0</v>
      </c>
      <c r="D42" s="22" t="n">
        <v>0</v>
      </c>
      <c r="E42" s="47">
        <f>C42-D42</f>
        <v/>
      </c>
      <c r="F42" s="34">
        <f>IFERROR(D42/C42,0)</f>
        <v/>
      </c>
      <c r="G42" s="46" t="inlineStr"/>
    </row>
    <row r="43" ht="20" customHeight="1">
      <c r="A43" s="49" t="inlineStr">
        <is>
          <t>Subtotal — LIFESTYLE</t>
        </is>
      </c>
      <c r="B43" s="50" t="n"/>
      <c r="C43" s="51">
        <f>SUM(C38:C42)</f>
        <v/>
      </c>
      <c r="D43" s="51">
        <f>SUM(D38:D42)</f>
        <v/>
      </c>
      <c r="E43" s="51">
        <f>C43-D43</f>
        <v/>
      </c>
      <c r="F43" s="52">
        <f>IFERROR(D43/C43,0)</f>
        <v/>
      </c>
      <c r="G43" s="53" t="inlineStr"/>
    </row>
    <row r="44" ht="22" customHeight="1">
      <c r="A44" s="54" t="inlineStr">
        <is>
          <t>PERSONAL</t>
        </is>
      </c>
    </row>
    <row r="45" ht="18" customHeight="1">
      <c r="A45" s="46" t="inlineStr">
        <is>
          <t>PERSONAL</t>
        </is>
      </c>
      <c r="B45" s="46" t="inlineStr">
        <is>
          <t>Clothing</t>
        </is>
      </c>
      <c r="C45" s="22" t="n">
        <v>0</v>
      </c>
      <c r="D45" s="22" t="n">
        <v>0</v>
      </c>
      <c r="E45" s="47">
        <f>C45-D45</f>
        <v/>
      </c>
      <c r="F45" s="34">
        <f>IFERROR(D45/C45,0)</f>
        <v/>
      </c>
      <c r="G45" s="46" t="inlineStr"/>
    </row>
    <row r="46" ht="18" customHeight="1">
      <c r="A46" s="42" t="inlineStr">
        <is>
          <t>PERSONAL</t>
        </is>
      </c>
      <c r="B46" s="42" t="inlineStr">
        <is>
          <t>Gifts</t>
        </is>
      </c>
      <c r="C46" s="29" t="n">
        <v>0</v>
      </c>
      <c r="D46" s="29" t="n">
        <v>0</v>
      </c>
      <c r="E46" s="28">
        <f>C46-D46</f>
        <v/>
      </c>
      <c r="F46" s="48">
        <f>IFERROR(D46/C46,0)</f>
        <v/>
      </c>
      <c r="G46" s="42" t="inlineStr"/>
    </row>
    <row r="47" ht="18" customHeight="1">
      <c r="A47" s="46" t="inlineStr">
        <is>
          <t>PERSONAL</t>
        </is>
      </c>
      <c r="B47" s="46" t="inlineStr">
        <is>
          <t>Education</t>
        </is>
      </c>
      <c r="C47" s="22" t="n">
        <v>0</v>
      </c>
      <c r="D47" s="22" t="n">
        <v>0</v>
      </c>
      <c r="E47" s="47">
        <f>C47-D47</f>
        <v/>
      </c>
      <c r="F47" s="34">
        <f>IFERROR(D47/C47,0)</f>
        <v/>
      </c>
      <c r="G47" s="46" t="inlineStr"/>
    </row>
    <row r="48" ht="18" customHeight="1">
      <c r="A48" s="42" t="inlineStr">
        <is>
          <t>PERSONAL</t>
        </is>
      </c>
      <c r="B48" s="42" t="inlineStr">
        <is>
          <t>Pet Care</t>
        </is>
      </c>
      <c r="C48" s="29" t="n">
        <v>0</v>
      </c>
      <c r="D48" s="29" t="n">
        <v>0</v>
      </c>
      <c r="E48" s="28">
        <f>C48-D48</f>
        <v/>
      </c>
      <c r="F48" s="48">
        <f>IFERROR(D48/C48,0)</f>
        <v/>
      </c>
      <c r="G48" s="42" t="inlineStr"/>
    </row>
    <row r="49" ht="18" customHeight="1">
      <c r="A49" s="46" t="inlineStr">
        <is>
          <t>PERSONAL</t>
        </is>
      </c>
      <c r="B49" s="46" t="inlineStr">
        <is>
          <t>Miscellaneous</t>
        </is>
      </c>
      <c r="C49" s="22" t="n">
        <v>0</v>
      </c>
      <c r="D49" s="22" t="n">
        <v>0</v>
      </c>
      <c r="E49" s="47">
        <f>C49-D49</f>
        <v/>
      </c>
      <c r="F49" s="34">
        <f>IFERROR(D49/C49,0)</f>
        <v/>
      </c>
      <c r="G49" s="46" t="inlineStr"/>
    </row>
    <row r="50" ht="20" customHeight="1">
      <c r="A50" s="49" t="inlineStr">
        <is>
          <t>Subtotal — PERSONAL</t>
        </is>
      </c>
      <c r="B50" s="50" t="n"/>
      <c r="C50" s="51">
        <f>SUM(C45:C49)</f>
        <v/>
      </c>
      <c r="D50" s="51">
        <f>SUM(D45:D49)</f>
        <v/>
      </c>
      <c r="E50" s="51">
        <f>C50-D50</f>
        <v/>
      </c>
      <c r="F50" s="52">
        <f>IFERROR(D50/C50,0)</f>
        <v/>
      </c>
      <c r="G50" s="53" t="inlineStr"/>
    </row>
    <row r="51" ht="22" customHeight="1">
      <c r="A51" s="54" t="inlineStr">
        <is>
          <t>SAVINGS &amp; INVESTMENTS</t>
        </is>
      </c>
    </row>
    <row r="52" ht="18" customHeight="1">
      <c r="A52" s="46" t="inlineStr">
        <is>
          <t>SAVINGS &amp; INVESTMENTS</t>
        </is>
      </c>
      <c r="B52" s="46" t="inlineStr">
        <is>
          <t>Emergency Fund</t>
        </is>
      </c>
      <c r="C52" s="22" t="n">
        <v>0</v>
      </c>
      <c r="D52" s="22" t="n">
        <v>0</v>
      </c>
      <c r="E52" s="47">
        <f>C52-D52</f>
        <v/>
      </c>
      <c r="F52" s="34">
        <f>IFERROR(D52/C52,0)</f>
        <v/>
      </c>
      <c r="G52" s="46" t="inlineStr"/>
    </row>
    <row r="53" ht="18" customHeight="1">
      <c r="A53" s="42" t="inlineStr">
        <is>
          <t>SAVINGS &amp; INVESTMENTS</t>
        </is>
      </c>
      <c r="B53" s="42" t="inlineStr">
        <is>
          <t>Pension/IRA</t>
        </is>
      </c>
      <c r="C53" s="29" t="n">
        <v>0</v>
      </c>
      <c r="D53" s="29" t="n">
        <v>0</v>
      </c>
      <c r="E53" s="28">
        <f>C53-D53</f>
        <v/>
      </c>
      <c r="F53" s="48">
        <f>IFERROR(D53/C53,0)</f>
        <v/>
      </c>
      <c r="G53" s="42" t="inlineStr"/>
    </row>
    <row r="54" ht="18" customHeight="1">
      <c r="A54" s="46" t="inlineStr">
        <is>
          <t>SAVINGS &amp; INVESTMENTS</t>
        </is>
      </c>
      <c r="B54" s="46" t="inlineStr">
        <is>
          <t>Stocks</t>
        </is>
      </c>
      <c r="C54" s="22" t="n">
        <v>0</v>
      </c>
      <c r="D54" s="22" t="n">
        <v>0</v>
      </c>
      <c r="E54" s="47">
        <f>C54-D54</f>
        <v/>
      </c>
      <c r="F54" s="34">
        <f>IFERROR(D54/C54,0)</f>
        <v/>
      </c>
      <c r="G54" s="46" t="inlineStr"/>
    </row>
    <row r="55" ht="18" customHeight="1">
      <c r="A55" s="42" t="inlineStr">
        <is>
          <t>SAVINGS &amp; INVESTMENTS</t>
        </is>
      </c>
      <c r="B55" s="42" t="inlineStr">
        <is>
          <t>Vacation Fund</t>
        </is>
      </c>
      <c r="C55" s="29" t="n">
        <v>0</v>
      </c>
      <c r="D55" s="29" t="n">
        <v>0</v>
      </c>
      <c r="E55" s="28">
        <f>C55-D55</f>
        <v/>
      </c>
      <c r="F55" s="48">
        <f>IFERROR(D55/C55,0)</f>
        <v/>
      </c>
      <c r="G55" s="42" t="inlineStr"/>
    </row>
    <row r="56" ht="18" customHeight="1">
      <c r="A56" s="46" t="inlineStr">
        <is>
          <t>SAVINGS &amp; INVESTMENTS</t>
        </is>
      </c>
      <c r="B56" s="46" t="inlineStr">
        <is>
          <t>Other Savings</t>
        </is>
      </c>
      <c r="C56" s="22" t="n">
        <v>0</v>
      </c>
      <c r="D56" s="22" t="n">
        <v>0</v>
      </c>
      <c r="E56" s="47">
        <f>C56-D56</f>
        <v/>
      </c>
      <c r="F56" s="34">
        <f>IFERROR(D56/C56,0)</f>
        <v/>
      </c>
      <c r="G56" s="46" t="inlineStr"/>
    </row>
    <row r="57" ht="20" customHeight="1">
      <c r="A57" s="49" t="inlineStr">
        <is>
          <t>Subtotal — SAVINGS &amp; INVESTMENTS</t>
        </is>
      </c>
      <c r="B57" s="50" t="n"/>
      <c r="C57" s="51">
        <f>SUM(C52:C56)</f>
        <v/>
      </c>
      <c r="D57" s="51">
        <f>SUM(D52:D56)</f>
        <v/>
      </c>
      <c r="E57" s="51">
        <f>C57-D57</f>
        <v/>
      </c>
      <c r="F57" s="52">
        <f>IFERROR(D57/C57,0)</f>
        <v/>
      </c>
      <c r="G57" s="53" t="inlineStr"/>
    </row>
    <row r="58" ht="22" customHeight="1">
      <c r="A58" s="54" t="inlineStr">
        <is>
          <t>DEBT PAYMENTS</t>
        </is>
      </c>
    </row>
    <row r="59" ht="18" customHeight="1">
      <c r="A59" s="46" t="inlineStr">
        <is>
          <t>DEBT PAYMENTS</t>
        </is>
      </c>
      <c r="B59" s="46" t="inlineStr">
        <is>
          <t>Credit Card 1</t>
        </is>
      </c>
      <c r="C59" s="22" t="n">
        <v>0</v>
      </c>
      <c r="D59" s="22" t="n">
        <v>0</v>
      </c>
      <c r="E59" s="47">
        <f>C59-D59</f>
        <v/>
      </c>
      <c r="F59" s="34">
        <f>IFERROR(D59/C59,0)</f>
        <v/>
      </c>
      <c r="G59" s="46" t="inlineStr"/>
    </row>
    <row r="60" ht="18" customHeight="1">
      <c r="A60" s="42" t="inlineStr">
        <is>
          <t>DEBT PAYMENTS</t>
        </is>
      </c>
      <c r="B60" s="42" t="inlineStr">
        <is>
          <t>Credit Card 2</t>
        </is>
      </c>
      <c r="C60" s="29" t="n">
        <v>0</v>
      </c>
      <c r="D60" s="29" t="n">
        <v>0</v>
      </c>
      <c r="E60" s="28">
        <f>C60-D60</f>
        <v/>
      </c>
      <c r="F60" s="48">
        <f>IFERROR(D60/C60,0)</f>
        <v/>
      </c>
      <c r="G60" s="42" t="inlineStr"/>
    </row>
    <row r="61" ht="18" customHeight="1">
      <c r="A61" s="46" t="inlineStr">
        <is>
          <t>DEBT PAYMENTS</t>
        </is>
      </c>
      <c r="B61" s="46" t="inlineStr">
        <is>
          <t>Student Loan</t>
        </is>
      </c>
      <c r="C61" s="22" t="n">
        <v>0</v>
      </c>
      <c r="D61" s="22" t="n">
        <v>0</v>
      </c>
      <c r="E61" s="47">
        <f>C61-D61</f>
        <v/>
      </c>
      <c r="F61" s="34">
        <f>IFERROR(D61/C61,0)</f>
        <v/>
      </c>
      <c r="G61" s="46" t="inlineStr"/>
    </row>
    <row r="62" ht="18" customHeight="1">
      <c r="A62" s="42" t="inlineStr">
        <is>
          <t>DEBT PAYMENTS</t>
        </is>
      </c>
      <c r="B62" s="42" t="inlineStr">
        <is>
          <t>Car Loan</t>
        </is>
      </c>
      <c r="C62" s="29" t="n">
        <v>0</v>
      </c>
      <c r="D62" s="29" t="n">
        <v>0</v>
      </c>
      <c r="E62" s="28">
        <f>C62-D62</f>
        <v/>
      </c>
      <c r="F62" s="48">
        <f>IFERROR(D62/C62,0)</f>
        <v/>
      </c>
      <c r="G62" s="42" t="inlineStr"/>
    </row>
    <row r="63" ht="18" customHeight="1">
      <c r="A63" s="46" t="inlineStr">
        <is>
          <t>DEBT PAYMENTS</t>
        </is>
      </c>
      <c r="B63" s="46" t="inlineStr">
        <is>
          <t>Other</t>
        </is>
      </c>
      <c r="C63" s="22" t="n">
        <v>0</v>
      </c>
      <c r="D63" s="22" t="n">
        <v>0</v>
      </c>
      <c r="E63" s="47">
        <f>C63-D63</f>
        <v/>
      </c>
      <c r="F63" s="34">
        <f>IFERROR(D63/C63,0)</f>
        <v/>
      </c>
      <c r="G63" s="46" t="inlineStr"/>
    </row>
    <row r="64" ht="20" customHeight="1">
      <c r="A64" s="49" t="inlineStr">
        <is>
          <t>Subtotal — DEBT PAYMENTS</t>
        </is>
      </c>
      <c r="B64" s="50" t="n"/>
      <c r="C64" s="51">
        <f>SUM(C59:C63)</f>
        <v/>
      </c>
      <c r="D64" s="51">
        <f>SUM(D59:D63)</f>
        <v/>
      </c>
      <c r="E64" s="51">
        <f>C64-D64</f>
        <v/>
      </c>
      <c r="F64" s="52">
        <f>IFERROR(D64/C64,0)</f>
        <v/>
      </c>
      <c r="G64" s="53" t="inlineStr"/>
    </row>
    <row r="65" ht="24" customHeight="1">
      <c r="A65" s="55" t="inlineStr">
        <is>
          <t>GRAND TOTAL EXPENSES</t>
        </is>
      </c>
      <c r="B65" s="7" t="n"/>
      <c r="C65" s="56">
        <f>C15+C22+C29+C36+C43+C50+C57+C64</f>
        <v/>
      </c>
      <c r="D65" s="56">
        <f>D15+D22+D29+D36+D43+D50+D57+D64</f>
        <v/>
      </c>
      <c r="E65" s="56">
        <f>C65-D65</f>
        <v/>
      </c>
      <c r="F65" s="57" t="inlineStr"/>
      <c r="G65" s="57" t="inlineStr"/>
    </row>
    <row r="66" ht="26" customHeight="1">
      <c r="A66" s="58" t="inlineStr">
        <is>
          <t>NET CASH FLOW</t>
        </is>
      </c>
      <c r="B66" s="4" t="n"/>
      <c r="C66" s="59">
        <f>C8-C65</f>
        <v/>
      </c>
      <c r="D66" s="59">
        <f>D8-D65</f>
        <v/>
      </c>
      <c r="E66" s="59">
        <f>C66-D66</f>
        <v/>
      </c>
      <c r="F66" s="60" t="inlineStr"/>
      <c r="G66" s="60" t="inlineStr"/>
    </row>
    <row r="68" ht="18" customHeight="1">
      <c r="I68" s="12" t="inlineStr">
        <is>
          <t>Category</t>
        </is>
      </c>
      <c r="J68" s="12" t="inlineStr">
        <is>
          <t>Budgeted</t>
        </is>
      </c>
      <c r="K68" s="12" t="inlineStr">
        <is>
          <t>Actual</t>
        </is>
      </c>
    </row>
    <row r="69" ht="18" customHeight="1">
      <c r="I69" s="46" t="inlineStr">
        <is>
          <t>HOUSING</t>
        </is>
      </c>
      <c r="J69" s="47">
        <f>C15</f>
        <v/>
      </c>
      <c r="K69" s="47">
        <f>D15</f>
        <v/>
      </c>
    </row>
    <row r="70" ht="18" customHeight="1">
      <c r="I70" s="42" t="inlineStr">
        <is>
          <t>TRANSPORT</t>
        </is>
      </c>
      <c r="J70" s="28">
        <f>C22</f>
        <v/>
      </c>
      <c r="K70" s="28">
        <f>D22</f>
        <v/>
      </c>
    </row>
    <row r="71" ht="18" customHeight="1">
      <c r="I71" s="46" t="inlineStr">
        <is>
          <t>FOOD &amp; DINING</t>
        </is>
      </c>
      <c r="J71" s="47">
        <f>C29</f>
        <v/>
      </c>
      <c r="K71" s="47">
        <f>D29</f>
        <v/>
      </c>
    </row>
    <row r="72" ht="18" customHeight="1">
      <c r="I72" s="42" t="inlineStr">
        <is>
          <t>HEALTH &amp; WELLNESS</t>
        </is>
      </c>
      <c r="J72" s="28">
        <f>C36</f>
        <v/>
      </c>
      <c r="K72" s="28">
        <f>D36</f>
        <v/>
      </c>
    </row>
    <row r="73" ht="18" customHeight="1">
      <c r="I73" s="46" t="inlineStr">
        <is>
          <t>LIFESTYLE</t>
        </is>
      </c>
      <c r="J73" s="47">
        <f>C43</f>
        <v/>
      </c>
      <c r="K73" s="47">
        <f>D43</f>
        <v/>
      </c>
    </row>
    <row r="74" ht="18" customHeight="1">
      <c r="I74" s="42" t="inlineStr">
        <is>
          <t>PERSONAL</t>
        </is>
      </c>
      <c r="J74" s="28">
        <f>C50</f>
        <v/>
      </c>
      <c r="K74" s="28">
        <f>D50</f>
        <v/>
      </c>
    </row>
    <row r="75" ht="18" customHeight="1">
      <c r="I75" s="46" t="inlineStr">
        <is>
          <t>SAVINGS &amp; INVESTMENTS</t>
        </is>
      </c>
      <c r="J75" s="47">
        <f>C57</f>
        <v/>
      </c>
      <c r="K75" s="47">
        <f>D57</f>
        <v/>
      </c>
    </row>
    <row r="76" ht="18" customHeight="1">
      <c r="I76" s="42" t="inlineStr">
        <is>
          <t>DEBT PAYMENTS</t>
        </is>
      </c>
      <c r="J76" s="28">
        <f>C64</f>
        <v/>
      </c>
      <c r="K76" s="28">
        <f>D64</f>
        <v/>
      </c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5C8A52"/>
    <outlinePr summaryBelow="1" summaryRight="1"/>
    <pageSetUpPr/>
  </sheetPr>
  <dimension ref="A1:K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4" customWidth="1" min="5" max="5"/>
    <col width="11" customWidth="1" min="6" max="6"/>
    <col width="20" customWidth="1" min="7" max="7"/>
  </cols>
  <sheetData>
    <row r="1" ht="48" customHeight="1">
      <c r="A1" s="44" t="inlineStr">
        <is>
          <t>DECEMBER  ·  MONTHLY BUDGET</t>
        </is>
      </c>
    </row>
    <row r="2" ht="20" customHeight="1">
      <c r="A2" s="2" t="inlineStr">
        <is>
          <t>Track your income and expenses for December</t>
        </is>
      </c>
    </row>
    <row r="3" ht="22" customHeight="1">
      <c r="A3" s="3" t="inlineStr">
        <is>
          <t>CATEGORY</t>
        </is>
      </c>
      <c r="B3" s="3" t="inlineStr">
        <is>
          <t>SUBCATEGORY</t>
        </is>
      </c>
      <c r="C3" s="3" t="inlineStr">
        <is>
          <t>BUDGETED</t>
        </is>
      </c>
      <c r="D3" s="3" t="inlineStr">
        <is>
          <t>ACTUAL</t>
        </is>
      </c>
      <c r="E3" s="3" t="inlineStr">
        <is>
          <t>DIFFERENCE</t>
        </is>
      </c>
      <c r="F3" s="3" t="inlineStr">
        <is>
          <t>% USED</t>
        </is>
      </c>
      <c r="G3" s="3" t="inlineStr">
        <is>
          <t>NOTES</t>
        </is>
      </c>
    </row>
    <row r="4" ht="22" customHeight="1">
      <c r="A4" s="45" t="inlineStr">
        <is>
          <t>INCOME</t>
        </is>
      </c>
    </row>
    <row r="5" ht="18" customHeight="1">
      <c r="A5" s="46" t="inlineStr">
        <is>
          <t>INCOME</t>
        </is>
      </c>
      <c r="B5" s="46" t="inlineStr">
        <is>
          <t>Primary Income</t>
        </is>
      </c>
      <c r="C5" s="22" t="n">
        <v>0</v>
      </c>
      <c r="D5" s="22" t="n">
        <v>0</v>
      </c>
      <c r="E5" s="47">
        <f>C5-D5</f>
        <v/>
      </c>
      <c r="F5" s="34">
        <f>IFERROR(D5/C5,0)</f>
        <v/>
      </c>
      <c r="G5" s="46" t="inlineStr"/>
    </row>
    <row r="6" ht="18" customHeight="1">
      <c r="A6" s="42" t="inlineStr">
        <is>
          <t>INCOME</t>
        </is>
      </c>
      <c r="B6" s="42" t="inlineStr">
        <is>
          <t>Side Income</t>
        </is>
      </c>
      <c r="C6" s="29" t="n">
        <v>0</v>
      </c>
      <c r="D6" s="29" t="n">
        <v>0</v>
      </c>
      <c r="E6" s="28">
        <f>C6-D6</f>
        <v/>
      </c>
      <c r="F6" s="48">
        <f>IFERROR(D6/C6,0)</f>
        <v/>
      </c>
      <c r="G6" s="42" t="inlineStr"/>
    </row>
    <row r="7" ht="18" customHeight="1">
      <c r="A7" s="46" t="inlineStr">
        <is>
          <t>INCOME</t>
        </is>
      </c>
      <c r="B7" s="46" t="inlineStr">
        <is>
          <t>Other Income</t>
        </is>
      </c>
      <c r="C7" s="22" t="n">
        <v>0</v>
      </c>
      <c r="D7" s="22" t="n">
        <v>0</v>
      </c>
      <c r="E7" s="47">
        <f>C7-D7</f>
        <v/>
      </c>
      <c r="F7" s="34">
        <f>IFERROR(D7/C7,0)</f>
        <v/>
      </c>
      <c r="G7" s="46" t="inlineStr"/>
    </row>
    <row r="8" ht="20" customHeight="1">
      <c r="A8" s="49" t="inlineStr">
        <is>
          <t>TOTAL INCOME</t>
        </is>
      </c>
      <c r="B8" s="50" t="n"/>
      <c r="C8" s="51">
        <f>SUM(C5:C7)</f>
        <v/>
      </c>
      <c r="D8" s="51">
        <f>SUM(D5:D7)</f>
        <v/>
      </c>
      <c r="E8" s="51">
        <f>C8-D8</f>
        <v/>
      </c>
      <c r="F8" s="52">
        <f>IFERROR(D8/C8,0)</f>
        <v/>
      </c>
      <c r="G8" s="53" t="inlineStr"/>
    </row>
    <row r="9" ht="22" customHeight="1">
      <c r="A9" s="54" t="inlineStr">
        <is>
          <t>HOUSING</t>
        </is>
      </c>
    </row>
    <row r="10" ht="18" customHeight="1">
      <c r="A10" s="46" t="inlineStr">
        <is>
          <t>HOUSING</t>
        </is>
      </c>
      <c r="B10" s="46" t="inlineStr">
        <is>
          <t>Rent/Mortgage</t>
        </is>
      </c>
      <c r="C10" s="22" t="n">
        <v>0</v>
      </c>
      <c r="D10" s="22" t="n">
        <v>0</v>
      </c>
      <c r="E10" s="47">
        <f>C10-D10</f>
        <v/>
      </c>
      <c r="F10" s="34">
        <f>IFERROR(D10/C10,0)</f>
        <v/>
      </c>
      <c r="G10" s="46" t="inlineStr"/>
    </row>
    <row r="11" ht="18" customHeight="1">
      <c r="A11" s="42" t="inlineStr">
        <is>
          <t>HOUSING</t>
        </is>
      </c>
      <c r="B11" s="42" t="inlineStr">
        <is>
          <t>Utilities</t>
        </is>
      </c>
      <c r="C11" s="29" t="n">
        <v>0</v>
      </c>
      <c r="D11" s="29" t="n">
        <v>0</v>
      </c>
      <c r="E11" s="28">
        <f>C11-D11</f>
        <v/>
      </c>
      <c r="F11" s="48">
        <f>IFERROR(D11/C11,0)</f>
        <v/>
      </c>
      <c r="G11" s="42" t="inlineStr"/>
    </row>
    <row r="12" ht="18" customHeight="1">
      <c r="A12" s="46" t="inlineStr">
        <is>
          <t>HOUSING</t>
        </is>
      </c>
      <c r="B12" s="46" t="inlineStr">
        <is>
          <t>Electricity</t>
        </is>
      </c>
      <c r="C12" s="22" t="n">
        <v>0</v>
      </c>
      <c r="D12" s="22" t="n">
        <v>0</v>
      </c>
      <c r="E12" s="47">
        <f>C12-D12</f>
        <v/>
      </c>
      <c r="F12" s="34">
        <f>IFERROR(D12/C12,0)</f>
        <v/>
      </c>
      <c r="G12" s="46" t="inlineStr"/>
    </row>
    <row r="13" ht="18" customHeight="1">
      <c r="A13" s="42" t="inlineStr">
        <is>
          <t>HOUSING</t>
        </is>
      </c>
      <c r="B13" s="42" t="inlineStr">
        <is>
          <t>Internet</t>
        </is>
      </c>
      <c r="C13" s="29" t="n">
        <v>0</v>
      </c>
      <c r="D13" s="29" t="n">
        <v>0</v>
      </c>
      <c r="E13" s="28">
        <f>C13-D13</f>
        <v/>
      </c>
      <c r="F13" s="48">
        <f>IFERROR(D13/C13,0)</f>
        <v/>
      </c>
      <c r="G13" s="42" t="inlineStr"/>
    </row>
    <row r="14" ht="18" customHeight="1">
      <c r="A14" s="46" t="inlineStr">
        <is>
          <t>HOUSING</t>
        </is>
      </c>
      <c r="B14" s="46" t="inlineStr">
        <is>
          <t>Home Insurance</t>
        </is>
      </c>
      <c r="C14" s="22" t="n">
        <v>0</v>
      </c>
      <c r="D14" s="22" t="n">
        <v>0</v>
      </c>
      <c r="E14" s="47">
        <f>C14-D14</f>
        <v/>
      </c>
      <c r="F14" s="34">
        <f>IFERROR(D14/C14,0)</f>
        <v/>
      </c>
      <c r="G14" s="46" t="inlineStr"/>
    </row>
    <row r="15" ht="20" customHeight="1">
      <c r="A15" s="49" t="inlineStr">
        <is>
          <t>Subtotal — HOUSING</t>
        </is>
      </c>
      <c r="B15" s="50" t="n"/>
      <c r="C15" s="51">
        <f>SUM(C10:C14)</f>
        <v/>
      </c>
      <c r="D15" s="51">
        <f>SUM(D10:D14)</f>
        <v/>
      </c>
      <c r="E15" s="51">
        <f>C15-D15</f>
        <v/>
      </c>
      <c r="F15" s="52">
        <f>IFERROR(D15/C15,0)</f>
        <v/>
      </c>
      <c r="G15" s="53" t="inlineStr"/>
    </row>
    <row r="16" ht="22" customHeight="1">
      <c r="A16" s="54" t="inlineStr">
        <is>
          <t>TRANSPORT</t>
        </is>
      </c>
    </row>
    <row r="17" ht="18" customHeight="1">
      <c r="A17" s="46" t="inlineStr">
        <is>
          <t>TRANSPORT</t>
        </is>
      </c>
      <c r="B17" s="46" t="inlineStr">
        <is>
          <t>Car Payment</t>
        </is>
      </c>
      <c r="C17" s="22" t="n">
        <v>0</v>
      </c>
      <c r="D17" s="22" t="n">
        <v>0</v>
      </c>
      <c r="E17" s="47">
        <f>C17-D17</f>
        <v/>
      </c>
      <c r="F17" s="34">
        <f>IFERROR(D17/C17,0)</f>
        <v/>
      </c>
      <c r="G17" s="46" t="inlineStr"/>
    </row>
    <row r="18" ht="18" customHeight="1">
      <c r="A18" s="42" t="inlineStr">
        <is>
          <t>TRANSPORT</t>
        </is>
      </c>
      <c r="B18" s="42" t="inlineStr">
        <is>
          <t>Fuel</t>
        </is>
      </c>
      <c r="C18" s="29" t="n">
        <v>0</v>
      </c>
      <c r="D18" s="29" t="n">
        <v>0</v>
      </c>
      <c r="E18" s="28">
        <f>C18-D18</f>
        <v/>
      </c>
      <c r="F18" s="48">
        <f>IFERROR(D18/C18,0)</f>
        <v/>
      </c>
      <c r="G18" s="42" t="inlineStr"/>
    </row>
    <row r="19" ht="18" customHeight="1">
      <c r="A19" s="46" t="inlineStr">
        <is>
          <t>TRANSPORT</t>
        </is>
      </c>
      <c r="B19" s="46" t="inlineStr">
        <is>
          <t>Car Insurance</t>
        </is>
      </c>
      <c r="C19" s="22" t="n">
        <v>0</v>
      </c>
      <c r="D19" s="22" t="n">
        <v>0</v>
      </c>
      <c r="E19" s="47">
        <f>C19-D19</f>
        <v/>
      </c>
      <c r="F19" s="34">
        <f>IFERROR(D19/C19,0)</f>
        <v/>
      </c>
      <c r="G19" s="46" t="inlineStr"/>
    </row>
    <row r="20" ht="18" customHeight="1">
      <c r="A20" s="42" t="inlineStr">
        <is>
          <t>TRANSPORT</t>
        </is>
      </c>
      <c r="B20" s="42" t="inlineStr">
        <is>
          <t>Parking</t>
        </is>
      </c>
      <c r="C20" s="29" t="n">
        <v>0</v>
      </c>
      <c r="D20" s="29" t="n">
        <v>0</v>
      </c>
      <c r="E20" s="28">
        <f>C20-D20</f>
        <v/>
      </c>
      <c r="F20" s="48">
        <f>IFERROR(D20/C20,0)</f>
        <v/>
      </c>
      <c r="G20" s="42" t="inlineStr"/>
    </row>
    <row r="21" ht="18" customHeight="1">
      <c r="A21" s="46" t="inlineStr">
        <is>
          <t>TRANSPORT</t>
        </is>
      </c>
      <c r="B21" s="46" t="inlineStr">
        <is>
          <t>Public Transport</t>
        </is>
      </c>
      <c r="C21" s="22" t="n">
        <v>0</v>
      </c>
      <c r="D21" s="22" t="n">
        <v>0</v>
      </c>
      <c r="E21" s="47">
        <f>C21-D21</f>
        <v/>
      </c>
      <c r="F21" s="34">
        <f>IFERROR(D21/C21,0)</f>
        <v/>
      </c>
      <c r="G21" s="46" t="inlineStr"/>
    </row>
    <row r="22" ht="20" customHeight="1">
      <c r="A22" s="49" t="inlineStr">
        <is>
          <t>Subtotal — TRANSPORT</t>
        </is>
      </c>
      <c r="B22" s="50" t="n"/>
      <c r="C22" s="51">
        <f>SUM(C17:C21)</f>
        <v/>
      </c>
      <c r="D22" s="51">
        <f>SUM(D17:D21)</f>
        <v/>
      </c>
      <c r="E22" s="51">
        <f>C22-D22</f>
        <v/>
      </c>
      <c r="F22" s="52">
        <f>IFERROR(D22/C22,0)</f>
        <v/>
      </c>
      <c r="G22" s="53" t="inlineStr"/>
    </row>
    <row r="23" ht="22" customHeight="1">
      <c r="A23" s="54" t="inlineStr">
        <is>
          <t>FOOD &amp; DINING</t>
        </is>
      </c>
    </row>
    <row r="24" ht="18" customHeight="1">
      <c r="A24" s="46" t="inlineStr">
        <is>
          <t>FOOD &amp; DINING</t>
        </is>
      </c>
      <c r="B24" s="46" t="inlineStr">
        <is>
          <t>Groceries</t>
        </is>
      </c>
      <c r="C24" s="22" t="n">
        <v>0</v>
      </c>
      <c r="D24" s="22" t="n">
        <v>0</v>
      </c>
      <c r="E24" s="47">
        <f>C24-D24</f>
        <v/>
      </c>
      <c r="F24" s="34">
        <f>IFERROR(D24/C24,0)</f>
        <v/>
      </c>
      <c r="G24" s="46" t="inlineStr"/>
    </row>
    <row r="25" ht="18" customHeight="1">
      <c r="A25" s="42" t="inlineStr">
        <is>
          <t>FOOD &amp; DINING</t>
        </is>
      </c>
      <c r="B25" s="42" t="inlineStr">
        <is>
          <t>Restaurants</t>
        </is>
      </c>
      <c r="C25" s="29" t="n">
        <v>0</v>
      </c>
      <c r="D25" s="29" t="n">
        <v>0</v>
      </c>
      <c r="E25" s="28">
        <f>C25-D25</f>
        <v/>
      </c>
      <c r="F25" s="48">
        <f>IFERROR(D25/C25,0)</f>
        <v/>
      </c>
      <c r="G25" s="42" t="inlineStr"/>
    </row>
    <row r="26" ht="18" customHeight="1">
      <c r="A26" s="46" t="inlineStr">
        <is>
          <t>FOOD &amp; DINING</t>
        </is>
      </c>
      <c r="B26" s="46" t="inlineStr">
        <is>
          <t>Coffee</t>
        </is>
      </c>
      <c r="C26" s="22" t="n">
        <v>0</v>
      </c>
      <c r="D26" s="22" t="n">
        <v>0</v>
      </c>
      <c r="E26" s="47">
        <f>C26-D26</f>
        <v/>
      </c>
      <c r="F26" s="34">
        <f>IFERROR(D26/C26,0)</f>
        <v/>
      </c>
      <c r="G26" s="46" t="inlineStr"/>
    </row>
    <row r="27" ht="18" customHeight="1">
      <c r="A27" s="42" t="inlineStr">
        <is>
          <t>FOOD &amp; DINING</t>
        </is>
      </c>
      <c r="B27" s="42" t="inlineStr">
        <is>
          <t>Food Delivery</t>
        </is>
      </c>
      <c r="C27" s="29" t="n">
        <v>0</v>
      </c>
      <c r="D27" s="29" t="n">
        <v>0</v>
      </c>
      <c r="E27" s="28">
        <f>C27-D27</f>
        <v/>
      </c>
      <c r="F27" s="48">
        <f>IFERROR(D27/C27,0)</f>
        <v/>
      </c>
      <c r="G27" s="42" t="inlineStr"/>
    </row>
    <row r="28" ht="18" customHeight="1">
      <c r="A28" s="46" t="inlineStr">
        <is>
          <t>FOOD &amp; DINING</t>
        </is>
      </c>
      <c r="B28" s="46" t="inlineStr">
        <is>
          <t>Work Lunch</t>
        </is>
      </c>
      <c r="C28" s="22" t="n">
        <v>0</v>
      </c>
      <c r="D28" s="22" t="n">
        <v>0</v>
      </c>
      <c r="E28" s="47">
        <f>C28-D28</f>
        <v/>
      </c>
      <c r="F28" s="34">
        <f>IFERROR(D28/C28,0)</f>
        <v/>
      </c>
      <c r="G28" s="46" t="inlineStr"/>
    </row>
    <row r="29" ht="20" customHeight="1">
      <c r="A29" s="49" t="inlineStr">
        <is>
          <t>Subtotal — FOOD &amp; DINING</t>
        </is>
      </c>
      <c r="B29" s="50" t="n"/>
      <c r="C29" s="51">
        <f>SUM(C24:C28)</f>
        <v/>
      </c>
      <c r="D29" s="51">
        <f>SUM(D24:D28)</f>
        <v/>
      </c>
      <c r="E29" s="51">
        <f>C29-D29</f>
        <v/>
      </c>
      <c r="F29" s="52">
        <f>IFERROR(D29/C29,0)</f>
        <v/>
      </c>
      <c r="G29" s="53" t="inlineStr"/>
    </row>
    <row r="30" ht="22" customHeight="1">
      <c r="A30" s="54" t="inlineStr">
        <is>
          <t>HEALTH &amp; WELLNESS</t>
        </is>
      </c>
    </row>
    <row r="31" ht="18" customHeight="1">
      <c r="A31" s="46" t="inlineStr">
        <is>
          <t>HEALTH &amp; WELLNESS</t>
        </is>
      </c>
      <c r="B31" s="46" t="inlineStr">
        <is>
          <t>Health Insurance</t>
        </is>
      </c>
      <c r="C31" s="22" t="n">
        <v>0</v>
      </c>
      <c r="D31" s="22" t="n">
        <v>0</v>
      </c>
      <c r="E31" s="47">
        <f>C31-D31</f>
        <v/>
      </c>
      <c r="F31" s="34">
        <f>IFERROR(D31/C31,0)</f>
        <v/>
      </c>
      <c r="G31" s="46" t="inlineStr"/>
    </row>
    <row r="32" ht="18" customHeight="1">
      <c r="A32" s="42" t="inlineStr">
        <is>
          <t>HEALTH &amp; WELLNESS</t>
        </is>
      </c>
      <c r="B32" s="42" t="inlineStr">
        <is>
          <t>Gym</t>
        </is>
      </c>
      <c r="C32" s="29" t="n">
        <v>0</v>
      </c>
      <c r="D32" s="29" t="n">
        <v>0</v>
      </c>
      <c r="E32" s="28">
        <f>C32-D32</f>
        <v/>
      </c>
      <c r="F32" s="48">
        <f>IFERROR(D32/C32,0)</f>
        <v/>
      </c>
      <c r="G32" s="42" t="inlineStr"/>
    </row>
    <row r="33" ht="18" customHeight="1">
      <c r="A33" s="46" t="inlineStr">
        <is>
          <t>HEALTH &amp; WELLNESS</t>
        </is>
      </c>
      <c r="B33" s="46" t="inlineStr">
        <is>
          <t>Pharmacy</t>
        </is>
      </c>
      <c r="C33" s="22" t="n">
        <v>0</v>
      </c>
      <c r="D33" s="22" t="n">
        <v>0</v>
      </c>
      <c r="E33" s="47">
        <f>C33-D33</f>
        <v/>
      </c>
      <c r="F33" s="34">
        <f>IFERROR(D33/C33,0)</f>
        <v/>
      </c>
      <c r="G33" s="46" t="inlineStr"/>
    </row>
    <row r="34" ht="18" customHeight="1">
      <c r="A34" s="42" t="inlineStr">
        <is>
          <t>HEALTH &amp; WELLNESS</t>
        </is>
      </c>
      <c r="B34" s="42" t="inlineStr">
        <is>
          <t>Doctor</t>
        </is>
      </c>
      <c r="C34" s="29" t="n">
        <v>0</v>
      </c>
      <c r="D34" s="29" t="n">
        <v>0</v>
      </c>
      <c r="E34" s="28">
        <f>C34-D34</f>
        <v/>
      </c>
      <c r="F34" s="48">
        <f>IFERROR(D34/C34,0)</f>
        <v/>
      </c>
      <c r="G34" s="42" t="inlineStr"/>
    </row>
    <row r="35" ht="18" customHeight="1">
      <c r="A35" s="46" t="inlineStr">
        <is>
          <t>HEALTH &amp; WELLNESS</t>
        </is>
      </c>
      <c r="B35" s="46" t="inlineStr">
        <is>
          <t>Dental</t>
        </is>
      </c>
      <c r="C35" s="22" t="n">
        <v>0</v>
      </c>
      <c r="D35" s="22" t="n">
        <v>0</v>
      </c>
      <c r="E35" s="47">
        <f>C35-D35</f>
        <v/>
      </c>
      <c r="F35" s="34">
        <f>IFERROR(D35/C35,0)</f>
        <v/>
      </c>
      <c r="G35" s="46" t="inlineStr"/>
    </row>
    <row r="36" ht="20" customHeight="1">
      <c r="A36" s="49" t="inlineStr">
        <is>
          <t>Subtotal — HEALTH &amp; WELLNESS</t>
        </is>
      </c>
      <c r="B36" s="50" t="n"/>
      <c r="C36" s="51">
        <f>SUM(C31:C35)</f>
        <v/>
      </c>
      <c r="D36" s="51">
        <f>SUM(D31:D35)</f>
        <v/>
      </c>
      <c r="E36" s="51">
        <f>C36-D36</f>
        <v/>
      </c>
      <c r="F36" s="52">
        <f>IFERROR(D36/C36,0)</f>
        <v/>
      </c>
      <c r="G36" s="53" t="inlineStr"/>
    </row>
    <row r="37" ht="22" customHeight="1">
      <c r="A37" s="54" t="inlineStr">
        <is>
          <t>LIFESTYLE</t>
        </is>
      </c>
    </row>
    <row r="38" ht="18" customHeight="1">
      <c r="A38" s="46" t="inlineStr">
        <is>
          <t>LIFESTYLE</t>
        </is>
      </c>
      <c r="B38" s="46" t="inlineStr">
        <is>
          <t>Streaming Services</t>
        </is>
      </c>
      <c r="C38" s="22" t="n">
        <v>0</v>
      </c>
      <c r="D38" s="22" t="n">
        <v>0</v>
      </c>
      <c r="E38" s="47">
        <f>C38-D38</f>
        <v/>
      </c>
      <c r="F38" s="34">
        <f>IFERROR(D38/C38,0)</f>
        <v/>
      </c>
      <c r="G38" s="46" t="inlineStr"/>
    </row>
    <row r="39" ht="18" customHeight="1">
      <c r="A39" s="42" t="inlineStr">
        <is>
          <t>LIFESTYLE</t>
        </is>
      </c>
      <c r="B39" s="42" t="inlineStr">
        <is>
          <t>Entertainment</t>
        </is>
      </c>
      <c r="C39" s="29" t="n">
        <v>0</v>
      </c>
      <c r="D39" s="29" t="n">
        <v>0</v>
      </c>
      <c r="E39" s="28">
        <f>C39-D39</f>
        <v/>
      </c>
      <c r="F39" s="48">
        <f>IFERROR(D39/C39,0)</f>
        <v/>
      </c>
      <c r="G39" s="42" t="inlineStr"/>
    </row>
    <row r="40" ht="18" customHeight="1">
      <c r="A40" s="46" t="inlineStr">
        <is>
          <t>LIFESTYLE</t>
        </is>
      </c>
      <c r="B40" s="46" t="inlineStr">
        <is>
          <t>Hobbies</t>
        </is>
      </c>
      <c r="C40" s="22" t="n">
        <v>0</v>
      </c>
      <c r="D40" s="22" t="n">
        <v>0</v>
      </c>
      <c r="E40" s="47">
        <f>C40-D40</f>
        <v/>
      </c>
      <c r="F40" s="34">
        <f>IFERROR(D40/C40,0)</f>
        <v/>
      </c>
      <c r="G40" s="46" t="inlineStr"/>
    </row>
    <row r="41" ht="18" customHeight="1">
      <c r="A41" s="42" t="inlineStr">
        <is>
          <t>LIFESTYLE</t>
        </is>
      </c>
      <c r="B41" s="42" t="inlineStr">
        <is>
          <t>Personal Care</t>
        </is>
      </c>
      <c r="C41" s="29" t="n">
        <v>0</v>
      </c>
      <c r="D41" s="29" t="n">
        <v>0</v>
      </c>
      <c r="E41" s="28">
        <f>C41-D41</f>
        <v/>
      </c>
      <c r="F41" s="48">
        <f>IFERROR(D41/C41,0)</f>
        <v/>
      </c>
      <c r="G41" s="42" t="inlineStr"/>
    </row>
    <row r="42" ht="18" customHeight="1">
      <c r="A42" s="46" t="inlineStr">
        <is>
          <t>LIFESTYLE</t>
        </is>
      </c>
      <c r="B42" s="46" t="inlineStr">
        <is>
          <t>Books</t>
        </is>
      </c>
      <c r="C42" s="22" t="n">
        <v>0</v>
      </c>
      <c r="D42" s="22" t="n">
        <v>0</v>
      </c>
      <c r="E42" s="47">
        <f>C42-D42</f>
        <v/>
      </c>
      <c r="F42" s="34">
        <f>IFERROR(D42/C42,0)</f>
        <v/>
      </c>
      <c r="G42" s="46" t="inlineStr"/>
    </row>
    <row r="43" ht="20" customHeight="1">
      <c r="A43" s="49" t="inlineStr">
        <is>
          <t>Subtotal — LIFESTYLE</t>
        </is>
      </c>
      <c r="B43" s="50" t="n"/>
      <c r="C43" s="51">
        <f>SUM(C38:C42)</f>
        <v/>
      </c>
      <c r="D43" s="51">
        <f>SUM(D38:D42)</f>
        <v/>
      </c>
      <c r="E43" s="51">
        <f>C43-D43</f>
        <v/>
      </c>
      <c r="F43" s="52">
        <f>IFERROR(D43/C43,0)</f>
        <v/>
      </c>
      <c r="G43" s="53" t="inlineStr"/>
    </row>
    <row r="44" ht="22" customHeight="1">
      <c r="A44" s="54" t="inlineStr">
        <is>
          <t>PERSONAL</t>
        </is>
      </c>
    </row>
    <row r="45" ht="18" customHeight="1">
      <c r="A45" s="46" t="inlineStr">
        <is>
          <t>PERSONAL</t>
        </is>
      </c>
      <c r="B45" s="46" t="inlineStr">
        <is>
          <t>Clothing</t>
        </is>
      </c>
      <c r="C45" s="22" t="n">
        <v>0</v>
      </c>
      <c r="D45" s="22" t="n">
        <v>0</v>
      </c>
      <c r="E45" s="47">
        <f>C45-D45</f>
        <v/>
      </c>
      <c r="F45" s="34">
        <f>IFERROR(D45/C45,0)</f>
        <v/>
      </c>
      <c r="G45" s="46" t="inlineStr"/>
    </row>
    <row r="46" ht="18" customHeight="1">
      <c r="A46" s="42" t="inlineStr">
        <is>
          <t>PERSONAL</t>
        </is>
      </c>
      <c r="B46" s="42" t="inlineStr">
        <is>
          <t>Gifts</t>
        </is>
      </c>
      <c r="C46" s="29" t="n">
        <v>0</v>
      </c>
      <c r="D46" s="29" t="n">
        <v>0</v>
      </c>
      <c r="E46" s="28">
        <f>C46-D46</f>
        <v/>
      </c>
      <c r="F46" s="48">
        <f>IFERROR(D46/C46,0)</f>
        <v/>
      </c>
      <c r="G46" s="42" t="inlineStr"/>
    </row>
    <row r="47" ht="18" customHeight="1">
      <c r="A47" s="46" t="inlineStr">
        <is>
          <t>PERSONAL</t>
        </is>
      </c>
      <c r="B47" s="46" t="inlineStr">
        <is>
          <t>Education</t>
        </is>
      </c>
      <c r="C47" s="22" t="n">
        <v>0</v>
      </c>
      <c r="D47" s="22" t="n">
        <v>0</v>
      </c>
      <c r="E47" s="47">
        <f>C47-D47</f>
        <v/>
      </c>
      <c r="F47" s="34">
        <f>IFERROR(D47/C47,0)</f>
        <v/>
      </c>
      <c r="G47" s="46" t="inlineStr"/>
    </row>
    <row r="48" ht="18" customHeight="1">
      <c r="A48" s="42" t="inlineStr">
        <is>
          <t>PERSONAL</t>
        </is>
      </c>
      <c r="B48" s="42" t="inlineStr">
        <is>
          <t>Pet Care</t>
        </is>
      </c>
      <c r="C48" s="29" t="n">
        <v>0</v>
      </c>
      <c r="D48" s="29" t="n">
        <v>0</v>
      </c>
      <c r="E48" s="28">
        <f>C48-D48</f>
        <v/>
      </c>
      <c r="F48" s="48">
        <f>IFERROR(D48/C48,0)</f>
        <v/>
      </c>
      <c r="G48" s="42" t="inlineStr"/>
    </row>
    <row r="49" ht="18" customHeight="1">
      <c r="A49" s="46" t="inlineStr">
        <is>
          <t>PERSONAL</t>
        </is>
      </c>
      <c r="B49" s="46" t="inlineStr">
        <is>
          <t>Miscellaneous</t>
        </is>
      </c>
      <c r="C49" s="22" t="n">
        <v>0</v>
      </c>
      <c r="D49" s="22" t="n">
        <v>0</v>
      </c>
      <c r="E49" s="47">
        <f>C49-D49</f>
        <v/>
      </c>
      <c r="F49" s="34">
        <f>IFERROR(D49/C49,0)</f>
        <v/>
      </c>
      <c r="G49" s="46" t="inlineStr"/>
    </row>
    <row r="50" ht="20" customHeight="1">
      <c r="A50" s="49" t="inlineStr">
        <is>
          <t>Subtotal — PERSONAL</t>
        </is>
      </c>
      <c r="B50" s="50" t="n"/>
      <c r="C50" s="51">
        <f>SUM(C45:C49)</f>
        <v/>
      </c>
      <c r="D50" s="51">
        <f>SUM(D45:D49)</f>
        <v/>
      </c>
      <c r="E50" s="51">
        <f>C50-D50</f>
        <v/>
      </c>
      <c r="F50" s="52">
        <f>IFERROR(D50/C50,0)</f>
        <v/>
      </c>
      <c r="G50" s="53" t="inlineStr"/>
    </row>
    <row r="51" ht="22" customHeight="1">
      <c r="A51" s="54" t="inlineStr">
        <is>
          <t>SAVINGS &amp; INVESTMENTS</t>
        </is>
      </c>
    </row>
    <row r="52" ht="18" customHeight="1">
      <c r="A52" s="46" t="inlineStr">
        <is>
          <t>SAVINGS &amp; INVESTMENTS</t>
        </is>
      </c>
      <c r="B52" s="46" t="inlineStr">
        <is>
          <t>Emergency Fund</t>
        </is>
      </c>
      <c r="C52" s="22" t="n">
        <v>0</v>
      </c>
      <c r="D52" s="22" t="n">
        <v>0</v>
      </c>
      <c r="E52" s="47">
        <f>C52-D52</f>
        <v/>
      </c>
      <c r="F52" s="34">
        <f>IFERROR(D52/C52,0)</f>
        <v/>
      </c>
      <c r="G52" s="46" t="inlineStr"/>
    </row>
    <row r="53" ht="18" customHeight="1">
      <c r="A53" s="42" t="inlineStr">
        <is>
          <t>SAVINGS &amp; INVESTMENTS</t>
        </is>
      </c>
      <c r="B53" s="42" t="inlineStr">
        <is>
          <t>Pension/IRA</t>
        </is>
      </c>
      <c r="C53" s="29" t="n">
        <v>0</v>
      </c>
      <c r="D53" s="29" t="n">
        <v>0</v>
      </c>
      <c r="E53" s="28">
        <f>C53-D53</f>
        <v/>
      </c>
      <c r="F53" s="48">
        <f>IFERROR(D53/C53,0)</f>
        <v/>
      </c>
      <c r="G53" s="42" t="inlineStr"/>
    </row>
    <row r="54" ht="18" customHeight="1">
      <c r="A54" s="46" t="inlineStr">
        <is>
          <t>SAVINGS &amp; INVESTMENTS</t>
        </is>
      </c>
      <c r="B54" s="46" t="inlineStr">
        <is>
          <t>Stocks</t>
        </is>
      </c>
      <c r="C54" s="22" t="n">
        <v>0</v>
      </c>
      <c r="D54" s="22" t="n">
        <v>0</v>
      </c>
      <c r="E54" s="47">
        <f>C54-D54</f>
        <v/>
      </c>
      <c r="F54" s="34">
        <f>IFERROR(D54/C54,0)</f>
        <v/>
      </c>
      <c r="G54" s="46" t="inlineStr"/>
    </row>
    <row r="55" ht="18" customHeight="1">
      <c r="A55" s="42" t="inlineStr">
        <is>
          <t>SAVINGS &amp; INVESTMENTS</t>
        </is>
      </c>
      <c r="B55" s="42" t="inlineStr">
        <is>
          <t>Vacation Fund</t>
        </is>
      </c>
      <c r="C55" s="29" t="n">
        <v>0</v>
      </c>
      <c r="D55" s="29" t="n">
        <v>0</v>
      </c>
      <c r="E55" s="28">
        <f>C55-D55</f>
        <v/>
      </c>
      <c r="F55" s="48">
        <f>IFERROR(D55/C55,0)</f>
        <v/>
      </c>
      <c r="G55" s="42" t="inlineStr"/>
    </row>
    <row r="56" ht="18" customHeight="1">
      <c r="A56" s="46" t="inlineStr">
        <is>
          <t>SAVINGS &amp; INVESTMENTS</t>
        </is>
      </c>
      <c r="B56" s="46" t="inlineStr">
        <is>
          <t>Other Savings</t>
        </is>
      </c>
      <c r="C56" s="22" t="n">
        <v>0</v>
      </c>
      <c r="D56" s="22" t="n">
        <v>0</v>
      </c>
      <c r="E56" s="47">
        <f>C56-D56</f>
        <v/>
      </c>
      <c r="F56" s="34">
        <f>IFERROR(D56/C56,0)</f>
        <v/>
      </c>
      <c r="G56" s="46" t="inlineStr"/>
    </row>
    <row r="57" ht="20" customHeight="1">
      <c r="A57" s="49" t="inlineStr">
        <is>
          <t>Subtotal — SAVINGS &amp; INVESTMENTS</t>
        </is>
      </c>
      <c r="B57" s="50" t="n"/>
      <c r="C57" s="51">
        <f>SUM(C52:C56)</f>
        <v/>
      </c>
      <c r="D57" s="51">
        <f>SUM(D52:D56)</f>
        <v/>
      </c>
      <c r="E57" s="51">
        <f>C57-D57</f>
        <v/>
      </c>
      <c r="F57" s="52">
        <f>IFERROR(D57/C57,0)</f>
        <v/>
      </c>
      <c r="G57" s="53" t="inlineStr"/>
    </row>
    <row r="58" ht="22" customHeight="1">
      <c r="A58" s="54" t="inlineStr">
        <is>
          <t>DEBT PAYMENTS</t>
        </is>
      </c>
    </row>
    <row r="59" ht="18" customHeight="1">
      <c r="A59" s="46" t="inlineStr">
        <is>
          <t>DEBT PAYMENTS</t>
        </is>
      </c>
      <c r="B59" s="46" t="inlineStr">
        <is>
          <t>Credit Card 1</t>
        </is>
      </c>
      <c r="C59" s="22" t="n">
        <v>0</v>
      </c>
      <c r="D59" s="22" t="n">
        <v>0</v>
      </c>
      <c r="E59" s="47">
        <f>C59-D59</f>
        <v/>
      </c>
      <c r="F59" s="34">
        <f>IFERROR(D59/C59,0)</f>
        <v/>
      </c>
      <c r="G59" s="46" t="inlineStr"/>
    </row>
    <row r="60" ht="18" customHeight="1">
      <c r="A60" s="42" t="inlineStr">
        <is>
          <t>DEBT PAYMENTS</t>
        </is>
      </c>
      <c r="B60" s="42" t="inlineStr">
        <is>
          <t>Credit Card 2</t>
        </is>
      </c>
      <c r="C60" s="29" t="n">
        <v>0</v>
      </c>
      <c r="D60" s="29" t="n">
        <v>0</v>
      </c>
      <c r="E60" s="28">
        <f>C60-D60</f>
        <v/>
      </c>
      <c r="F60" s="48">
        <f>IFERROR(D60/C60,0)</f>
        <v/>
      </c>
      <c r="G60" s="42" t="inlineStr"/>
    </row>
    <row r="61" ht="18" customHeight="1">
      <c r="A61" s="46" t="inlineStr">
        <is>
          <t>DEBT PAYMENTS</t>
        </is>
      </c>
      <c r="B61" s="46" t="inlineStr">
        <is>
          <t>Student Loan</t>
        </is>
      </c>
      <c r="C61" s="22" t="n">
        <v>0</v>
      </c>
      <c r="D61" s="22" t="n">
        <v>0</v>
      </c>
      <c r="E61" s="47">
        <f>C61-D61</f>
        <v/>
      </c>
      <c r="F61" s="34">
        <f>IFERROR(D61/C61,0)</f>
        <v/>
      </c>
      <c r="G61" s="46" t="inlineStr"/>
    </row>
    <row r="62" ht="18" customHeight="1">
      <c r="A62" s="42" t="inlineStr">
        <is>
          <t>DEBT PAYMENTS</t>
        </is>
      </c>
      <c r="B62" s="42" t="inlineStr">
        <is>
          <t>Car Loan</t>
        </is>
      </c>
      <c r="C62" s="29" t="n">
        <v>0</v>
      </c>
      <c r="D62" s="29" t="n">
        <v>0</v>
      </c>
      <c r="E62" s="28">
        <f>C62-D62</f>
        <v/>
      </c>
      <c r="F62" s="48">
        <f>IFERROR(D62/C62,0)</f>
        <v/>
      </c>
      <c r="G62" s="42" t="inlineStr"/>
    </row>
    <row r="63" ht="18" customHeight="1">
      <c r="A63" s="46" t="inlineStr">
        <is>
          <t>DEBT PAYMENTS</t>
        </is>
      </c>
      <c r="B63" s="46" t="inlineStr">
        <is>
          <t>Other</t>
        </is>
      </c>
      <c r="C63" s="22" t="n">
        <v>0</v>
      </c>
      <c r="D63" s="22" t="n">
        <v>0</v>
      </c>
      <c r="E63" s="47">
        <f>C63-D63</f>
        <v/>
      </c>
      <c r="F63" s="34">
        <f>IFERROR(D63/C63,0)</f>
        <v/>
      </c>
      <c r="G63" s="46" t="inlineStr"/>
    </row>
    <row r="64" ht="20" customHeight="1">
      <c r="A64" s="49" t="inlineStr">
        <is>
          <t>Subtotal — DEBT PAYMENTS</t>
        </is>
      </c>
      <c r="B64" s="50" t="n"/>
      <c r="C64" s="51">
        <f>SUM(C59:C63)</f>
        <v/>
      </c>
      <c r="D64" s="51">
        <f>SUM(D59:D63)</f>
        <v/>
      </c>
      <c r="E64" s="51">
        <f>C64-D64</f>
        <v/>
      </c>
      <c r="F64" s="52">
        <f>IFERROR(D64/C64,0)</f>
        <v/>
      </c>
      <c r="G64" s="53" t="inlineStr"/>
    </row>
    <row r="65" ht="24" customHeight="1">
      <c r="A65" s="55" t="inlineStr">
        <is>
          <t>GRAND TOTAL EXPENSES</t>
        </is>
      </c>
      <c r="B65" s="7" t="n"/>
      <c r="C65" s="56">
        <f>C15+C22+C29+C36+C43+C50+C57+C64</f>
        <v/>
      </c>
      <c r="D65" s="56">
        <f>D15+D22+D29+D36+D43+D50+D57+D64</f>
        <v/>
      </c>
      <c r="E65" s="56">
        <f>C65-D65</f>
        <v/>
      </c>
      <c r="F65" s="57" t="inlineStr"/>
      <c r="G65" s="57" t="inlineStr"/>
    </row>
    <row r="66" ht="26" customHeight="1">
      <c r="A66" s="58" t="inlineStr">
        <is>
          <t>NET CASH FLOW</t>
        </is>
      </c>
      <c r="B66" s="4" t="n"/>
      <c r="C66" s="59">
        <f>C8-C65</f>
        <v/>
      </c>
      <c r="D66" s="59">
        <f>D8-D65</f>
        <v/>
      </c>
      <c r="E66" s="59">
        <f>C66-D66</f>
        <v/>
      </c>
      <c r="F66" s="60" t="inlineStr"/>
      <c r="G66" s="60" t="inlineStr"/>
    </row>
    <row r="68" ht="18" customHeight="1">
      <c r="I68" s="12" t="inlineStr">
        <is>
          <t>Category</t>
        </is>
      </c>
      <c r="J68" s="12" t="inlineStr">
        <is>
          <t>Budgeted</t>
        </is>
      </c>
      <c r="K68" s="12" t="inlineStr">
        <is>
          <t>Actual</t>
        </is>
      </c>
    </row>
    <row r="69" ht="18" customHeight="1">
      <c r="I69" s="46" t="inlineStr">
        <is>
          <t>HOUSING</t>
        </is>
      </c>
      <c r="J69" s="47">
        <f>C15</f>
        <v/>
      </c>
      <c r="K69" s="47">
        <f>D15</f>
        <v/>
      </c>
    </row>
    <row r="70" ht="18" customHeight="1">
      <c r="I70" s="42" t="inlineStr">
        <is>
          <t>TRANSPORT</t>
        </is>
      </c>
      <c r="J70" s="28">
        <f>C22</f>
        <v/>
      </c>
      <c r="K70" s="28">
        <f>D22</f>
        <v/>
      </c>
    </row>
    <row r="71" ht="18" customHeight="1">
      <c r="I71" s="46" t="inlineStr">
        <is>
          <t>FOOD &amp; DINING</t>
        </is>
      </c>
      <c r="J71" s="47">
        <f>C29</f>
        <v/>
      </c>
      <c r="K71" s="47">
        <f>D29</f>
        <v/>
      </c>
    </row>
    <row r="72" ht="18" customHeight="1">
      <c r="I72" s="42" t="inlineStr">
        <is>
          <t>HEALTH &amp; WELLNESS</t>
        </is>
      </c>
      <c r="J72" s="28">
        <f>C36</f>
        <v/>
      </c>
      <c r="K72" s="28">
        <f>D36</f>
        <v/>
      </c>
    </row>
    <row r="73" ht="18" customHeight="1">
      <c r="I73" s="46" t="inlineStr">
        <is>
          <t>LIFESTYLE</t>
        </is>
      </c>
      <c r="J73" s="47">
        <f>C43</f>
        <v/>
      </c>
      <c r="K73" s="47">
        <f>D43</f>
        <v/>
      </c>
    </row>
    <row r="74" ht="18" customHeight="1">
      <c r="I74" s="42" t="inlineStr">
        <is>
          <t>PERSONAL</t>
        </is>
      </c>
      <c r="J74" s="28">
        <f>C50</f>
        <v/>
      </c>
      <c r="K74" s="28">
        <f>D50</f>
        <v/>
      </c>
    </row>
    <row r="75" ht="18" customHeight="1">
      <c r="I75" s="46" t="inlineStr">
        <is>
          <t>SAVINGS &amp; INVESTMENTS</t>
        </is>
      </c>
      <c r="J75" s="47">
        <f>C57</f>
        <v/>
      </c>
      <c r="K75" s="47">
        <f>D57</f>
        <v/>
      </c>
    </row>
    <row r="76" ht="18" customHeight="1">
      <c r="I76" s="42" t="inlineStr">
        <is>
          <t>DEBT PAYMENTS</t>
        </is>
      </c>
      <c r="J76" s="28">
        <f>C64</f>
        <v/>
      </c>
      <c r="K76" s="28">
        <f>D64</f>
        <v/>
      </c>
    </row>
  </sheetData>
  <mergeCells count="22">
    <mergeCell ref="A15:B15"/>
    <mergeCell ref="A64:B64"/>
    <mergeCell ref="A4:G4"/>
    <mergeCell ref="A36:B36"/>
    <mergeCell ref="A44:G44"/>
    <mergeCell ref="A58:G58"/>
    <mergeCell ref="A9:G9"/>
    <mergeCell ref="A65:B65"/>
    <mergeCell ref="A30:G30"/>
    <mergeCell ref="A66:B66"/>
    <mergeCell ref="A51:G51"/>
    <mergeCell ref="A50:B50"/>
    <mergeCell ref="A1:G1"/>
    <mergeCell ref="A57:B57"/>
    <mergeCell ref="A16:G16"/>
    <mergeCell ref="A8:B8"/>
    <mergeCell ref="A22:B22"/>
    <mergeCell ref="A37:G37"/>
    <mergeCell ref="A29:B29"/>
    <mergeCell ref="A43:B43"/>
    <mergeCell ref="A2:G2"/>
    <mergeCell ref="A23:G23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3D5C3A"/>
    <outlinePr summaryBelow="1" summaryRight="1"/>
    <pageSetUpPr/>
  </sheetPr>
  <dimension ref="A1:P2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3" customWidth="1" min="14" max="14"/>
    <col width="12" customWidth="1" min="15" max="15"/>
    <col width="12" customWidth="1" min="16" max="16"/>
  </cols>
  <sheetData>
    <row r="1" ht="48" customHeight="1">
      <c r="A1" s="44" t="inlineStr">
        <is>
          <t>ANNUAL OVERVIEW  ·  2026</t>
        </is>
      </c>
    </row>
    <row r="2" ht="20" customHeight="1">
      <c r="A2" s="2" t="inlineStr">
        <is>
          <t>All figures linked automatically from monthly sheets</t>
        </is>
      </c>
    </row>
    <row r="3" ht="22" customHeight="1">
      <c r="A3" s="3" t="inlineStr">
        <is>
          <t>LINE ITEM</t>
        </is>
      </c>
      <c r="B3" s="3" t="inlineStr">
        <is>
          <t>Jan</t>
        </is>
      </c>
      <c r="C3" s="3" t="inlineStr">
        <is>
          <t>Feb</t>
        </is>
      </c>
      <c r="D3" s="3" t="inlineStr">
        <is>
          <t>Mar</t>
        </is>
      </c>
      <c r="E3" s="3" t="inlineStr">
        <is>
          <t>Apr</t>
        </is>
      </c>
      <c r="F3" s="3" t="inlineStr">
        <is>
          <t>May</t>
        </is>
      </c>
      <c r="G3" s="3" t="inlineStr">
        <is>
          <t>Jun</t>
        </is>
      </c>
      <c r="H3" s="3" t="inlineStr">
        <is>
          <t>Jul</t>
        </is>
      </c>
      <c r="I3" s="3" t="inlineStr">
        <is>
          <t>Aug</t>
        </is>
      </c>
      <c r="J3" s="3" t="inlineStr">
        <is>
          <t>Sep</t>
        </is>
      </c>
      <c r="K3" s="3" t="inlineStr">
        <is>
          <t>Oct</t>
        </is>
      </c>
      <c r="L3" s="3" t="inlineStr">
        <is>
          <t>Nov</t>
        </is>
      </c>
      <c r="M3" s="3" t="inlineStr">
        <is>
          <t>Dec</t>
        </is>
      </c>
      <c r="N3" s="3" t="inlineStr">
        <is>
          <t>ANNUAL TOTAL</t>
        </is>
      </c>
      <c r="O3" s="6" t="inlineStr">
        <is>
          <t>ANNUAL BUDGET</t>
        </is>
      </c>
      <c r="P3" s="6" t="inlineStr">
        <is>
          <t>VARIANCE</t>
        </is>
      </c>
    </row>
    <row r="4" ht="22" customHeight="1">
      <c r="A4" s="61" t="inlineStr">
        <is>
          <t>INCOME</t>
        </is>
      </c>
      <c r="B4" s="62">
        <f>Jan!D8</f>
        <v/>
      </c>
      <c r="C4" s="62">
        <f>Feb!D8</f>
        <v/>
      </c>
      <c r="D4" s="62">
        <f>Mar!D8</f>
        <v/>
      </c>
      <c r="E4" s="62">
        <f>Apr!D8</f>
        <v/>
      </c>
      <c r="F4" s="62">
        <f>May!D8</f>
        <v/>
      </c>
      <c r="G4" s="62">
        <f>Jun!D8</f>
        <v/>
      </c>
      <c r="H4" s="62">
        <f>Jul!D8</f>
        <v/>
      </c>
      <c r="I4" s="62">
        <f>Aug!D8</f>
        <v/>
      </c>
      <c r="J4" s="62">
        <f>Sep!D8</f>
        <v/>
      </c>
      <c r="K4" s="62">
        <f>Oct!D8</f>
        <v/>
      </c>
      <c r="L4" s="62">
        <f>Nov!D8</f>
        <v/>
      </c>
      <c r="M4" s="62">
        <f>Dec!D8</f>
        <v/>
      </c>
      <c r="N4" s="62">
        <f>SUM(B4:M4)</f>
        <v/>
      </c>
      <c r="O4" s="63" t="n">
        <v>0</v>
      </c>
      <c r="P4" s="62">
        <f>IFERROR(N4-O4,0)</f>
        <v/>
      </c>
    </row>
    <row r="5" ht="18" customHeight="1">
      <c r="A5" s="64" t="inlineStr">
        <is>
          <t>— Housing</t>
        </is>
      </c>
      <c r="B5" s="30">
        <f>Jan!D15</f>
        <v/>
      </c>
      <c r="C5" s="30">
        <f>Feb!D15</f>
        <v/>
      </c>
      <c r="D5" s="30">
        <f>Mar!D15</f>
        <v/>
      </c>
      <c r="E5" s="30">
        <f>Apr!D15</f>
        <v/>
      </c>
      <c r="F5" s="30">
        <f>May!D15</f>
        <v/>
      </c>
      <c r="G5" s="30">
        <f>Jun!D15</f>
        <v/>
      </c>
      <c r="H5" s="30">
        <f>Jul!D15</f>
        <v/>
      </c>
      <c r="I5" s="30">
        <f>Aug!D15</f>
        <v/>
      </c>
      <c r="J5" s="30">
        <f>Sep!D15</f>
        <v/>
      </c>
      <c r="K5" s="30">
        <f>Oct!D15</f>
        <v/>
      </c>
      <c r="L5" s="30">
        <f>Nov!D15</f>
        <v/>
      </c>
      <c r="M5" s="30">
        <f>Dec!D15</f>
        <v/>
      </c>
      <c r="N5" s="65">
        <f>SUM(B5:M5)</f>
        <v/>
      </c>
      <c r="O5" s="22" t="n">
        <v>0</v>
      </c>
      <c r="P5" s="47">
        <f>IFERROR(N5-O5,0)</f>
        <v/>
      </c>
    </row>
    <row r="6" ht="18" customHeight="1">
      <c r="A6" s="66" t="inlineStr">
        <is>
          <t>— Transport</t>
        </is>
      </c>
      <c r="B6" s="36">
        <f>Jan!D22</f>
        <v/>
      </c>
      <c r="C6" s="36">
        <f>Feb!D22</f>
        <v/>
      </c>
      <c r="D6" s="36">
        <f>Mar!D22</f>
        <v/>
      </c>
      <c r="E6" s="36">
        <f>Apr!D22</f>
        <v/>
      </c>
      <c r="F6" s="36">
        <f>May!D22</f>
        <v/>
      </c>
      <c r="G6" s="36">
        <f>Jun!D22</f>
        <v/>
      </c>
      <c r="H6" s="36">
        <f>Jul!D22</f>
        <v/>
      </c>
      <c r="I6" s="36">
        <f>Aug!D22</f>
        <v/>
      </c>
      <c r="J6" s="36">
        <f>Sep!D22</f>
        <v/>
      </c>
      <c r="K6" s="36">
        <f>Oct!D22</f>
        <v/>
      </c>
      <c r="L6" s="36">
        <f>Nov!D22</f>
        <v/>
      </c>
      <c r="M6" s="36">
        <f>Dec!D22</f>
        <v/>
      </c>
      <c r="N6" s="67">
        <f>SUM(B6:M6)</f>
        <v/>
      </c>
      <c r="O6" s="29" t="n">
        <v>0</v>
      </c>
      <c r="P6" s="28">
        <f>IFERROR(N6-O6,0)</f>
        <v/>
      </c>
    </row>
    <row r="7" ht="18" customHeight="1">
      <c r="A7" s="64" t="inlineStr">
        <is>
          <t>— Food &amp; Dining</t>
        </is>
      </c>
      <c r="B7" s="30">
        <f>Jan!D29</f>
        <v/>
      </c>
      <c r="C7" s="30">
        <f>Feb!D29</f>
        <v/>
      </c>
      <c r="D7" s="30">
        <f>Mar!D29</f>
        <v/>
      </c>
      <c r="E7" s="30">
        <f>Apr!D29</f>
        <v/>
      </c>
      <c r="F7" s="30">
        <f>May!D29</f>
        <v/>
      </c>
      <c r="G7" s="30">
        <f>Jun!D29</f>
        <v/>
      </c>
      <c r="H7" s="30">
        <f>Jul!D29</f>
        <v/>
      </c>
      <c r="I7" s="30">
        <f>Aug!D29</f>
        <v/>
      </c>
      <c r="J7" s="30">
        <f>Sep!D29</f>
        <v/>
      </c>
      <c r="K7" s="30">
        <f>Oct!D29</f>
        <v/>
      </c>
      <c r="L7" s="30">
        <f>Nov!D29</f>
        <v/>
      </c>
      <c r="M7" s="30">
        <f>Dec!D29</f>
        <v/>
      </c>
      <c r="N7" s="65">
        <f>SUM(B7:M7)</f>
        <v/>
      </c>
      <c r="O7" s="22" t="n">
        <v>0</v>
      </c>
      <c r="P7" s="47">
        <f>IFERROR(N7-O7,0)</f>
        <v/>
      </c>
    </row>
    <row r="8" ht="18" customHeight="1">
      <c r="A8" s="66" t="inlineStr">
        <is>
          <t>— Health &amp; Wellness</t>
        </is>
      </c>
      <c r="B8" s="36">
        <f>Jan!D36</f>
        <v/>
      </c>
      <c r="C8" s="36">
        <f>Feb!D36</f>
        <v/>
      </c>
      <c r="D8" s="36">
        <f>Mar!D36</f>
        <v/>
      </c>
      <c r="E8" s="36">
        <f>Apr!D36</f>
        <v/>
      </c>
      <c r="F8" s="36">
        <f>May!D36</f>
        <v/>
      </c>
      <c r="G8" s="36">
        <f>Jun!D36</f>
        <v/>
      </c>
      <c r="H8" s="36">
        <f>Jul!D36</f>
        <v/>
      </c>
      <c r="I8" s="36">
        <f>Aug!D36</f>
        <v/>
      </c>
      <c r="J8" s="36">
        <f>Sep!D36</f>
        <v/>
      </c>
      <c r="K8" s="36">
        <f>Oct!D36</f>
        <v/>
      </c>
      <c r="L8" s="36">
        <f>Nov!D36</f>
        <v/>
      </c>
      <c r="M8" s="36">
        <f>Dec!D36</f>
        <v/>
      </c>
      <c r="N8" s="67">
        <f>SUM(B8:M8)</f>
        <v/>
      </c>
      <c r="O8" s="29" t="n">
        <v>0</v>
      </c>
      <c r="P8" s="28">
        <f>IFERROR(N8-O8,0)</f>
        <v/>
      </c>
    </row>
    <row r="9" ht="18" customHeight="1">
      <c r="A9" s="64" t="inlineStr">
        <is>
          <t>— Lifestyle</t>
        </is>
      </c>
      <c r="B9" s="30">
        <f>Jan!D43</f>
        <v/>
      </c>
      <c r="C9" s="30">
        <f>Feb!D43</f>
        <v/>
      </c>
      <c r="D9" s="30">
        <f>Mar!D43</f>
        <v/>
      </c>
      <c r="E9" s="30">
        <f>Apr!D43</f>
        <v/>
      </c>
      <c r="F9" s="30">
        <f>May!D43</f>
        <v/>
      </c>
      <c r="G9" s="30">
        <f>Jun!D43</f>
        <v/>
      </c>
      <c r="H9" s="30">
        <f>Jul!D43</f>
        <v/>
      </c>
      <c r="I9" s="30">
        <f>Aug!D43</f>
        <v/>
      </c>
      <c r="J9" s="30">
        <f>Sep!D43</f>
        <v/>
      </c>
      <c r="K9" s="30">
        <f>Oct!D43</f>
        <v/>
      </c>
      <c r="L9" s="30">
        <f>Nov!D43</f>
        <v/>
      </c>
      <c r="M9" s="30">
        <f>Dec!D43</f>
        <v/>
      </c>
      <c r="N9" s="65">
        <f>SUM(B9:M9)</f>
        <v/>
      </c>
      <c r="O9" s="22" t="n">
        <v>0</v>
      </c>
      <c r="P9" s="47">
        <f>IFERROR(N9-O9,0)</f>
        <v/>
      </c>
    </row>
    <row r="10" ht="18" customHeight="1">
      <c r="A10" s="66" t="inlineStr">
        <is>
          <t>— Personal</t>
        </is>
      </c>
      <c r="B10" s="36">
        <f>Jan!D50</f>
        <v/>
      </c>
      <c r="C10" s="36">
        <f>Feb!D50</f>
        <v/>
      </c>
      <c r="D10" s="36">
        <f>Mar!D50</f>
        <v/>
      </c>
      <c r="E10" s="36">
        <f>Apr!D50</f>
        <v/>
      </c>
      <c r="F10" s="36">
        <f>May!D50</f>
        <v/>
      </c>
      <c r="G10" s="36">
        <f>Jun!D50</f>
        <v/>
      </c>
      <c r="H10" s="36">
        <f>Jul!D50</f>
        <v/>
      </c>
      <c r="I10" s="36">
        <f>Aug!D50</f>
        <v/>
      </c>
      <c r="J10" s="36">
        <f>Sep!D50</f>
        <v/>
      </c>
      <c r="K10" s="36">
        <f>Oct!D50</f>
        <v/>
      </c>
      <c r="L10" s="36">
        <f>Nov!D50</f>
        <v/>
      </c>
      <c r="M10" s="36">
        <f>Dec!D50</f>
        <v/>
      </c>
      <c r="N10" s="67">
        <f>SUM(B10:M10)</f>
        <v/>
      </c>
      <c r="O10" s="29" t="n">
        <v>0</v>
      </c>
      <c r="P10" s="28">
        <f>IFERROR(N10-O10,0)</f>
        <v/>
      </c>
    </row>
    <row r="11" ht="18" customHeight="1">
      <c r="A11" s="64" t="inlineStr">
        <is>
          <t>— Savings &amp; Investments</t>
        </is>
      </c>
      <c r="B11" s="30">
        <f>Jan!D57</f>
        <v/>
      </c>
      <c r="C11" s="30">
        <f>Feb!D57</f>
        <v/>
      </c>
      <c r="D11" s="30">
        <f>Mar!D57</f>
        <v/>
      </c>
      <c r="E11" s="30">
        <f>Apr!D57</f>
        <v/>
      </c>
      <c r="F11" s="30">
        <f>May!D57</f>
        <v/>
      </c>
      <c r="G11" s="30">
        <f>Jun!D57</f>
        <v/>
      </c>
      <c r="H11" s="30">
        <f>Jul!D57</f>
        <v/>
      </c>
      <c r="I11" s="30">
        <f>Aug!D57</f>
        <v/>
      </c>
      <c r="J11" s="30">
        <f>Sep!D57</f>
        <v/>
      </c>
      <c r="K11" s="30">
        <f>Oct!D57</f>
        <v/>
      </c>
      <c r="L11" s="30">
        <f>Nov!D57</f>
        <v/>
      </c>
      <c r="M11" s="30">
        <f>Dec!D57</f>
        <v/>
      </c>
      <c r="N11" s="65">
        <f>SUM(B11:M11)</f>
        <v/>
      </c>
      <c r="O11" s="22" t="n">
        <v>0</v>
      </c>
      <c r="P11" s="47">
        <f>IFERROR(N11-O11,0)</f>
        <v/>
      </c>
    </row>
    <row r="12" ht="18" customHeight="1">
      <c r="A12" s="66" t="inlineStr">
        <is>
          <t>— Debt Payments</t>
        </is>
      </c>
      <c r="B12" s="36">
        <f>Jan!D64</f>
        <v/>
      </c>
      <c r="C12" s="36">
        <f>Feb!D64</f>
        <v/>
      </c>
      <c r="D12" s="36">
        <f>Mar!D64</f>
        <v/>
      </c>
      <c r="E12" s="36">
        <f>Apr!D64</f>
        <v/>
      </c>
      <c r="F12" s="36">
        <f>May!D64</f>
        <v/>
      </c>
      <c r="G12" s="36">
        <f>Jun!D64</f>
        <v/>
      </c>
      <c r="H12" s="36">
        <f>Jul!D64</f>
        <v/>
      </c>
      <c r="I12" s="36">
        <f>Aug!D64</f>
        <v/>
      </c>
      <c r="J12" s="36">
        <f>Sep!D64</f>
        <v/>
      </c>
      <c r="K12" s="36">
        <f>Oct!D64</f>
        <v/>
      </c>
      <c r="L12" s="36">
        <f>Nov!D64</f>
        <v/>
      </c>
      <c r="M12" s="36">
        <f>Dec!D64</f>
        <v/>
      </c>
      <c r="N12" s="67">
        <f>SUM(B12:M12)</f>
        <v/>
      </c>
      <c r="O12" s="29" t="n">
        <v>0</v>
      </c>
      <c r="P12" s="28">
        <f>IFERROR(N12-O12,0)</f>
        <v/>
      </c>
    </row>
    <row r="13" ht="22" customHeight="1">
      <c r="A13" s="68" t="inlineStr">
        <is>
          <t>GRAND TOTAL EXPENSES</t>
        </is>
      </c>
      <c r="B13" s="69">
        <f>Jan!D65</f>
        <v/>
      </c>
      <c r="C13" s="69">
        <f>Feb!D65</f>
        <v/>
      </c>
      <c r="D13" s="69">
        <f>Mar!D65</f>
        <v/>
      </c>
      <c r="E13" s="69">
        <f>Apr!D65</f>
        <v/>
      </c>
      <c r="F13" s="69">
        <f>May!D65</f>
        <v/>
      </c>
      <c r="G13" s="69">
        <f>Jun!D65</f>
        <v/>
      </c>
      <c r="H13" s="69">
        <f>Jul!D65</f>
        <v/>
      </c>
      <c r="I13" s="69">
        <f>Aug!D65</f>
        <v/>
      </c>
      <c r="J13" s="69">
        <f>Sep!D65</f>
        <v/>
      </c>
      <c r="K13" s="69">
        <f>Oct!D65</f>
        <v/>
      </c>
      <c r="L13" s="69">
        <f>Nov!D65</f>
        <v/>
      </c>
      <c r="M13" s="69">
        <f>Dec!D65</f>
        <v/>
      </c>
      <c r="N13" s="69">
        <f>SUM(B13:M13)</f>
        <v/>
      </c>
      <c r="O13" s="25" t="n">
        <v>0</v>
      </c>
      <c r="P13" s="69">
        <f>IFERROR(N13-O13,0)</f>
        <v/>
      </c>
    </row>
    <row r="14" ht="22" customHeight="1">
      <c r="A14" s="70" t="inlineStr">
        <is>
          <t>NET CASH FLOW</t>
        </is>
      </c>
      <c r="B14" s="71">
        <f>Jan!D66</f>
        <v/>
      </c>
      <c r="C14" s="71">
        <f>Feb!D66</f>
        <v/>
      </c>
      <c r="D14" s="71">
        <f>Mar!D66</f>
        <v/>
      </c>
      <c r="E14" s="71">
        <f>Apr!D66</f>
        <v/>
      </c>
      <c r="F14" s="71">
        <f>May!D66</f>
        <v/>
      </c>
      <c r="G14" s="71">
        <f>Jun!D66</f>
        <v/>
      </c>
      <c r="H14" s="71">
        <f>Jul!D66</f>
        <v/>
      </c>
      <c r="I14" s="71">
        <f>Aug!D66</f>
        <v/>
      </c>
      <c r="J14" s="71">
        <f>Sep!D66</f>
        <v/>
      </c>
      <c r="K14" s="71">
        <f>Oct!D66</f>
        <v/>
      </c>
      <c r="L14" s="71">
        <f>Nov!D66</f>
        <v/>
      </c>
      <c r="M14" s="71">
        <f>Dec!D66</f>
        <v/>
      </c>
      <c r="N14" s="71">
        <f>SUM(B14:M14)</f>
        <v/>
      </c>
      <c r="O14" s="72" t="n">
        <v>0</v>
      </c>
      <c r="P14" s="71">
        <f>IFERROR(N14-O14,0)</f>
        <v/>
      </c>
    </row>
    <row r="16" ht="22" customHeight="1">
      <c r="A16" s="73" t="inlineStr">
        <is>
          <t>KEY METRICS</t>
        </is>
      </c>
      <c r="B16" s="4" t="n"/>
      <c r="C16" s="4" t="n"/>
      <c r="D16" s="4" t="n"/>
      <c r="E16" s="4" t="n"/>
    </row>
    <row r="17" ht="18" customHeight="1">
      <c r="A17" s="20" t="inlineStr">
        <is>
          <t>Best Month (lowest spend)</t>
        </is>
      </c>
      <c r="B17" s="21" t="n"/>
      <c r="C17" s="21" t="n"/>
      <c r="D17" s="74">
        <f>IFERROR(INDEX(B3:M3,MATCH(MIN(B13:M13),B13:M13,0)),"-")</f>
        <v/>
      </c>
      <c r="E17" s="21" t="n"/>
    </row>
    <row r="18" ht="18" customHeight="1">
      <c r="A18" s="26" t="inlineStr">
        <is>
          <t>Worst Month (highest spend)</t>
        </is>
      </c>
      <c r="B18" s="27" t="n"/>
      <c r="C18" s="27" t="n"/>
      <c r="D18" s="75">
        <f>IFERROR(INDEX(B3:M3,MATCH(MAX(B13:M13),B13:M13,0)),"-")</f>
        <v/>
      </c>
      <c r="E18" s="27" t="n"/>
    </row>
    <row r="19" ht="18" customHeight="1">
      <c r="A19" s="20" t="inlineStr">
        <is>
          <t>Annual Savings Rate</t>
        </is>
      </c>
      <c r="B19" s="21" t="n"/>
      <c r="C19" s="21" t="n"/>
      <c r="D19" s="76">
        <f>IFERROR((N4-N13)/N4,0)</f>
        <v/>
      </c>
      <c r="E19" s="21" t="n"/>
    </row>
    <row r="20" ht="18" customHeight="1">
      <c r="A20" s="26" t="inlineStr">
        <is>
          <t>Avg Monthly Spend</t>
        </is>
      </c>
      <c r="B20" s="27" t="n"/>
      <c r="C20" s="27" t="n"/>
      <c r="D20" s="36">
        <f>IFERROR(N13/12,0)</f>
        <v/>
      </c>
      <c r="E20" s="27" t="n"/>
    </row>
    <row r="21" ht="18" customHeight="1">
      <c r="A21" s="20" t="inlineStr">
        <is>
          <t>Avg Monthly Income</t>
        </is>
      </c>
      <c r="B21" s="21" t="n"/>
      <c r="C21" s="21" t="n"/>
      <c r="D21" s="30">
        <f>IFERROR(N4/12,0)</f>
        <v/>
      </c>
      <c r="E21" s="21" t="n"/>
    </row>
  </sheetData>
  <mergeCells count="13">
    <mergeCell ref="D20:E20"/>
    <mergeCell ref="A19:C19"/>
    <mergeCell ref="A16:E16"/>
    <mergeCell ref="D21:E21"/>
    <mergeCell ref="A1:P1"/>
    <mergeCell ref="D19:E19"/>
    <mergeCell ref="A17:C17"/>
    <mergeCell ref="A18:C18"/>
    <mergeCell ref="A21:C21"/>
    <mergeCell ref="D18:E18"/>
    <mergeCell ref="D17:E17"/>
    <mergeCell ref="A20:C20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B05E3A"/>
    <outlinePr summaryBelow="1" summaryRight="1"/>
    <pageSetUpPr/>
  </sheetPr>
  <dimension ref="A1:I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 ht="48" customHeight="1">
      <c r="A1" s="77" t="inlineStr">
        <is>
          <t>DEBT PAYOFF TRACKER</t>
        </is>
      </c>
    </row>
    <row r="2" ht="20" customHeight="1">
      <c r="A2" s="2" t="inlineStr">
        <is>
          <t>Avalanche = highest rate first  ·  Snowball = lowest balance first</t>
        </is>
      </c>
    </row>
    <row r="3" ht="22" customHeight="1">
      <c r="A3" s="3" t="inlineStr">
        <is>
          <t>DEBT NAME</t>
        </is>
      </c>
      <c r="B3" s="3" t="inlineStr">
        <is>
          <t>LENDER</t>
        </is>
      </c>
      <c r="C3" s="3" t="inlineStr">
        <is>
          <t>ORIGINAL BAL</t>
        </is>
      </c>
      <c r="D3" s="3" t="inlineStr">
        <is>
          <t>CURRENT BAL</t>
        </is>
      </c>
      <c r="E3" s="3" t="inlineStr">
        <is>
          <t>INTEREST %</t>
        </is>
      </c>
      <c r="F3" s="3" t="inlineStr">
        <is>
          <t>MIN PAYMENT</t>
        </is>
      </c>
      <c r="G3" s="3" t="inlineStr">
        <is>
          <t>MONTHLY PMT</t>
        </is>
      </c>
      <c r="H3" s="3" t="inlineStr">
        <is>
          <t>EST PAYOFF</t>
        </is>
      </c>
      <c r="I3" s="3" t="inlineStr">
        <is>
          <t>STATUS</t>
        </is>
      </c>
    </row>
    <row r="4" ht="18" customHeight="1">
      <c r="A4" s="40" t="inlineStr">
        <is>
          <t>Credit Card 1</t>
        </is>
      </c>
      <c r="B4" s="78" t="inlineStr"/>
      <c r="C4" s="25" t="n">
        <v>0</v>
      </c>
      <c r="D4" s="25" t="n">
        <v>0</v>
      </c>
      <c r="E4" s="79" t="n">
        <v>0</v>
      </c>
      <c r="F4" s="25" t="n">
        <v>0</v>
      </c>
      <c r="G4" s="25" t="n">
        <v>0</v>
      </c>
      <c r="H4" s="80" t="inlineStr"/>
      <c r="I4" s="41" t="inlineStr">
        <is>
          <t>Active</t>
        </is>
      </c>
    </row>
    <row r="5" ht="18" customHeight="1">
      <c r="A5" s="42" t="inlineStr">
        <is>
          <t>Credit Card 2</t>
        </is>
      </c>
      <c r="B5" s="81" t="inlineStr"/>
      <c r="C5" s="29" t="n">
        <v>0</v>
      </c>
      <c r="D5" s="29" t="n">
        <v>0</v>
      </c>
      <c r="E5" s="82" t="n">
        <v>0</v>
      </c>
      <c r="F5" s="29" t="n">
        <v>0</v>
      </c>
      <c r="G5" s="29" t="n">
        <v>0</v>
      </c>
      <c r="H5" s="83" t="inlineStr"/>
      <c r="I5" s="43" t="inlineStr">
        <is>
          <t>Active</t>
        </is>
      </c>
    </row>
    <row r="6" ht="18" customHeight="1">
      <c r="A6" s="40" t="inlineStr">
        <is>
          <t>Student Loan</t>
        </is>
      </c>
      <c r="B6" s="78" t="inlineStr"/>
      <c r="C6" s="25" t="n">
        <v>0</v>
      </c>
      <c r="D6" s="25" t="n">
        <v>0</v>
      </c>
      <c r="E6" s="79" t="n">
        <v>0</v>
      </c>
      <c r="F6" s="25" t="n">
        <v>0</v>
      </c>
      <c r="G6" s="25" t="n">
        <v>0</v>
      </c>
      <c r="H6" s="80" t="inlineStr"/>
      <c r="I6" s="41" t="inlineStr">
        <is>
          <t>Active</t>
        </is>
      </c>
    </row>
    <row r="7" ht="18" customHeight="1">
      <c r="A7" s="42" t="inlineStr">
        <is>
          <t>Car Loan</t>
        </is>
      </c>
      <c r="B7" s="81" t="inlineStr"/>
      <c r="C7" s="29" t="n">
        <v>0</v>
      </c>
      <c r="D7" s="29" t="n">
        <v>0</v>
      </c>
      <c r="E7" s="82" t="n">
        <v>0</v>
      </c>
      <c r="F7" s="29" t="n">
        <v>0</v>
      </c>
      <c r="G7" s="29" t="n">
        <v>0</v>
      </c>
      <c r="H7" s="83" t="inlineStr"/>
      <c r="I7" s="43" t="inlineStr">
        <is>
          <t>Active</t>
        </is>
      </c>
    </row>
    <row r="8" ht="18" customHeight="1">
      <c r="A8" s="40" t="inlineStr">
        <is>
          <t>Personal Loan</t>
        </is>
      </c>
      <c r="B8" s="78" t="inlineStr"/>
      <c r="C8" s="25" t="n">
        <v>0</v>
      </c>
      <c r="D8" s="25" t="n">
        <v>0</v>
      </c>
      <c r="E8" s="79" t="n">
        <v>0</v>
      </c>
      <c r="F8" s="25" t="n">
        <v>0</v>
      </c>
      <c r="G8" s="25" t="n">
        <v>0</v>
      </c>
      <c r="H8" s="80" t="inlineStr"/>
      <c r="I8" s="41" t="inlineStr">
        <is>
          <t>Active</t>
        </is>
      </c>
    </row>
    <row r="9" ht="18" customHeight="1">
      <c r="A9" s="42" t="inlineStr">
        <is>
          <t>Other</t>
        </is>
      </c>
      <c r="B9" s="81" t="inlineStr"/>
      <c r="C9" s="29" t="n">
        <v>0</v>
      </c>
      <c r="D9" s="29" t="n">
        <v>0</v>
      </c>
      <c r="E9" s="82" t="n">
        <v>0</v>
      </c>
      <c r="F9" s="29" t="n">
        <v>0</v>
      </c>
      <c r="G9" s="29" t="n">
        <v>0</v>
      </c>
      <c r="H9" s="83" t="inlineStr"/>
      <c r="I9" s="43" t="inlineStr">
        <is>
          <t>Active</t>
        </is>
      </c>
    </row>
    <row r="10" ht="24" customHeight="1">
      <c r="A10" s="55" t="inlineStr">
        <is>
          <t>TOTALS</t>
        </is>
      </c>
      <c r="B10" s="7" t="n"/>
      <c r="C10" s="56">
        <f>SUM(C4:C9)</f>
        <v/>
      </c>
      <c r="D10" s="56">
        <f>SUM(D4:D9)</f>
        <v/>
      </c>
      <c r="E10" s="57" t="inlineStr"/>
      <c r="F10" s="56">
        <f>SUM(F4:F9)</f>
        <v/>
      </c>
      <c r="G10" s="56">
        <f>SUM(G4:G9)</f>
        <v/>
      </c>
      <c r="H10" s="57" t="inlineStr"/>
      <c r="I10" s="57" t="inlineStr"/>
    </row>
    <row r="12" ht="22" customHeight="1">
      <c r="A12" s="73" t="inlineStr">
        <is>
          <t>DEBT SUMMARY</t>
        </is>
      </c>
      <c r="B12" s="4" t="n"/>
      <c r="C12" s="4" t="n"/>
      <c r="D12" s="4" t="n"/>
      <c r="E12" s="4" t="n"/>
    </row>
    <row r="13" ht="18" customHeight="1">
      <c r="A13" s="20" t="inlineStr">
        <is>
          <t>Total Outstanding</t>
        </is>
      </c>
      <c r="B13" s="21" t="n"/>
      <c r="C13" s="21" t="n"/>
      <c r="D13" s="30">
        <f>SUM(D4:D9)</f>
        <v/>
      </c>
      <c r="E13" s="21" t="n"/>
    </row>
    <row r="14" ht="18" customHeight="1">
      <c r="A14" s="26" t="inlineStr">
        <is>
          <t>Total Monthly Minimums</t>
        </is>
      </c>
      <c r="B14" s="27" t="n"/>
      <c r="C14" s="27" t="n"/>
      <c r="D14" s="36">
        <f>SUM(F4:F9)</f>
        <v/>
      </c>
      <c r="E14" s="27" t="n"/>
    </row>
    <row r="15" ht="18" customHeight="1">
      <c r="A15" s="20" t="inlineStr">
        <is>
          <t>Highest Rate Debt</t>
        </is>
      </c>
      <c r="B15" s="21" t="n"/>
      <c r="C15" s="21" t="n"/>
      <c r="D15" s="74">
        <f>IFERROR(INDEX(A4:A9,MATCH(MAX(E4:E9),E4:E9,0)),"-")</f>
        <v/>
      </c>
      <c r="E15" s="21" t="n"/>
    </row>
    <row r="16" ht="18" customHeight="1">
      <c r="A16" s="26" t="inlineStr">
        <is>
          <t>Debt-to-Income (monthly)</t>
        </is>
      </c>
      <c r="B16" s="27" t="n"/>
      <c r="C16" s="27" t="n"/>
      <c r="D16" s="84">
        <f>IFERROR(SUM(G4:G9)/(Dashboard!B10/12),0)</f>
        <v/>
      </c>
      <c r="E16" s="27" t="n"/>
    </row>
  </sheetData>
  <mergeCells count="12">
    <mergeCell ref="A12:E12"/>
    <mergeCell ref="A13:C13"/>
    <mergeCell ref="A2:I2"/>
    <mergeCell ref="D16:E16"/>
    <mergeCell ref="D15:E15"/>
    <mergeCell ref="D13:E13"/>
    <mergeCell ref="A14:C14"/>
    <mergeCell ref="A10:B10"/>
    <mergeCell ref="A1:I1"/>
    <mergeCell ref="D14:E14"/>
    <mergeCell ref="A15:C15"/>
    <mergeCell ref="A16:C1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B05E3A"/>
    <outlinePr summaryBelow="1" summaryRight="1"/>
    <pageSetUpPr/>
  </sheetPr>
  <dimension ref="A1:I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4" customWidth="1" min="4" max="4"/>
    <col width="12" customWidth="1" min="5" max="5"/>
    <col width="10" customWidth="1" min="6" max="6"/>
    <col width="8" customWidth="1" min="7" max="7"/>
    <col width="14" customWidth="1" min="8" max="8"/>
    <col width="22" customWidth="1" min="9" max="9"/>
  </cols>
  <sheetData>
    <row r="1" ht="48" customHeight="1">
      <c r="A1" s="77" t="inlineStr">
        <is>
          <t>BILL CALENDAR  ·  2026</t>
        </is>
      </c>
    </row>
    <row r="2" ht="20" customHeight="1">
      <c r="A2" s="2" t="inlineStr">
        <is>
          <t>Green = paid  ·  Gold = auto-pay  ·  Never miss a payment</t>
        </is>
      </c>
    </row>
    <row r="3" ht="22" customHeight="1">
      <c r="A3" s="3" t="inlineStr">
        <is>
          <t>BILL NAME</t>
        </is>
      </c>
      <c r="B3" s="3" t="inlineStr">
        <is>
          <t>CATEGORY</t>
        </is>
      </c>
      <c r="C3" s="3" t="inlineStr">
        <is>
          <t>AMOUNT</t>
        </is>
      </c>
      <c r="D3" s="3" t="inlineStr">
        <is>
          <t>DUE DATE</t>
        </is>
      </c>
      <c r="E3" s="3" t="inlineStr">
        <is>
          <t>FREQUENCY</t>
        </is>
      </c>
      <c r="F3" s="3" t="inlineStr">
        <is>
          <t>AUTO-PAY</t>
        </is>
      </c>
      <c r="G3" s="3" t="inlineStr">
        <is>
          <t>PAID?</t>
        </is>
      </c>
      <c r="H3" s="3" t="inlineStr">
        <is>
          <t>ANNUAL COST</t>
        </is>
      </c>
      <c r="I3" s="3" t="inlineStr">
        <is>
          <t>NOTES</t>
        </is>
      </c>
    </row>
    <row r="4" ht="18" customHeight="1">
      <c r="A4" s="40" t="inlineStr">
        <is>
          <t>Hyra/Mortgage</t>
        </is>
      </c>
      <c r="B4" s="40" t="inlineStr">
        <is>
          <t>Housing</t>
        </is>
      </c>
      <c r="C4" s="25" t="n">
        <v>12500</v>
      </c>
      <c r="D4" s="80" t="inlineStr">
        <is>
          <t>2026-01-01</t>
        </is>
      </c>
      <c r="E4" s="40" t="inlineStr">
        <is>
          <t>Monthly</t>
        </is>
      </c>
      <c r="F4" s="41" t="inlineStr">
        <is>
          <t>No</t>
        </is>
      </c>
      <c r="G4" s="41" t="inlineStr">
        <is>
          <t>No</t>
        </is>
      </c>
      <c r="H4" s="85">
        <f>IFERROR(IF(E4="Monthly",C4*12,IF(E4="Quarterly",C4*4,IF(E4="Annual",C4,C4*52))),0)</f>
        <v/>
      </c>
      <c r="I4" s="40" t="inlineStr"/>
    </row>
    <row r="5" ht="18" customHeight="1">
      <c r="A5" s="42" t="inlineStr">
        <is>
          <t>El</t>
        </is>
      </c>
      <c r="B5" s="42" t="inlineStr">
        <is>
          <t>Utilities</t>
        </is>
      </c>
      <c r="C5" s="29" t="n">
        <v>850</v>
      </c>
      <c r="D5" s="83" t="inlineStr">
        <is>
          <t>2026-01-15</t>
        </is>
      </c>
      <c r="E5" s="42" t="inlineStr">
        <is>
          <t>Monthly</t>
        </is>
      </c>
      <c r="F5" s="43" t="inlineStr">
        <is>
          <t>No</t>
        </is>
      </c>
      <c r="G5" s="43" t="inlineStr">
        <is>
          <t>No</t>
        </is>
      </c>
      <c r="H5" s="28">
        <f>IFERROR(IF(E5="Monthly",C5*12,IF(E5="Quarterly",C5*4,IF(E5="Annual",C5,C5*52))),0)</f>
        <v/>
      </c>
      <c r="I5" s="42" t="inlineStr"/>
    </row>
    <row r="6" ht="18" customHeight="1">
      <c r="A6" s="40" t="inlineStr">
        <is>
          <t>Internet</t>
        </is>
      </c>
      <c r="B6" s="40" t="inlineStr">
        <is>
          <t>Utilities</t>
        </is>
      </c>
      <c r="C6" s="25" t="n">
        <v>499</v>
      </c>
      <c r="D6" s="80" t="inlineStr">
        <is>
          <t>2026-01-22</t>
        </is>
      </c>
      <c r="E6" s="40" t="inlineStr">
        <is>
          <t>Monthly</t>
        </is>
      </c>
      <c r="F6" s="41" t="inlineStr">
        <is>
          <t>Yes</t>
        </is>
      </c>
      <c r="G6" s="41" t="inlineStr">
        <is>
          <t>No</t>
        </is>
      </c>
      <c r="H6" s="85">
        <f>IFERROR(IF(E6="Monthly",C6*12,IF(E6="Quarterly",C6*4,IF(E6="Annual",C6,C6*52))),0)</f>
        <v/>
      </c>
      <c r="I6" s="40" t="inlineStr"/>
    </row>
    <row r="7" ht="18" customHeight="1">
      <c r="A7" s="42" t="inlineStr">
        <is>
          <t>Netflix/Streaming</t>
        </is>
      </c>
      <c r="B7" s="42" t="inlineStr">
        <is>
          <t>Lifestyle</t>
        </is>
      </c>
      <c r="C7" s="29" t="n">
        <v>139</v>
      </c>
      <c r="D7" s="83" t="inlineStr">
        <is>
          <t>2026-01-08</t>
        </is>
      </c>
      <c r="E7" s="42" t="inlineStr">
        <is>
          <t>Monthly</t>
        </is>
      </c>
      <c r="F7" s="43" t="inlineStr">
        <is>
          <t>Yes</t>
        </is>
      </c>
      <c r="G7" s="43" t="inlineStr">
        <is>
          <t>No</t>
        </is>
      </c>
      <c r="H7" s="28">
        <f>IFERROR(IF(E7="Monthly",C7*12,IF(E7="Quarterly",C7*4,IF(E7="Annual",C7,C7*52))),0)</f>
        <v/>
      </c>
      <c r="I7" s="42" t="inlineStr"/>
    </row>
    <row r="8" ht="18" customHeight="1">
      <c r="A8" s="40" t="inlineStr">
        <is>
          <t>Telefon</t>
        </is>
      </c>
      <c r="B8" s="40" t="inlineStr">
        <is>
          <t>Utilities</t>
        </is>
      </c>
      <c r="C8" s="25" t="n">
        <v>699</v>
      </c>
      <c r="D8" s="80" t="inlineStr">
        <is>
          <t>2026-01-12</t>
        </is>
      </c>
      <c r="E8" s="40" t="inlineStr">
        <is>
          <t>Monthly</t>
        </is>
      </c>
      <c r="F8" s="41" t="inlineStr">
        <is>
          <t>Yes</t>
        </is>
      </c>
      <c r="G8" s="41" t="inlineStr">
        <is>
          <t>No</t>
        </is>
      </c>
      <c r="H8" s="85">
        <f>IFERROR(IF(E8="Monthly",C8*12,IF(E8="Quarterly",C8*4,IF(E8="Annual",C8,C8*52))),0)</f>
        <v/>
      </c>
      <c r="I8" s="40" t="inlineStr"/>
    </row>
    <row r="9" ht="18" customHeight="1">
      <c r="A9" s="42" t="inlineStr">
        <is>
          <t>Hemförsäkring</t>
        </is>
      </c>
      <c r="B9" s="42" t="inlineStr">
        <is>
          <t>Insurance</t>
        </is>
      </c>
      <c r="C9" s="29" t="n">
        <v>1200</v>
      </c>
      <c r="D9" s="83" t="inlineStr">
        <is>
          <t>2026-01-01</t>
        </is>
      </c>
      <c r="E9" s="42" t="inlineStr">
        <is>
          <t>Monthly</t>
        </is>
      </c>
      <c r="F9" s="43" t="inlineStr">
        <is>
          <t>Yes</t>
        </is>
      </c>
      <c r="G9" s="43" t="inlineStr">
        <is>
          <t>No</t>
        </is>
      </c>
      <c r="H9" s="28">
        <f>IFERROR(IF(E9="Monthly",C9*12,IF(E9="Quarterly",C9*4,IF(E9="Annual",C9,C9*52))),0)</f>
        <v/>
      </c>
      <c r="I9" s="42" t="inlineStr"/>
    </row>
    <row r="10" ht="18" customHeight="1">
      <c r="A10" s="40" t="inlineStr">
        <is>
          <t>Gym</t>
        </is>
      </c>
      <c r="B10" s="40" t="inlineStr">
        <is>
          <t>Health</t>
        </is>
      </c>
      <c r="C10" s="25" t="n">
        <v>400</v>
      </c>
      <c r="D10" s="80" t="inlineStr">
        <is>
          <t>2026-01-05</t>
        </is>
      </c>
      <c r="E10" s="40" t="inlineStr">
        <is>
          <t>Monthly</t>
        </is>
      </c>
      <c r="F10" s="41" t="inlineStr">
        <is>
          <t>Yes</t>
        </is>
      </c>
      <c r="G10" s="41" t="inlineStr">
        <is>
          <t>No</t>
        </is>
      </c>
      <c r="H10" s="85">
        <f>IFERROR(IF(E10="Monthly",C10*12,IF(E10="Quarterly",C10*4,IF(E10="Annual",C10,C10*52))),0)</f>
        <v/>
      </c>
      <c r="I10" s="40" t="inlineStr"/>
    </row>
    <row r="11" ht="18" customHeight="1">
      <c r="A11" s="42" t="inlineStr">
        <is>
          <t>Bilförsäkring</t>
        </is>
      </c>
      <c r="B11" s="42" t="inlineStr">
        <is>
          <t>Insurance</t>
        </is>
      </c>
      <c r="C11" s="29" t="n">
        <v>1100</v>
      </c>
      <c r="D11" s="83" t="inlineStr">
        <is>
          <t>2026-01-20</t>
        </is>
      </c>
      <c r="E11" s="42" t="inlineStr">
        <is>
          <t>Monthly</t>
        </is>
      </c>
      <c r="F11" s="43" t="inlineStr">
        <is>
          <t>Yes</t>
        </is>
      </c>
      <c r="G11" s="43" t="inlineStr">
        <is>
          <t>No</t>
        </is>
      </c>
      <c r="H11" s="28">
        <f>IFERROR(IF(E11="Monthly",C11*12,IF(E11="Quarterly",C11*4,IF(E11="Annual",C11,C11*52))),0)</f>
        <v/>
      </c>
      <c r="I11" s="42" t="inlineStr"/>
    </row>
    <row r="12" ht="18" customHeight="1">
      <c r="A12" s="40" t="inlineStr">
        <is>
          <t>Spotify</t>
        </is>
      </c>
      <c r="B12" s="40" t="inlineStr">
        <is>
          <t>Lifestyle</t>
        </is>
      </c>
      <c r="C12" s="25" t="n">
        <v>109</v>
      </c>
      <c r="D12" s="80" t="inlineStr">
        <is>
          <t>2026-01-14</t>
        </is>
      </c>
      <c r="E12" s="40" t="inlineStr">
        <is>
          <t>Monthly</t>
        </is>
      </c>
      <c r="F12" s="41" t="inlineStr">
        <is>
          <t>Yes</t>
        </is>
      </c>
      <c r="G12" s="41" t="inlineStr">
        <is>
          <t>No</t>
        </is>
      </c>
      <c r="H12" s="85">
        <f>IFERROR(IF(E12="Monthly",C12*12,IF(E12="Quarterly",C12*4,IF(E12="Annual",C12,C12*52))),0)</f>
        <v/>
      </c>
      <c r="I12" s="40" t="inlineStr"/>
    </row>
    <row r="13" ht="18" customHeight="1">
      <c r="A13" s="42" t="inlineStr">
        <is>
          <t>A-kassa/Facket</t>
        </is>
      </c>
      <c r="B13" s="42" t="inlineStr">
        <is>
          <t>Other</t>
        </is>
      </c>
      <c r="C13" s="29" t="n">
        <v>350</v>
      </c>
      <c r="D13" s="83" t="inlineStr">
        <is>
          <t>2026-01-01</t>
        </is>
      </c>
      <c r="E13" s="42" t="inlineStr">
        <is>
          <t>Monthly</t>
        </is>
      </c>
      <c r="F13" s="43" t="inlineStr">
        <is>
          <t>Yes</t>
        </is>
      </c>
      <c r="G13" s="43" t="inlineStr">
        <is>
          <t>No</t>
        </is>
      </c>
      <c r="H13" s="28">
        <f>IFERROR(IF(E13="Monthly",C13*12,IF(E13="Quarterly",C13*4,IF(E13="Annual",C13,C13*52))),0)</f>
        <v/>
      </c>
      <c r="I13" s="42" t="inlineStr"/>
    </row>
    <row r="14" ht="24" customHeight="1">
      <c r="A14" s="55" t="inlineStr">
        <is>
          <t>MONTHLY TOTAL</t>
        </is>
      </c>
      <c r="B14" s="7" t="n"/>
      <c r="C14" s="56">
        <f>SUM(C4:C13)</f>
        <v/>
      </c>
      <c r="D14" s="57" t="inlineStr"/>
      <c r="E14" s="57" t="inlineStr"/>
      <c r="F14" s="57" t="inlineStr"/>
      <c r="G14" s="57" t="inlineStr"/>
      <c r="H14" s="56">
        <f>SUM(H4:H13)</f>
        <v/>
      </c>
      <c r="I14" s="57" t="inlineStr"/>
    </row>
  </sheetData>
  <mergeCells count="3">
    <mergeCell ref="A1:I1"/>
    <mergeCell ref="A14:B14"/>
    <mergeCell ref="A2:I2"/>
  </mergeCells>
  <conditionalFormatting sqref="A3:I13">
    <cfRule type="expression" priority="1" dxfId="0">
      <formula>$G3="Yes"</formula>
    </cfRule>
  </conditionalFormatting>
  <conditionalFormatting sqref="F3:F13">
    <cfRule type="expression" priority="2" dxfId="1">
      <formula>$F3="Yes"</formula>
    </cfRule>
  </conditionalFormatting>
  <dataValidations count="3">
    <dataValidation sqref="B4:B13" showDropDown="0" showInputMessage="0" showErrorMessage="0" allowBlank="1" type="list">
      <formula1>"Housing,Utilities,Insurance,Lifestyle,Health,Transport,Other"</formula1>
    </dataValidation>
    <dataValidation sqref="E4:E13" showDropDown="0" showInputMessage="0" showErrorMessage="0" allowBlank="1" type="list">
      <formula1>"Monthly,Quarterly,Annual,Weekly"</formula1>
    </dataValidation>
    <dataValidation sqref="F4:G1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3D5C3A"/>
    <outlinePr summaryBelow="1" summaryRight="1"/>
    <pageSetUpPr/>
  </sheetPr>
  <dimension ref="A1:H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14" customWidth="1" min="5" max="5"/>
    <col width="11" customWidth="1" min="6" max="6"/>
    <col width="18" customWidth="1" min="7" max="7"/>
    <col width="10" customWidth="1" min="8" max="8"/>
  </cols>
  <sheetData>
    <row r="1" ht="48" customHeight="1">
      <c r="A1" s="44" t="inlineStr">
        <is>
          <t>SAVINGS GOALS TRACKER</t>
        </is>
      </c>
    </row>
    <row r="2" ht="20" customHeight="1">
      <c r="A2" s="2" t="inlineStr">
        <is>
          <t>Set targets  ·  Track progress  ·  Automate contributions</t>
        </is>
      </c>
    </row>
    <row r="3" ht="22" customHeight="1">
      <c r="A3" s="3" t="inlineStr">
        <is>
          <t>GOAL</t>
        </is>
      </c>
      <c r="B3" s="3" t="inlineStr">
        <is>
          <t>TARGET</t>
        </is>
      </c>
      <c r="C3" s="3" t="inlineStr">
        <is>
          <t>SAVED SO FAR</t>
        </is>
      </c>
      <c r="D3" s="3" t="inlineStr">
        <is>
          <t>MONTHLY CONTRIB</t>
        </is>
      </c>
      <c r="E3" s="3" t="inlineStr">
        <is>
          <t>TARGET DATE</t>
        </is>
      </c>
      <c r="F3" s="3" t="inlineStr">
        <is>
          <t>% COMPLETE</t>
        </is>
      </c>
      <c r="G3" s="3" t="inlineStr">
        <is>
          <t>PROGRESS</t>
        </is>
      </c>
      <c r="H3" s="3" t="inlineStr">
        <is>
          <t>PRIORITY</t>
        </is>
      </c>
    </row>
    <row r="4" ht="18" customHeight="1">
      <c r="A4" s="23" t="inlineStr">
        <is>
          <t>Emergency Fund (3mo)</t>
        </is>
      </c>
      <c r="B4" s="25" t="n">
        <v>50000</v>
      </c>
      <c r="C4" s="25" t="n">
        <v>0</v>
      </c>
      <c r="D4" s="25" t="n">
        <v>500</v>
      </c>
      <c r="E4" s="80" t="inlineStr">
        <is>
          <t>2026-12-31</t>
        </is>
      </c>
      <c r="F4" s="31">
        <f>IFERROR(C4/B4,0)</f>
        <v/>
      </c>
      <c r="G4" s="86">
        <f>REPT(CHAR(9608),ROUND(F4*10,0))&amp;REPT(CHAR(9617),10-ROUND(F4*10,0))</f>
        <v/>
      </c>
      <c r="H4" s="39" t="inlineStr">
        <is>
          <t>High</t>
        </is>
      </c>
    </row>
    <row r="5" ht="18" customHeight="1">
      <c r="A5" s="20" t="inlineStr">
        <is>
          <t>Japan Trip</t>
        </is>
      </c>
      <c r="B5" s="22" t="n">
        <v>25000</v>
      </c>
      <c r="C5" s="22" t="n">
        <v>0</v>
      </c>
      <c r="D5" s="22" t="n">
        <v>200</v>
      </c>
      <c r="E5" s="87" t="inlineStr">
        <is>
          <t>2026-09-01</t>
        </is>
      </c>
      <c r="F5" s="34">
        <f>IFERROR(C5/B5,0)</f>
        <v/>
      </c>
      <c r="G5" s="88">
        <f>REPT(CHAR(9608),ROUND(F5*10,0))&amp;REPT(CHAR(9617),10-ROUND(F5*10,0))</f>
        <v/>
      </c>
      <c r="H5" s="89" t="inlineStr">
        <is>
          <t>Medium</t>
        </is>
      </c>
    </row>
    <row r="6" ht="18" customHeight="1">
      <c r="A6" s="23" t="inlineStr">
        <is>
          <t>Home Down Payment</t>
        </is>
      </c>
      <c r="B6" s="25" t="n">
        <v>250000</v>
      </c>
      <c r="C6" s="25" t="n">
        <v>0</v>
      </c>
      <c r="D6" s="25" t="n">
        <v>800</v>
      </c>
      <c r="E6" s="80" t="inlineStr">
        <is>
          <t>2029-01-01</t>
        </is>
      </c>
      <c r="F6" s="31">
        <f>IFERROR(C6/B6,0)</f>
        <v/>
      </c>
      <c r="G6" s="86">
        <f>REPT(CHAR(9608),ROUND(F6*10,0))&amp;REPT(CHAR(9617),10-ROUND(F6*10,0))</f>
        <v/>
      </c>
      <c r="H6" s="39" t="inlineStr">
        <is>
          <t>High</t>
        </is>
      </c>
    </row>
    <row r="7" ht="18" customHeight="1">
      <c r="A7" s="20" t="inlineStr">
        <is>
          <t>New Car</t>
        </is>
      </c>
      <c r="B7" s="22" t="n">
        <v>80000</v>
      </c>
      <c r="C7" s="22" t="n">
        <v>0</v>
      </c>
      <c r="D7" s="22" t="n">
        <v>300</v>
      </c>
      <c r="E7" s="87" t="inlineStr">
        <is>
          <t>2027-06-01</t>
        </is>
      </c>
      <c r="F7" s="34">
        <f>IFERROR(C7/B7,0)</f>
        <v/>
      </c>
      <c r="G7" s="88">
        <f>REPT(CHAR(9608),ROUND(F7*10,0))&amp;REPT(CHAR(9617),10-ROUND(F7*10,0))</f>
        <v/>
      </c>
      <c r="H7" s="89" t="inlineStr">
        <is>
          <t>Medium</t>
        </is>
      </c>
    </row>
    <row r="8" ht="18" customHeight="1">
      <c r="A8" s="23" t="inlineStr">
        <is>
          <t>Retirement Boost</t>
        </is>
      </c>
      <c r="B8" s="25" t="n">
        <v>100000</v>
      </c>
      <c r="C8" s="25" t="n">
        <v>0</v>
      </c>
      <c r="D8" s="25" t="n">
        <v>400</v>
      </c>
      <c r="E8" s="80" t="inlineStr">
        <is>
          <t>2030-01-01</t>
        </is>
      </c>
      <c r="F8" s="31">
        <f>IFERROR(C8/B8,0)</f>
        <v/>
      </c>
      <c r="G8" s="86">
        <f>REPT(CHAR(9608),ROUND(F8*10,0))&amp;REPT(CHAR(9617),10-ROUND(F8*10,0))</f>
        <v/>
      </c>
      <c r="H8" s="39" t="inlineStr">
        <is>
          <t>High</t>
        </is>
      </c>
    </row>
    <row r="9" ht="18" customHeight="1">
      <c r="A9" s="90" t="inlineStr">
        <is>
          <t>Education Fund</t>
        </is>
      </c>
      <c r="B9" s="91" t="n">
        <v>40000</v>
      </c>
      <c r="C9" s="91" t="n">
        <v>0</v>
      </c>
      <c r="D9" s="91" t="n">
        <v>250</v>
      </c>
      <c r="E9" s="92" t="inlineStr">
        <is>
          <t>2028-01-01</t>
        </is>
      </c>
      <c r="F9" s="93">
        <f>IFERROR(C9/B9,0)</f>
        <v/>
      </c>
      <c r="G9" s="94">
        <f>REPT(CHAR(9608),ROUND(F9*10,0))&amp;REPT(CHAR(9617),10-ROUND(F9*10,0))</f>
        <v/>
      </c>
      <c r="H9" s="95" t="inlineStr">
        <is>
          <t>Low</t>
        </is>
      </c>
    </row>
    <row r="10" ht="20" customHeight="1">
      <c r="A10" s="96" t="inlineStr">
        <is>
          <t>TOTALS</t>
        </is>
      </c>
      <c r="B10" s="97">
        <f>SUM(B4:B9)</f>
        <v/>
      </c>
      <c r="C10" s="97">
        <f>SUM(C4:C9)</f>
        <v/>
      </c>
      <c r="D10" s="97">
        <f>SUM(D4:D9)</f>
        <v/>
      </c>
      <c r="E10" s="50" t="n"/>
      <c r="F10" s="98">
        <f>IFERROR(SUM(C4:C9)/SUM(B4:B9),0)</f>
        <v/>
      </c>
      <c r="G10" s="50" t="n"/>
      <c r="H10" s="50" t="n"/>
    </row>
  </sheetData>
  <mergeCells count="2">
    <mergeCell ref="A2:H2"/>
    <mergeCell ref="A1:H1"/>
  </mergeCells>
  <conditionalFormatting sqref="H4:H9">
    <cfRule type="expression" priority="1" dxfId="2">
      <formula>$H4="High"</formula>
    </cfRule>
    <cfRule type="expression" priority="2" dxfId="3">
      <formula>$H4="Medium"</formula>
    </cfRule>
    <cfRule type="expression" priority="3" dxfId="4">
      <formula>$H4="Low"</formula>
    </cfRule>
  </conditionalFormatting>
  <dataValidations count="1">
    <dataValidation sqref="H4:H9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3D5C3A"/>
    <outlinePr summaryBelow="1" summaryRight="1"/>
    <pageSetUpPr/>
  </sheetPr>
  <dimension ref="A1:AG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16" customWidth="1" min="33" max="33"/>
  </cols>
  <sheetData>
    <row r="1" ht="48" customHeight="1">
      <c r="A1" s="44" t="inlineStr">
        <is>
          <t>DAYS WITHOUT SPENDING  ·  2026</t>
        </is>
      </c>
    </row>
    <row r="2" ht="20" customHeight="1">
      <c r="A2" s="2" t="inlineStr">
        <is>
          <t>Mark each no-spend day with X  ·  Watch your streak grow</t>
        </is>
      </c>
    </row>
    <row r="3" ht="22" customHeight="1">
      <c r="A3" s="3" t="inlineStr">
        <is>
          <t>MONTH</t>
        </is>
      </c>
      <c r="B3" s="12" t="n">
        <v>1</v>
      </c>
      <c r="C3" s="12" t="n">
        <v>2</v>
      </c>
      <c r="D3" s="12" t="n">
        <v>3</v>
      </c>
      <c r="E3" s="12" t="n">
        <v>4</v>
      </c>
      <c r="F3" s="12" t="n">
        <v>5</v>
      </c>
      <c r="G3" s="12" t="n">
        <v>6</v>
      </c>
      <c r="H3" s="12" t="n">
        <v>7</v>
      </c>
      <c r="I3" s="12" t="n">
        <v>8</v>
      </c>
      <c r="J3" s="12" t="n">
        <v>9</v>
      </c>
      <c r="K3" s="12" t="n">
        <v>10</v>
      </c>
      <c r="L3" s="12" t="n">
        <v>11</v>
      </c>
      <c r="M3" s="12" t="n">
        <v>12</v>
      </c>
      <c r="N3" s="12" t="n">
        <v>13</v>
      </c>
      <c r="O3" s="12" t="n">
        <v>14</v>
      </c>
      <c r="P3" s="12" t="n">
        <v>15</v>
      </c>
      <c r="Q3" s="12" t="n">
        <v>16</v>
      </c>
      <c r="R3" s="12" t="n">
        <v>17</v>
      </c>
      <c r="S3" s="12" t="n">
        <v>18</v>
      </c>
      <c r="T3" s="12" t="n">
        <v>19</v>
      </c>
      <c r="U3" s="12" t="n">
        <v>20</v>
      </c>
      <c r="V3" s="12" t="n">
        <v>21</v>
      </c>
      <c r="W3" s="12" t="n">
        <v>22</v>
      </c>
      <c r="X3" s="12" t="n">
        <v>23</v>
      </c>
      <c r="Y3" s="12" t="n">
        <v>24</v>
      </c>
      <c r="Z3" s="12" t="n">
        <v>25</v>
      </c>
      <c r="AA3" s="12" t="n">
        <v>26</v>
      </c>
      <c r="AB3" s="12" t="n">
        <v>27</v>
      </c>
      <c r="AC3" s="12" t="n">
        <v>28</v>
      </c>
      <c r="AD3" s="12" t="n">
        <v>29</v>
      </c>
      <c r="AE3" s="12" t="n">
        <v>30</v>
      </c>
      <c r="AF3" s="12" t="n">
        <v>31</v>
      </c>
      <c r="AG3" s="3" t="inlineStr">
        <is>
          <t>NO-SPEND DAYS</t>
        </is>
      </c>
    </row>
    <row r="4" ht="18" customHeight="1">
      <c r="A4" s="49" t="inlineStr">
        <is>
          <t>January</t>
        </is>
      </c>
      <c r="B4" s="99" t="n"/>
      <c r="C4" s="99" t="n"/>
      <c r="D4" s="99" t="n"/>
      <c r="E4" s="99" t="n"/>
      <c r="F4" s="99" t="n"/>
      <c r="G4" s="99" t="n"/>
      <c r="H4" s="99" t="n"/>
      <c r="I4" s="99" t="n"/>
      <c r="J4" s="99" t="n"/>
      <c r="K4" s="99" t="n"/>
      <c r="L4" s="99" t="n"/>
      <c r="M4" s="99" t="n"/>
      <c r="N4" s="99" t="n"/>
      <c r="O4" s="99" t="n"/>
      <c r="P4" s="99" t="n"/>
      <c r="Q4" s="99" t="n"/>
      <c r="R4" s="99" t="n"/>
      <c r="S4" s="99" t="n"/>
      <c r="T4" s="99" t="n"/>
      <c r="U4" s="99" t="n"/>
      <c r="V4" s="99" t="n"/>
      <c r="W4" s="99" t="n"/>
      <c r="X4" s="99" t="n"/>
      <c r="Y4" s="99" t="n"/>
      <c r="Z4" s="99" t="n"/>
      <c r="AA4" s="99" t="n"/>
      <c r="AB4" s="99" t="n"/>
      <c r="AC4" s="99" t="n"/>
      <c r="AD4" s="99" t="n"/>
      <c r="AE4" s="99" t="n"/>
      <c r="AF4" s="99" t="n"/>
      <c r="AG4" s="100">
        <f>COUNTIF(B4:AF4,"X")</f>
        <v/>
      </c>
    </row>
    <row r="5" ht="18" customHeight="1">
      <c r="A5" s="23" t="inlineStr">
        <is>
          <t>February</t>
        </is>
      </c>
      <c r="B5" s="101" t="n"/>
      <c r="C5" s="101" t="n"/>
      <c r="D5" s="101" t="n"/>
      <c r="E5" s="101" t="n"/>
      <c r="F5" s="101" t="n"/>
      <c r="G5" s="101" t="n"/>
      <c r="H5" s="101" t="n"/>
      <c r="I5" s="101" t="n"/>
      <c r="J5" s="101" t="n"/>
      <c r="K5" s="101" t="n"/>
      <c r="L5" s="101" t="n"/>
      <c r="M5" s="101" t="n"/>
      <c r="N5" s="101" t="n"/>
      <c r="O5" s="101" t="n"/>
      <c r="P5" s="101" t="n"/>
      <c r="Q5" s="101" t="n"/>
      <c r="R5" s="101" t="n"/>
      <c r="S5" s="101" t="n"/>
      <c r="T5" s="101" t="n"/>
      <c r="U5" s="101" t="n"/>
      <c r="V5" s="101" t="n"/>
      <c r="W5" s="101" t="n"/>
      <c r="X5" s="101" t="n"/>
      <c r="Y5" s="101" t="n"/>
      <c r="Z5" s="101" t="n"/>
      <c r="AA5" s="101" t="n"/>
      <c r="AB5" s="101" t="n"/>
      <c r="AC5" s="101" t="n"/>
      <c r="AD5" s="102" t="n"/>
      <c r="AE5" s="102" t="n"/>
      <c r="AF5" s="102" t="n"/>
      <c r="AG5" s="100">
        <f>COUNTIF(B5:AF5,"X")</f>
        <v/>
      </c>
    </row>
    <row r="6" ht="18" customHeight="1">
      <c r="A6" s="49" t="inlineStr">
        <is>
          <t>March</t>
        </is>
      </c>
      <c r="B6" s="99" t="n"/>
      <c r="C6" s="99" t="n"/>
      <c r="D6" s="99" t="n"/>
      <c r="E6" s="99" t="n"/>
      <c r="F6" s="99" t="n"/>
      <c r="G6" s="99" t="n"/>
      <c r="H6" s="99" t="n"/>
      <c r="I6" s="99" t="n"/>
      <c r="J6" s="99" t="n"/>
      <c r="K6" s="99" t="n"/>
      <c r="L6" s="99" t="n"/>
      <c r="M6" s="99" t="n"/>
      <c r="N6" s="99" t="n"/>
      <c r="O6" s="99" t="n"/>
      <c r="P6" s="99" t="n"/>
      <c r="Q6" s="99" t="n"/>
      <c r="R6" s="99" t="n"/>
      <c r="S6" s="99" t="n"/>
      <c r="T6" s="99" t="n"/>
      <c r="U6" s="99" t="n"/>
      <c r="V6" s="99" t="n"/>
      <c r="W6" s="99" t="n"/>
      <c r="X6" s="99" t="n"/>
      <c r="Y6" s="99" t="n"/>
      <c r="Z6" s="99" t="n"/>
      <c r="AA6" s="99" t="n"/>
      <c r="AB6" s="99" t="n"/>
      <c r="AC6" s="99" t="n"/>
      <c r="AD6" s="99" t="n"/>
      <c r="AE6" s="99" t="n"/>
      <c r="AF6" s="99" t="n"/>
      <c r="AG6" s="100">
        <f>COUNTIF(B6:AF6,"X")</f>
        <v/>
      </c>
    </row>
    <row r="7" ht="18" customHeight="1">
      <c r="A7" s="23" t="inlineStr">
        <is>
          <t>April</t>
        </is>
      </c>
      <c r="B7" s="101" t="n"/>
      <c r="C7" s="101" t="n"/>
      <c r="D7" s="101" t="n"/>
      <c r="E7" s="101" t="n"/>
      <c r="F7" s="101" t="n"/>
      <c r="G7" s="101" t="n"/>
      <c r="H7" s="101" t="n"/>
      <c r="I7" s="101" t="n"/>
      <c r="J7" s="101" t="n"/>
      <c r="K7" s="101" t="n"/>
      <c r="L7" s="101" t="n"/>
      <c r="M7" s="101" t="n"/>
      <c r="N7" s="101" t="n"/>
      <c r="O7" s="101" t="n"/>
      <c r="P7" s="101" t="n"/>
      <c r="Q7" s="101" t="n"/>
      <c r="R7" s="101" t="n"/>
      <c r="S7" s="101" t="n"/>
      <c r="T7" s="101" t="n"/>
      <c r="U7" s="101" t="n"/>
      <c r="V7" s="101" t="n"/>
      <c r="W7" s="101" t="n"/>
      <c r="X7" s="101" t="n"/>
      <c r="Y7" s="101" t="n"/>
      <c r="Z7" s="101" t="n"/>
      <c r="AA7" s="101" t="n"/>
      <c r="AB7" s="101" t="n"/>
      <c r="AC7" s="101" t="n"/>
      <c r="AD7" s="101" t="n"/>
      <c r="AE7" s="101" t="n"/>
      <c r="AF7" s="102" t="n"/>
      <c r="AG7" s="100">
        <f>COUNTIF(B7:AF7,"X")</f>
        <v/>
      </c>
    </row>
    <row r="8" ht="18" customHeight="1">
      <c r="A8" s="49" t="inlineStr">
        <is>
          <t>May</t>
        </is>
      </c>
      <c r="B8" s="99" t="n"/>
      <c r="C8" s="99" t="n"/>
      <c r="D8" s="99" t="n"/>
      <c r="E8" s="99" t="n"/>
      <c r="F8" s="99" t="n"/>
      <c r="G8" s="99" t="n"/>
      <c r="H8" s="99" t="n"/>
      <c r="I8" s="99" t="n"/>
      <c r="J8" s="99" t="n"/>
      <c r="K8" s="99" t="n"/>
      <c r="L8" s="99" t="n"/>
      <c r="M8" s="99" t="n"/>
      <c r="N8" s="99" t="n"/>
      <c r="O8" s="99" t="n"/>
      <c r="P8" s="99" t="n"/>
      <c r="Q8" s="99" t="n"/>
      <c r="R8" s="99" t="n"/>
      <c r="S8" s="99" t="n"/>
      <c r="T8" s="99" t="n"/>
      <c r="U8" s="99" t="n"/>
      <c r="V8" s="99" t="n"/>
      <c r="W8" s="99" t="n"/>
      <c r="X8" s="99" t="n"/>
      <c r="Y8" s="99" t="n"/>
      <c r="Z8" s="99" t="n"/>
      <c r="AA8" s="99" t="n"/>
      <c r="AB8" s="99" t="n"/>
      <c r="AC8" s="99" t="n"/>
      <c r="AD8" s="99" t="n"/>
      <c r="AE8" s="99" t="n"/>
      <c r="AF8" s="99" t="n"/>
      <c r="AG8" s="100">
        <f>COUNTIF(B8:AF8,"X")</f>
        <v/>
      </c>
    </row>
    <row r="9" ht="18" customHeight="1">
      <c r="A9" s="23" t="inlineStr">
        <is>
          <t>June</t>
        </is>
      </c>
      <c r="B9" s="101" t="n"/>
      <c r="C9" s="101" t="n"/>
      <c r="D9" s="101" t="n"/>
      <c r="E9" s="101" t="n"/>
      <c r="F9" s="101" t="n"/>
      <c r="G9" s="101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  <c r="S9" s="101" t="n"/>
      <c r="T9" s="101" t="n"/>
      <c r="U9" s="101" t="n"/>
      <c r="V9" s="101" t="n"/>
      <c r="W9" s="101" t="n"/>
      <c r="X9" s="101" t="n"/>
      <c r="Y9" s="101" t="n"/>
      <c r="Z9" s="101" t="n"/>
      <c r="AA9" s="101" t="n"/>
      <c r="AB9" s="101" t="n"/>
      <c r="AC9" s="101" t="n"/>
      <c r="AD9" s="101" t="n"/>
      <c r="AE9" s="101" t="n"/>
      <c r="AF9" s="102" t="n"/>
      <c r="AG9" s="100">
        <f>COUNTIF(B9:AF9,"X")</f>
        <v/>
      </c>
    </row>
    <row r="10" ht="18" customHeight="1">
      <c r="A10" s="49" t="inlineStr">
        <is>
          <t>July</t>
        </is>
      </c>
      <c r="B10" s="99" t="n"/>
      <c r="C10" s="99" t="n"/>
      <c r="D10" s="99" t="n"/>
      <c r="E10" s="99" t="n"/>
      <c r="F10" s="99" t="n"/>
      <c r="G10" s="99" t="n"/>
      <c r="H10" s="99" t="n"/>
      <c r="I10" s="99" t="n"/>
      <c r="J10" s="99" t="n"/>
      <c r="K10" s="99" t="n"/>
      <c r="L10" s="99" t="n"/>
      <c r="M10" s="99" t="n"/>
      <c r="N10" s="99" t="n"/>
      <c r="O10" s="99" t="n"/>
      <c r="P10" s="99" t="n"/>
      <c r="Q10" s="99" t="n"/>
      <c r="R10" s="99" t="n"/>
      <c r="S10" s="99" t="n"/>
      <c r="T10" s="99" t="n"/>
      <c r="U10" s="99" t="n"/>
      <c r="V10" s="99" t="n"/>
      <c r="W10" s="99" t="n"/>
      <c r="X10" s="99" t="n"/>
      <c r="Y10" s="99" t="n"/>
      <c r="Z10" s="99" t="n"/>
      <c r="AA10" s="99" t="n"/>
      <c r="AB10" s="99" t="n"/>
      <c r="AC10" s="99" t="n"/>
      <c r="AD10" s="99" t="n"/>
      <c r="AE10" s="99" t="n"/>
      <c r="AF10" s="99" t="n"/>
      <c r="AG10" s="100">
        <f>COUNTIF(B10:AF10,"X")</f>
        <v/>
      </c>
    </row>
    <row r="11" ht="18" customHeight="1">
      <c r="A11" s="23" t="inlineStr">
        <is>
          <t>August</t>
        </is>
      </c>
      <c r="B11" s="101" t="n"/>
      <c r="C11" s="101" t="n"/>
      <c r="D11" s="101" t="n"/>
      <c r="E11" s="101" t="n"/>
      <c r="F11" s="101" t="n"/>
      <c r="G11" s="101" t="n"/>
      <c r="H11" s="101" t="n"/>
      <c r="I11" s="101" t="n"/>
      <c r="J11" s="101" t="n"/>
      <c r="K11" s="101" t="n"/>
      <c r="L11" s="101" t="n"/>
      <c r="M11" s="101" t="n"/>
      <c r="N11" s="101" t="n"/>
      <c r="O11" s="101" t="n"/>
      <c r="P11" s="101" t="n"/>
      <c r="Q11" s="101" t="n"/>
      <c r="R11" s="101" t="n"/>
      <c r="S11" s="101" t="n"/>
      <c r="T11" s="101" t="n"/>
      <c r="U11" s="101" t="n"/>
      <c r="V11" s="101" t="n"/>
      <c r="W11" s="101" t="n"/>
      <c r="X11" s="101" t="n"/>
      <c r="Y11" s="101" t="n"/>
      <c r="Z11" s="101" t="n"/>
      <c r="AA11" s="101" t="n"/>
      <c r="AB11" s="101" t="n"/>
      <c r="AC11" s="101" t="n"/>
      <c r="AD11" s="101" t="n"/>
      <c r="AE11" s="101" t="n"/>
      <c r="AF11" s="101" t="n"/>
      <c r="AG11" s="100">
        <f>COUNTIF(B11:AF11,"X")</f>
        <v/>
      </c>
    </row>
    <row r="12" ht="18" customHeight="1">
      <c r="A12" s="49" t="inlineStr">
        <is>
          <t>September</t>
        </is>
      </c>
      <c r="B12" s="99" t="n"/>
      <c r="C12" s="99" t="n"/>
      <c r="D12" s="99" t="n"/>
      <c r="E12" s="99" t="n"/>
      <c r="F12" s="99" t="n"/>
      <c r="G12" s="99" t="n"/>
      <c r="H12" s="99" t="n"/>
      <c r="I12" s="99" t="n"/>
      <c r="J12" s="99" t="n"/>
      <c r="K12" s="99" t="n"/>
      <c r="L12" s="99" t="n"/>
      <c r="M12" s="99" t="n"/>
      <c r="N12" s="99" t="n"/>
      <c r="O12" s="99" t="n"/>
      <c r="P12" s="99" t="n"/>
      <c r="Q12" s="99" t="n"/>
      <c r="R12" s="99" t="n"/>
      <c r="S12" s="99" t="n"/>
      <c r="T12" s="99" t="n"/>
      <c r="U12" s="99" t="n"/>
      <c r="V12" s="99" t="n"/>
      <c r="W12" s="99" t="n"/>
      <c r="X12" s="99" t="n"/>
      <c r="Y12" s="99" t="n"/>
      <c r="Z12" s="99" t="n"/>
      <c r="AA12" s="99" t="n"/>
      <c r="AB12" s="99" t="n"/>
      <c r="AC12" s="99" t="n"/>
      <c r="AD12" s="99" t="n"/>
      <c r="AE12" s="99" t="n"/>
      <c r="AF12" s="102" t="n"/>
      <c r="AG12" s="100">
        <f>COUNTIF(B12:AF12,"X")</f>
        <v/>
      </c>
    </row>
    <row r="13" ht="18" customHeight="1">
      <c r="A13" s="23" t="inlineStr">
        <is>
          <t>October</t>
        </is>
      </c>
      <c r="B13" s="101" t="n"/>
      <c r="C13" s="101" t="n"/>
      <c r="D13" s="101" t="n"/>
      <c r="E13" s="101" t="n"/>
      <c r="F13" s="101" t="n"/>
      <c r="G13" s="101" t="n"/>
      <c r="H13" s="101" t="n"/>
      <c r="I13" s="101" t="n"/>
      <c r="J13" s="101" t="n"/>
      <c r="K13" s="101" t="n"/>
      <c r="L13" s="101" t="n"/>
      <c r="M13" s="101" t="n"/>
      <c r="N13" s="101" t="n"/>
      <c r="O13" s="101" t="n"/>
      <c r="P13" s="101" t="n"/>
      <c r="Q13" s="101" t="n"/>
      <c r="R13" s="101" t="n"/>
      <c r="S13" s="101" t="n"/>
      <c r="T13" s="101" t="n"/>
      <c r="U13" s="101" t="n"/>
      <c r="V13" s="101" t="n"/>
      <c r="W13" s="101" t="n"/>
      <c r="X13" s="101" t="n"/>
      <c r="Y13" s="101" t="n"/>
      <c r="Z13" s="101" t="n"/>
      <c r="AA13" s="101" t="n"/>
      <c r="AB13" s="101" t="n"/>
      <c r="AC13" s="101" t="n"/>
      <c r="AD13" s="101" t="n"/>
      <c r="AE13" s="101" t="n"/>
      <c r="AF13" s="101" t="n"/>
      <c r="AG13" s="100">
        <f>COUNTIF(B13:AF13,"X")</f>
        <v/>
      </c>
    </row>
    <row r="14" ht="18" customHeight="1">
      <c r="A14" s="49" t="inlineStr">
        <is>
          <t>November</t>
        </is>
      </c>
      <c r="B14" s="99" t="n"/>
      <c r="C14" s="99" t="n"/>
      <c r="D14" s="99" t="n"/>
      <c r="E14" s="99" t="n"/>
      <c r="F14" s="99" t="n"/>
      <c r="G14" s="99" t="n"/>
      <c r="H14" s="99" t="n"/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9" t="n"/>
      <c r="U14" s="99" t="n"/>
      <c r="V14" s="99" t="n"/>
      <c r="W14" s="99" t="n"/>
      <c r="X14" s="99" t="n"/>
      <c r="Y14" s="99" t="n"/>
      <c r="Z14" s="99" t="n"/>
      <c r="AA14" s="99" t="n"/>
      <c r="AB14" s="99" t="n"/>
      <c r="AC14" s="99" t="n"/>
      <c r="AD14" s="99" t="n"/>
      <c r="AE14" s="99" t="n"/>
      <c r="AF14" s="102" t="n"/>
      <c r="AG14" s="100">
        <f>COUNTIF(B14:AF14,"X")</f>
        <v/>
      </c>
    </row>
    <row r="15" ht="18" customHeight="1">
      <c r="A15" s="23" t="inlineStr">
        <is>
          <t>December</t>
        </is>
      </c>
      <c r="B15" s="101" t="n"/>
      <c r="C15" s="101" t="n"/>
      <c r="D15" s="101" t="n"/>
      <c r="E15" s="101" t="n"/>
      <c r="F15" s="101" t="n"/>
      <c r="G15" s="101" t="n"/>
      <c r="H15" s="101" t="n"/>
      <c r="I15" s="101" t="n"/>
      <c r="J15" s="101" t="n"/>
      <c r="K15" s="101" t="n"/>
      <c r="L15" s="101" t="n"/>
      <c r="M15" s="101" t="n"/>
      <c r="N15" s="101" t="n"/>
      <c r="O15" s="101" t="n"/>
      <c r="P15" s="101" t="n"/>
      <c r="Q15" s="101" t="n"/>
      <c r="R15" s="101" t="n"/>
      <c r="S15" s="101" t="n"/>
      <c r="T15" s="101" t="n"/>
      <c r="U15" s="101" t="n"/>
      <c r="V15" s="101" t="n"/>
      <c r="W15" s="101" t="n"/>
      <c r="X15" s="101" t="n"/>
      <c r="Y15" s="101" t="n"/>
      <c r="Z15" s="101" t="n"/>
      <c r="AA15" s="101" t="n"/>
      <c r="AB15" s="101" t="n"/>
      <c r="AC15" s="101" t="n"/>
      <c r="AD15" s="101" t="n"/>
      <c r="AE15" s="101" t="n"/>
      <c r="AF15" s="101" t="n"/>
      <c r="AG15" s="100">
        <f>COUNTIF(B15:AF15,"X")</f>
        <v/>
      </c>
    </row>
    <row r="16" ht="24" customHeight="1">
      <c r="A16" s="73" t="inlineStr">
        <is>
          <t>ANNUAL TOTAL NO-SPEND DAYS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103">
        <f>AG4+AG5+AG6+AG7+AG8+AG9+AG10+AG11+AG12+AG13+AG14+AG15</f>
        <v/>
      </c>
    </row>
  </sheetData>
  <mergeCells count="3">
    <mergeCell ref="A2:AG2"/>
    <mergeCell ref="A1:AG1"/>
    <mergeCell ref="A16:AF16"/>
  </mergeCells>
  <conditionalFormatting sqref="B4:AF15">
    <cfRule type="expression" priority="1" dxfId="5">
      <formula>B4="X"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2026-06-22T20:52:32Z</dcterms:created>
  <dcterms:modified xsi:type="dcterms:W3CDTF">2026-06-22T20:52:33Z</dcterms:modified>
</cp:coreProperties>
</file>